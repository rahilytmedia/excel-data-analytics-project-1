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esktop\MS Excel\Nov 6\"/>
    </mc:Choice>
  </mc:AlternateContent>
  <xr:revisionPtr revIDLastSave="0" documentId="13_ncr:1_{FE228797-D9D3-4E06-A532-13988BA16F87}" xr6:coauthVersionLast="47" xr6:coauthVersionMax="47" xr10:uidLastSave="{00000000-0000-0000-0000-000000000000}"/>
  <bookViews>
    <workbookView xWindow="-120" yWindow="-120" windowWidth="29040" windowHeight="15990" xr2:uid="{00000000-000D-0000-FFFF-FFFF00000000}"/>
  </bookViews>
  <sheets>
    <sheet name="Data" sheetId="1" r:id="rId1"/>
    <sheet name="Customer Year wise" sheetId="5" r:id="rId2"/>
    <sheet name="Pivot" sheetId="2" r:id="rId3"/>
    <sheet name="Dashboard" sheetId="3" r:id="rId4"/>
  </sheets>
  <definedNames>
    <definedName name="_xlchart.v2.4" hidden="1">Pivot!$D$2:$D$10</definedName>
    <definedName name="_xlchart.v2.5" hidden="1">Pivot!$E$2:$E$10</definedName>
    <definedName name="_xlchart.v5.0" hidden="1">Pivot!$K$18</definedName>
    <definedName name="_xlchart.v5.1" hidden="1">Pivot!$K$19:$K$28</definedName>
    <definedName name="_xlchart.v5.2" hidden="1">Pivot!$L$18</definedName>
    <definedName name="_xlchart.v5.3" hidden="1">Pivot!$L$19:$L$28</definedName>
    <definedName name="Slicer_Category">#N/A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01" i="5" l="1"/>
  <c r="B2000" i="5"/>
  <c r="B1999" i="5"/>
  <c r="B1998" i="5"/>
  <c r="B1997" i="5"/>
  <c r="B1996" i="5"/>
  <c r="B1995" i="5"/>
  <c r="B1994" i="5"/>
  <c r="B1993" i="5"/>
  <c r="B1992" i="5"/>
  <c r="B1991" i="5"/>
  <c r="B1990" i="5"/>
  <c r="B1989" i="5"/>
  <c r="B1988" i="5"/>
  <c r="B1987" i="5"/>
  <c r="B1986" i="5"/>
  <c r="B1985" i="5"/>
  <c r="B1984" i="5"/>
  <c r="B1983" i="5"/>
  <c r="B1982" i="5"/>
  <c r="B1981" i="5"/>
  <c r="B1980" i="5"/>
  <c r="B1979" i="5"/>
  <c r="B1978" i="5"/>
  <c r="B1977" i="5"/>
  <c r="B1976" i="5"/>
  <c r="B1975" i="5"/>
  <c r="B1974" i="5"/>
  <c r="B1973" i="5"/>
  <c r="B1972" i="5"/>
  <c r="B1971" i="5"/>
  <c r="B1970" i="5"/>
  <c r="B1969" i="5"/>
  <c r="B1968" i="5"/>
  <c r="B1967" i="5"/>
  <c r="B1966" i="5"/>
  <c r="B1965" i="5"/>
  <c r="B1964" i="5"/>
  <c r="B1963" i="5"/>
  <c r="B1962" i="5"/>
  <c r="B1961" i="5"/>
  <c r="B1960" i="5"/>
  <c r="B1959" i="5"/>
  <c r="B1958" i="5"/>
  <c r="B1957" i="5"/>
  <c r="B1956" i="5"/>
  <c r="B1955" i="5"/>
  <c r="B1954" i="5"/>
  <c r="B1953" i="5"/>
  <c r="B1952" i="5"/>
  <c r="B1951" i="5"/>
  <c r="B1950" i="5"/>
  <c r="B1949" i="5"/>
  <c r="B1948" i="5"/>
  <c r="B1947" i="5"/>
  <c r="B1946" i="5"/>
  <c r="B1945" i="5"/>
  <c r="B1944" i="5"/>
  <c r="B1943" i="5"/>
  <c r="B1942" i="5"/>
  <c r="B1941" i="5"/>
  <c r="B1940" i="5"/>
  <c r="B1939" i="5"/>
  <c r="B1938" i="5"/>
  <c r="B1937" i="5"/>
  <c r="B1936" i="5"/>
  <c r="B1935" i="5"/>
  <c r="B1934" i="5"/>
  <c r="B1933" i="5"/>
  <c r="B1932" i="5"/>
  <c r="B1931" i="5"/>
  <c r="B1930" i="5"/>
  <c r="B1929" i="5"/>
  <c r="B1928" i="5"/>
  <c r="B1927" i="5"/>
  <c r="B1926" i="5"/>
  <c r="B1925" i="5"/>
  <c r="B1924" i="5"/>
  <c r="B1923" i="5"/>
  <c r="B1922" i="5"/>
  <c r="B1921" i="5"/>
  <c r="B1920" i="5"/>
  <c r="B1919" i="5"/>
  <c r="B1918" i="5"/>
  <c r="B1917" i="5"/>
  <c r="B1916" i="5"/>
  <c r="B1915" i="5"/>
  <c r="B1914" i="5"/>
  <c r="B1913" i="5"/>
  <c r="B1912" i="5"/>
  <c r="B1911" i="5"/>
  <c r="B1910" i="5"/>
  <c r="B1909" i="5"/>
  <c r="B1908" i="5"/>
  <c r="B1907" i="5"/>
  <c r="B1906" i="5"/>
  <c r="B1905" i="5"/>
  <c r="B1904" i="5"/>
  <c r="B1903" i="5"/>
  <c r="B1902" i="5"/>
  <c r="B1901" i="5"/>
  <c r="B1900" i="5"/>
  <c r="B1899" i="5"/>
  <c r="B1898" i="5"/>
  <c r="B1897" i="5"/>
  <c r="B1896" i="5"/>
  <c r="B1895" i="5"/>
  <c r="B1894" i="5"/>
  <c r="B1893" i="5"/>
  <c r="B1892" i="5"/>
  <c r="B1891" i="5"/>
  <c r="B1890" i="5"/>
  <c r="B1889" i="5"/>
  <c r="B1888" i="5"/>
  <c r="B1887" i="5"/>
  <c r="B1886" i="5"/>
  <c r="B1885" i="5"/>
  <c r="B1884" i="5"/>
  <c r="B1883" i="5"/>
  <c r="B1882" i="5"/>
  <c r="B1881" i="5"/>
  <c r="B1880" i="5"/>
  <c r="B1879" i="5"/>
  <c r="B1878" i="5"/>
  <c r="B1877" i="5"/>
  <c r="B1876" i="5"/>
  <c r="B1875" i="5"/>
  <c r="B1874" i="5"/>
  <c r="B1873" i="5"/>
  <c r="B1872" i="5"/>
  <c r="B1871" i="5"/>
  <c r="B1870" i="5"/>
  <c r="B1869" i="5"/>
  <c r="B1868" i="5"/>
  <c r="B1867" i="5"/>
  <c r="B1866" i="5"/>
  <c r="B1865" i="5"/>
  <c r="B1864" i="5"/>
  <c r="B1863" i="5"/>
  <c r="B1862" i="5"/>
  <c r="B1861" i="5"/>
  <c r="B1860" i="5"/>
  <c r="B1859" i="5"/>
  <c r="B1858" i="5"/>
  <c r="B1857" i="5"/>
  <c r="B1856" i="5"/>
  <c r="B1855" i="5"/>
  <c r="B1854" i="5"/>
  <c r="B1853" i="5"/>
  <c r="B1852" i="5"/>
  <c r="B1851" i="5"/>
  <c r="B1850" i="5"/>
  <c r="B1849" i="5"/>
  <c r="B1848" i="5"/>
  <c r="B1847" i="5"/>
  <c r="B1846" i="5"/>
  <c r="B1845" i="5"/>
  <c r="B1844" i="5"/>
  <c r="B1843" i="5"/>
  <c r="B1842" i="5"/>
  <c r="B1841" i="5"/>
  <c r="B1840" i="5"/>
  <c r="B1839" i="5"/>
  <c r="B1838" i="5"/>
  <c r="B1837" i="5"/>
  <c r="B1836" i="5"/>
  <c r="B1835" i="5"/>
  <c r="B1834" i="5"/>
  <c r="B1833" i="5"/>
  <c r="B1832" i="5"/>
  <c r="B1831" i="5"/>
  <c r="B1830" i="5"/>
  <c r="B1829" i="5"/>
  <c r="B1828" i="5"/>
  <c r="B1827" i="5"/>
  <c r="B1826" i="5"/>
  <c r="B1825" i="5"/>
  <c r="B1824" i="5"/>
  <c r="B1823" i="5"/>
  <c r="B1822" i="5"/>
  <c r="B1821" i="5"/>
  <c r="B1820" i="5"/>
  <c r="B1819" i="5"/>
  <c r="B1818" i="5"/>
  <c r="B1817" i="5"/>
  <c r="B1816" i="5"/>
  <c r="B1815" i="5"/>
  <c r="B1814" i="5"/>
  <c r="B1813" i="5"/>
  <c r="B1812" i="5"/>
  <c r="B1811" i="5"/>
  <c r="B1810" i="5"/>
  <c r="B1809" i="5"/>
  <c r="B1808" i="5"/>
  <c r="B1807" i="5"/>
  <c r="B1806" i="5"/>
  <c r="B1805" i="5"/>
  <c r="B1804" i="5"/>
  <c r="B1803" i="5"/>
  <c r="B1802" i="5"/>
  <c r="B1801" i="5"/>
  <c r="B1800" i="5"/>
  <c r="B1799" i="5"/>
  <c r="B1798" i="5"/>
  <c r="B1797" i="5"/>
  <c r="B1796" i="5"/>
  <c r="B1795" i="5"/>
  <c r="B1794" i="5"/>
  <c r="B1793" i="5"/>
  <c r="B1792" i="5"/>
  <c r="B1791" i="5"/>
  <c r="B1790" i="5"/>
  <c r="B1789" i="5"/>
  <c r="B1788" i="5"/>
  <c r="B1787" i="5"/>
  <c r="B1786" i="5"/>
  <c r="B1785" i="5"/>
  <c r="B1784" i="5"/>
  <c r="B1783" i="5"/>
  <c r="B1782" i="5"/>
  <c r="B1781" i="5"/>
  <c r="B1780" i="5"/>
  <c r="B1779" i="5"/>
  <c r="B1778" i="5"/>
  <c r="B1777" i="5"/>
  <c r="B1776" i="5"/>
  <c r="B1775" i="5"/>
  <c r="B1774" i="5"/>
  <c r="B1773" i="5"/>
  <c r="B1772" i="5"/>
  <c r="B1771" i="5"/>
  <c r="B1770" i="5"/>
  <c r="B1769" i="5"/>
  <c r="B1768" i="5"/>
  <c r="B1767" i="5"/>
  <c r="B1766" i="5"/>
  <c r="B1765" i="5"/>
  <c r="B1764" i="5"/>
  <c r="B1763" i="5"/>
  <c r="B1762" i="5"/>
  <c r="B1761" i="5"/>
  <c r="B1760" i="5"/>
  <c r="B1759" i="5"/>
  <c r="B1758" i="5"/>
  <c r="B1757" i="5"/>
  <c r="B1756" i="5"/>
  <c r="B1755" i="5"/>
  <c r="B1754" i="5"/>
  <c r="B1753" i="5"/>
  <c r="B1752" i="5"/>
  <c r="B1751" i="5"/>
  <c r="B1750" i="5"/>
  <c r="B1749" i="5"/>
  <c r="B1748" i="5"/>
  <c r="B1747" i="5"/>
  <c r="B1746" i="5"/>
  <c r="B1745" i="5"/>
  <c r="B1744" i="5"/>
  <c r="B1743" i="5"/>
  <c r="B1742" i="5"/>
  <c r="B1741" i="5"/>
  <c r="B1740" i="5"/>
  <c r="B1739" i="5"/>
  <c r="B1738" i="5"/>
  <c r="B1737" i="5"/>
  <c r="B1736" i="5"/>
  <c r="B1735" i="5"/>
  <c r="B1734" i="5"/>
  <c r="B1733" i="5"/>
  <c r="B1732" i="5"/>
  <c r="B1731" i="5"/>
  <c r="B1730" i="5"/>
  <c r="B1729" i="5"/>
  <c r="B1728" i="5"/>
  <c r="B1727" i="5"/>
  <c r="B1726" i="5"/>
  <c r="B1725" i="5"/>
  <c r="B1724" i="5"/>
  <c r="B1723" i="5"/>
  <c r="B1722" i="5"/>
  <c r="B1721" i="5"/>
  <c r="B1720" i="5"/>
  <c r="B1719" i="5"/>
  <c r="B1718" i="5"/>
  <c r="B1717" i="5"/>
  <c r="B1716" i="5"/>
  <c r="B1715" i="5"/>
  <c r="B1714" i="5"/>
  <c r="B1713" i="5"/>
  <c r="B1712" i="5"/>
  <c r="B1711" i="5"/>
  <c r="B1710" i="5"/>
  <c r="B1709" i="5"/>
  <c r="B1708" i="5"/>
  <c r="B1707" i="5"/>
  <c r="B1706" i="5"/>
  <c r="B1705" i="5"/>
  <c r="B1704" i="5"/>
  <c r="B1703" i="5"/>
  <c r="B1702" i="5"/>
  <c r="B1701" i="5"/>
  <c r="B1700" i="5"/>
  <c r="B1699" i="5"/>
  <c r="B1698" i="5"/>
  <c r="B1697" i="5"/>
  <c r="B1696" i="5"/>
  <c r="B1695" i="5"/>
  <c r="B1694" i="5"/>
  <c r="B1693" i="5"/>
  <c r="B1692" i="5"/>
  <c r="B1691" i="5"/>
  <c r="B1690" i="5"/>
  <c r="B1689" i="5"/>
  <c r="B1688" i="5"/>
  <c r="B1687" i="5"/>
  <c r="B1686" i="5"/>
  <c r="B1685" i="5"/>
  <c r="B1684" i="5"/>
  <c r="B1683" i="5"/>
  <c r="B1682" i="5"/>
  <c r="B1681" i="5"/>
  <c r="B1680" i="5"/>
  <c r="B1679" i="5"/>
  <c r="B1678" i="5"/>
  <c r="B1677" i="5"/>
  <c r="B1676" i="5"/>
  <c r="B1675" i="5"/>
  <c r="B1674" i="5"/>
  <c r="B1673" i="5"/>
  <c r="B1672" i="5"/>
  <c r="B1671" i="5"/>
  <c r="B1670" i="5"/>
  <c r="B1669" i="5"/>
  <c r="B1668" i="5"/>
  <c r="B1667" i="5"/>
  <c r="B1666" i="5"/>
  <c r="B1665" i="5"/>
  <c r="B1664" i="5"/>
  <c r="B1663" i="5"/>
  <c r="B1662" i="5"/>
  <c r="B1661" i="5"/>
  <c r="B1660" i="5"/>
  <c r="B1659" i="5"/>
  <c r="B1658" i="5"/>
  <c r="B1657" i="5"/>
  <c r="B1656" i="5"/>
  <c r="B1655" i="5"/>
  <c r="B1654" i="5"/>
  <c r="B1653" i="5"/>
  <c r="B1652" i="5"/>
  <c r="B1651" i="5"/>
  <c r="B1650" i="5"/>
  <c r="B1649" i="5"/>
  <c r="B1648" i="5"/>
  <c r="B1647" i="5"/>
  <c r="B1646" i="5"/>
  <c r="B1645" i="5"/>
  <c r="B1644" i="5"/>
  <c r="B1643" i="5"/>
  <c r="B1642" i="5"/>
  <c r="B1641" i="5"/>
  <c r="B1640" i="5"/>
  <c r="B1639" i="5"/>
  <c r="B1638" i="5"/>
  <c r="B1637" i="5"/>
  <c r="B1636" i="5"/>
  <c r="B1635" i="5"/>
  <c r="B1634" i="5"/>
  <c r="B1633" i="5"/>
  <c r="B1632" i="5"/>
  <c r="B1631" i="5"/>
  <c r="B1630" i="5"/>
  <c r="B1629" i="5"/>
  <c r="B1628" i="5"/>
  <c r="B1627" i="5"/>
  <c r="B1626" i="5"/>
  <c r="B1625" i="5"/>
  <c r="B1624" i="5"/>
  <c r="B1623" i="5"/>
  <c r="B1622" i="5"/>
  <c r="B1621" i="5"/>
  <c r="B1620" i="5"/>
  <c r="B1619" i="5"/>
  <c r="B1618" i="5"/>
  <c r="B1617" i="5"/>
  <c r="B1616" i="5"/>
  <c r="B1615" i="5"/>
  <c r="B1614" i="5"/>
  <c r="B1613" i="5"/>
  <c r="B1612" i="5"/>
  <c r="B1611" i="5"/>
  <c r="B1610" i="5"/>
  <c r="B1609" i="5"/>
  <c r="B1608" i="5"/>
  <c r="B1607" i="5"/>
  <c r="B1606" i="5"/>
  <c r="B1605" i="5"/>
  <c r="B1604" i="5"/>
  <c r="B1603" i="5"/>
  <c r="B1602" i="5"/>
  <c r="B1601" i="5"/>
  <c r="B1600" i="5"/>
  <c r="B1599" i="5"/>
  <c r="B1598" i="5"/>
  <c r="B1597" i="5"/>
  <c r="B1596" i="5"/>
  <c r="B1595" i="5"/>
  <c r="B1594" i="5"/>
  <c r="B1593" i="5"/>
  <c r="B1592" i="5"/>
  <c r="B1591" i="5"/>
  <c r="B1590" i="5"/>
  <c r="B1589" i="5"/>
  <c r="B1588" i="5"/>
  <c r="B1587" i="5"/>
  <c r="B1586" i="5"/>
  <c r="B1585" i="5"/>
  <c r="B1584" i="5"/>
  <c r="B1583" i="5"/>
  <c r="B1582" i="5"/>
  <c r="B1581" i="5"/>
  <c r="B1580" i="5"/>
  <c r="B1579" i="5"/>
  <c r="B1578" i="5"/>
  <c r="B1577" i="5"/>
  <c r="B1576" i="5"/>
  <c r="B1575" i="5"/>
  <c r="B1574" i="5"/>
  <c r="B1573" i="5"/>
  <c r="B1572" i="5"/>
  <c r="B1571" i="5"/>
  <c r="B1570" i="5"/>
  <c r="B1569" i="5"/>
  <c r="B1568" i="5"/>
  <c r="B1567" i="5"/>
  <c r="B1566" i="5"/>
  <c r="B1565" i="5"/>
  <c r="B1564" i="5"/>
  <c r="B1563" i="5"/>
  <c r="B1562" i="5"/>
  <c r="B1561" i="5"/>
  <c r="B1560" i="5"/>
  <c r="B1559" i="5"/>
  <c r="B1558" i="5"/>
  <c r="B1557" i="5"/>
  <c r="B1556" i="5"/>
  <c r="B1555" i="5"/>
  <c r="B1554" i="5"/>
  <c r="B1553" i="5"/>
  <c r="B1552" i="5"/>
  <c r="B1551" i="5"/>
  <c r="B1550" i="5"/>
  <c r="B1549" i="5"/>
  <c r="B1548" i="5"/>
  <c r="B1547" i="5"/>
  <c r="B1546" i="5"/>
  <c r="B1545" i="5"/>
  <c r="B1544" i="5"/>
  <c r="B1543" i="5"/>
  <c r="B1542" i="5"/>
  <c r="B1541" i="5"/>
  <c r="B1540" i="5"/>
  <c r="B1539" i="5"/>
  <c r="B1538" i="5"/>
  <c r="B1537" i="5"/>
  <c r="B1536" i="5"/>
  <c r="B1535" i="5"/>
  <c r="B1534" i="5"/>
  <c r="B1533" i="5"/>
  <c r="B1532" i="5"/>
  <c r="B1531" i="5"/>
  <c r="B1530" i="5"/>
  <c r="B1529" i="5"/>
  <c r="B1528" i="5"/>
  <c r="B1527" i="5"/>
  <c r="B1526" i="5"/>
  <c r="B1525" i="5"/>
  <c r="B1524" i="5"/>
  <c r="B1523" i="5"/>
  <c r="B1522" i="5"/>
  <c r="B1521" i="5"/>
  <c r="B1520" i="5"/>
  <c r="B1519" i="5"/>
  <c r="B1518" i="5"/>
  <c r="B1517" i="5"/>
  <c r="B1516" i="5"/>
  <c r="B1515" i="5"/>
  <c r="B1514" i="5"/>
  <c r="B1513" i="5"/>
  <c r="B1512" i="5"/>
  <c r="B1511" i="5"/>
  <c r="B1510" i="5"/>
  <c r="B1509" i="5"/>
  <c r="B1508" i="5"/>
  <c r="B1507" i="5"/>
  <c r="B1506" i="5"/>
  <c r="B1505" i="5"/>
  <c r="B1504" i="5"/>
  <c r="B1503" i="5"/>
  <c r="B1502" i="5"/>
  <c r="B1501" i="5"/>
  <c r="B1500" i="5"/>
  <c r="B1499" i="5"/>
  <c r="B1498" i="5"/>
  <c r="B1497" i="5"/>
  <c r="B1496" i="5"/>
  <c r="B1495" i="5"/>
  <c r="B1494" i="5"/>
  <c r="B1493" i="5"/>
  <c r="B1492" i="5"/>
  <c r="B1491" i="5"/>
  <c r="B1490" i="5"/>
  <c r="B1489" i="5"/>
  <c r="B1488" i="5"/>
  <c r="B1487" i="5"/>
  <c r="B1486" i="5"/>
  <c r="B1485" i="5"/>
  <c r="B1484" i="5"/>
  <c r="B1483" i="5"/>
  <c r="B1482" i="5"/>
  <c r="B1481" i="5"/>
  <c r="B1480" i="5"/>
  <c r="B1479" i="5"/>
  <c r="B1478" i="5"/>
  <c r="B1477" i="5"/>
  <c r="B1476" i="5"/>
  <c r="B1475" i="5"/>
  <c r="B1474" i="5"/>
  <c r="B1473" i="5"/>
  <c r="B1472" i="5"/>
  <c r="B1471" i="5"/>
  <c r="B1470" i="5"/>
  <c r="B1469" i="5"/>
  <c r="B1468" i="5"/>
  <c r="B1467" i="5"/>
  <c r="B1466" i="5"/>
  <c r="B1465" i="5"/>
  <c r="B1464" i="5"/>
  <c r="B1463" i="5"/>
  <c r="B1462" i="5"/>
  <c r="B1461" i="5"/>
  <c r="B1460" i="5"/>
  <c r="B1459" i="5"/>
  <c r="B1458" i="5"/>
  <c r="B1457" i="5"/>
  <c r="B1456" i="5"/>
  <c r="B1455" i="5"/>
  <c r="B1454" i="5"/>
  <c r="B1453" i="5"/>
  <c r="B1452" i="5"/>
  <c r="B1451" i="5"/>
  <c r="B1450" i="5"/>
  <c r="B1449" i="5"/>
  <c r="B1448" i="5"/>
  <c r="B1447" i="5"/>
  <c r="B1446" i="5"/>
  <c r="B1445" i="5"/>
  <c r="B1444" i="5"/>
  <c r="B1443" i="5"/>
  <c r="B1442" i="5"/>
  <c r="B1441" i="5"/>
  <c r="B1440" i="5"/>
  <c r="B1439" i="5"/>
  <c r="B1438" i="5"/>
  <c r="B1437" i="5"/>
  <c r="B1436" i="5"/>
  <c r="B1435" i="5"/>
  <c r="B1434" i="5"/>
  <c r="B1433" i="5"/>
  <c r="B1432" i="5"/>
  <c r="B1431" i="5"/>
  <c r="B1430" i="5"/>
  <c r="B1429" i="5"/>
  <c r="B1428" i="5"/>
  <c r="B1427" i="5"/>
  <c r="B1426" i="5"/>
  <c r="B1425" i="5"/>
  <c r="B1424" i="5"/>
  <c r="B1423" i="5"/>
  <c r="B1422" i="5"/>
  <c r="B1421" i="5"/>
  <c r="B1420" i="5"/>
  <c r="B1419" i="5"/>
  <c r="B1418" i="5"/>
  <c r="B1417" i="5"/>
  <c r="B1416" i="5"/>
  <c r="B1415" i="5"/>
  <c r="B1414" i="5"/>
  <c r="B1413" i="5"/>
  <c r="B1412" i="5"/>
  <c r="B1411" i="5"/>
  <c r="B1410" i="5"/>
  <c r="B1409" i="5"/>
  <c r="B1408" i="5"/>
  <c r="B1407" i="5"/>
  <c r="B1406" i="5"/>
  <c r="B1405" i="5"/>
  <c r="B1404" i="5"/>
  <c r="B1403" i="5"/>
  <c r="B1402" i="5"/>
  <c r="B1401" i="5"/>
  <c r="B1400" i="5"/>
  <c r="B1399" i="5"/>
  <c r="B1398" i="5"/>
  <c r="B1397" i="5"/>
  <c r="B1396" i="5"/>
  <c r="B1395" i="5"/>
  <c r="B1394" i="5"/>
  <c r="B1393" i="5"/>
  <c r="B1392" i="5"/>
  <c r="B1391" i="5"/>
  <c r="B1390" i="5"/>
  <c r="B1389" i="5"/>
  <c r="B1388" i="5"/>
  <c r="B1387" i="5"/>
  <c r="B1386" i="5"/>
  <c r="B1385" i="5"/>
  <c r="B1384" i="5"/>
  <c r="B1383" i="5"/>
  <c r="B1382" i="5"/>
  <c r="B1381" i="5"/>
  <c r="B1380" i="5"/>
  <c r="B1379" i="5"/>
  <c r="B1378" i="5"/>
  <c r="B1377" i="5"/>
  <c r="B1376" i="5"/>
  <c r="B1375" i="5"/>
  <c r="B1374" i="5"/>
  <c r="B1373" i="5"/>
  <c r="B1372" i="5"/>
  <c r="B1371" i="5"/>
  <c r="B1370" i="5"/>
  <c r="B1369" i="5"/>
  <c r="B1368" i="5"/>
  <c r="B1367" i="5"/>
  <c r="B1366" i="5"/>
  <c r="B1365" i="5"/>
  <c r="B1364" i="5"/>
  <c r="B1363" i="5"/>
  <c r="B1362" i="5"/>
  <c r="B1361" i="5"/>
  <c r="B1360" i="5"/>
  <c r="B1359" i="5"/>
  <c r="B1358" i="5"/>
  <c r="B1357" i="5"/>
  <c r="B1356" i="5"/>
  <c r="B1355" i="5"/>
  <c r="B1354" i="5"/>
  <c r="B1353" i="5"/>
  <c r="B1352" i="5"/>
  <c r="B1351" i="5"/>
  <c r="B1350" i="5"/>
  <c r="B1349" i="5"/>
  <c r="B1348" i="5"/>
  <c r="B1347" i="5"/>
  <c r="B1346" i="5"/>
  <c r="B1345" i="5"/>
  <c r="B1344" i="5"/>
  <c r="B1343" i="5"/>
  <c r="B1342" i="5"/>
  <c r="B1341" i="5"/>
  <c r="B1340" i="5"/>
  <c r="B1339" i="5"/>
  <c r="B1338" i="5"/>
  <c r="B1337" i="5"/>
  <c r="B1336" i="5"/>
  <c r="B1335" i="5"/>
  <c r="B1334" i="5"/>
  <c r="B1333" i="5"/>
  <c r="B1332" i="5"/>
  <c r="B1331" i="5"/>
  <c r="B1330" i="5"/>
  <c r="B1329" i="5"/>
  <c r="B1328" i="5"/>
  <c r="B1327" i="5"/>
  <c r="B1326" i="5"/>
  <c r="B1325" i="5"/>
  <c r="B1324" i="5"/>
  <c r="B1323" i="5"/>
  <c r="B1322" i="5"/>
  <c r="B1321" i="5"/>
  <c r="B1320" i="5"/>
  <c r="B1319" i="5"/>
  <c r="B1318" i="5"/>
  <c r="B1317" i="5"/>
  <c r="B1316" i="5"/>
  <c r="B1315" i="5"/>
  <c r="B1314" i="5"/>
  <c r="B1313" i="5"/>
  <c r="B1312" i="5"/>
  <c r="B1311" i="5"/>
  <c r="B1310" i="5"/>
  <c r="B1309" i="5"/>
  <c r="B1308" i="5"/>
  <c r="B1307" i="5"/>
  <c r="B1306" i="5"/>
  <c r="B1305" i="5"/>
  <c r="B1304" i="5"/>
  <c r="B1303" i="5"/>
  <c r="B1302" i="5"/>
  <c r="B1301" i="5"/>
  <c r="B1300" i="5"/>
  <c r="B1299" i="5"/>
  <c r="B1298" i="5"/>
  <c r="B1297" i="5"/>
  <c r="B1296" i="5"/>
  <c r="B1295" i="5"/>
  <c r="B1294" i="5"/>
  <c r="B1293" i="5"/>
  <c r="B1292" i="5"/>
  <c r="B1291" i="5"/>
  <c r="B1290" i="5"/>
  <c r="B1289" i="5"/>
  <c r="B1288" i="5"/>
  <c r="B1287" i="5"/>
  <c r="B1286" i="5"/>
  <c r="B1285" i="5"/>
  <c r="B1284" i="5"/>
  <c r="B1283" i="5"/>
  <c r="B1282" i="5"/>
  <c r="B1281" i="5"/>
  <c r="B1280" i="5"/>
  <c r="B1279" i="5"/>
  <c r="B1278" i="5"/>
  <c r="B1277" i="5"/>
  <c r="B1276" i="5"/>
  <c r="B1275" i="5"/>
  <c r="B1274" i="5"/>
  <c r="B1273" i="5"/>
  <c r="B1272" i="5"/>
  <c r="B1271" i="5"/>
  <c r="B1270" i="5"/>
  <c r="B1269" i="5"/>
  <c r="B1268" i="5"/>
  <c r="B1267" i="5"/>
  <c r="B1266" i="5"/>
  <c r="B1265" i="5"/>
  <c r="B1264" i="5"/>
  <c r="B1263" i="5"/>
  <c r="B1262" i="5"/>
  <c r="B1261" i="5"/>
  <c r="B1260" i="5"/>
  <c r="B1259" i="5"/>
  <c r="B1258" i="5"/>
  <c r="B1257" i="5"/>
  <c r="B1256" i="5"/>
  <c r="B1255" i="5"/>
  <c r="B1254" i="5"/>
  <c r="B1253" i="5"/>
  <c r="B1252" i="5"/>
  <c r="B1251" i="5"/>
  <c r="B1250" i="5"/>
  <c r="B1249" i="5"/>
  <c r="B1248" i="5"/>
  <c r="B1247" i="5"/>
  <c r="B1246" i="5"/>
  <c r="B1245" i="5"/>
  <c r="B1244" i="5"/>
  <c r="B1243" i="5"/>
  <c r="B1242" i="5"/>
  <c r="B1241" i="5"/>
  <c r="B1240" i="5"/>
  <c r="B1239" i="5"/>
  <c r="B1238" i="5"/>
  <c r="B1237" i="5"/>
  <c r="B1236" i="5"/>
  <c r="B1235" i="5"/>
  <c r="B1234" i="5"/>
  <c r="B1233" i="5"/>
  <c r="B1232" i="5"/>
  <c r="B1231" i="5"/>
  <c r="B1230" i="5"/>
  <c r="B1229" i="5"/>
  <c r="B1228" i="5"/>
  <c r="B1227" i="5"/>
  <c r="B1226" i="5"/>
  <c r="B1225" i="5"/>
  <c r="B1224" i="5"/>
  <c r="B1223" i="5"/>
  <c r="B1222" i="5"/>
  <c r="B1221" i="5"/>
  <c r="B1220" i="5"/>
  <c r="B1219" i="5"/>
  <c r="B1218" i="5"/>
  <c r="B1217" i="5"/>
  <c r="B1216" i="5"/>
  <c r="B1215" i="5"/>
  <c r="B1214" i="5"/>
  <c r="B1213" i="5"/>
  <c r="B1212" i="5"/>
  <c r="B1211" i="5"/>
  <c r="B1210" i="5"/>
  <c r="B1209" i="5"/>
  <c r="B1208" i="5"/>
  <c r="B1207" i="5"/>
  <c r="B1206" i="5"/>
  <c r="B1205" i="5"/>
  <c r="B1204" i="5"/>
  <c r="B1203" i="5"/>
  <c r="B1202" i="5"/>
  <c r="B1201" i="5"/>
  <c r="B1200" i="5"/>
  <c r="B1199" i="5"/>
  <c r="B1198" i="5"/>
  <c r="B1197" i="5"/>
  <c r="B1196" i="5"/>
  <c r="B1195" i="5"/>
  <c r="B1194" i="5"/>
  <c r="B1193" i="5"/>
  <c r="B1192" i="5"/>
  <c r="B1191" i="5"/>
  <c r="B1190" i="5"/>
  <c r="B1189" i="5"/>
  <c r="B1188" i="5"/>
  <c r="B1187" i="5"/>
  <c r="B1186" i="5"/>
  <c r="B1185" i="5"/>
  <c r="B1184" i="5"/>
  <c r="B1183" i="5"/>
  <c r="B1182" i="5"/>
  <c r="B1181" i="5"/>
  <c r="B1180" i="5"/>
  <c r="B1179" i="5"/>
  <c r="B1178" i="5"/>
  <c r="B1177" i="5"/>
  <c r="B1176" i="5"/>
  <c r="B1175" i="5"/>
  <c r="B1174" i="5"/>
  <c r="B1173" i="5"/>
  <c r="B1172" i="5"/>
  <c r="B1171" i="5"/>
  <c r="B1170" i="5"/>
  <c r="B1169" i="5"/>
  <c r="B1168" i="5"/>
  <c r="B1167" i="5"/>
  <c r="B1166" i="5"/>
  <c r="B1165" i="5"/>
  <c r="B1164" i="5"/>
  <c r="B1163" i="5"/>
  <c r="B1162" i="5"/>
  <c r="B1161" i="5"/>
  <c r="B1160" i="5"/>
  <c r="B1159" i="5"/>
  <c r="B1158" i="5"/>
  <c r="B1157" i="5"/>
  <c r="B1156" i="5"/>
  <c r="B1155" i="5"/>
  <c r="B1154" i="5"/>
  <c r="B1153" i="5"/>
  <c r="B1152" i="5"/>
  <c r="B1151" i="5"/>
  <c r="B1150" i="5"/>
  <c r="B1149" i="5"/>
  <c r="B1148" i="5"/>
  <c r="B1147" i="5"/>
  <c r="B1146" i="5"/>
  <c r="B1145" i="5"/>
  <c r="B1144" i="5"/>
  <c r="B1143" i="5"/>
  <c r="B1142" i="5"/>
  <c r="B1141" i="5"/>
  <c r="B1140" i="5"/>
  <c r="B1139" i="5"/>
  <c r="B1138" i="5"/>
  <c r="B1137" i="5"/>
  <c r="B1136" i="5"/>
  <c r="B1135" i="5"/>
  <c r="B1134" i="5"/>
  <c r="B1133" i="5"/>
  <c r="B1132" i="5"/>
  <c r="B1131" i="5"/>
  <c r="B1130" i="5"/>
  <c r="B1129" i="5"/>
  <c r="B1128" i="5"/>
  <c r="B1127" i="5"/>
  <c r="B1126" i="5"/>
  <c r="B1125" i="5"/>
  <c r="B1124" i="5"/>
  <c r="B1123" i="5"/>
  <c r="B1122" i="5"/>
  <c r="B1121" i="5"/>
  <c r="B1120" i="5"/>
  <c r="B1119" i="5"/>
  <c r="B1118" i="5"/>
  <c r="B1117" i="5"/>
  <c r="B1116" i="5"/>
  <c r="B1115" i="5"/>
  <c r="B1114" i="5"/>
  <c r="B1113" i="5"/>
  <c r="B1112" i="5"/>
  <c r="B1111" i="5"/>
  <c r="B1110" i="5"/>
  <c r="B1109" i="5"/>
  <c r="B1108" i="5"/>
  <c r="B1107" i="5"/>
  <c r="B1106" i="5"/>
  <c r="B1105" i="5"/>
  <c r="B1104" i="5"/>
  <c r="B1103" i="5"/>
  <c r="B1102" i="5"/>
  <c r="B1101" i="5"/>
  <c r="B1100" i="5"/>
  <c r="B1099" i="5"/>
  <c r="B1098" i="5"/>
  <c r="B1097" i="5"/>
  <c r="B1096" i="5"/>
  <c r="B1095" i="5"/>
  <c r="B1094" i="5"/>
  <c r="B1093" i="5"/>
  <c r="B1092" i="5"/>
  <c r="B1091" i="5"/>
  <c r="B1090" i="5"/>
  <c r="B1089" i="5"/>
  <c r="B1088" i="5"/>
  <c r="B1087" i="5"/>
  <c r="B1086" i="5"/>
  <c r="B1085" i="5"/>
  <c r="B1084" i="5"/>
  <c r="B1083" i="5"/>
  <c r="B1082" i="5"/>
  <c r="B1081" i="5"/>
  <c r="B1080" i="5"/>
  <c r="B1079" i="5"/>
  <c r="B1078" i="5"/>
  <c r="B1077" i="5"/>
  <c r="B1076" i="5"/>
  <c r="B1075" i="5"/>
  <c r="B1074" i="5"/>
  <c r="B1073" i="5"/>
  <c r="B1072" i="5"/>
  <c r="B1071" i="5"/>
  <c r="B1070" i="5"/>
  <c r="B1069" i="5"/>
  <c r="B1068" i="5"/>
  <c r="B1067" i="5"/>
  <c r="B1066" i="5"/>
  <c r="B1065" i="5"/>
  <c r="B1064" i="5"/>
  <c r="B1063" i="5"/>
  <c r="B1062" i="5"/>
  <c r="B1061" i="5"/>
  <c r="B1060" i="5"/>
  <c r="B1059" i="5"/>
  <c r="B1058" i="5"/>
  <c r="B1057" i="5"/>
  <c r="B1056" i="5"/>
  <c r="B1055" i="5"/>
  <c r="B1054" i="5"/>
  <c r="B1053" i="5"/>
  <c r="B1052" i="5"/>
  <c r="B1051" i="5"/>
  <c r="B1050" i="5"/>
  <c r="B1049" i="5"/>
  <c r="B1048" i="5"/>
  <c r="B1047" i="5"/>
  <c r="B1046" i="5"/>
  <c r="B1045" i="5"/>
  <c r="B1044" i="5"/>
  <c r="B1043" i="5"/>
  <c r="B1042" i="5"/>
  <c r="B1041" i="5"/>
  <c r="B1040" i="5"/>
  <c r="B1039" i="5"/>
  <c r="B1038" i="5"/>
  <c r="B1037" i="5"/>
  <c r="B1036" i="5"/>
  <c r="B1035" i="5"/>
  <c r="B1034" i="5"/>
  <c r="B1033" i="5"/>
  <c r="B1032" i="5"/>
  <c r="B1031" i="5"/>
  <c r="B1030" i="5"/>
  <c r="B1029" i="5"/>
  <c r="B1028" i="5"/>
  <c r="B1027" i="5"/>
  <c r="B1026" i="5"/>
  <c r="B1025" i="5"/>
  <c r="B1024" i="5"/>
  <c r="B1023" i="5"/>
  <c r="B1022" i="5"/>
  <c r="B1021" i="5"/>
  <c r="B1020" i="5"/>
  <c r="B1019" i="5"/>
  <c r="B1018" i="5"/>
  <c r="B1017" i="5"/>
  <c r="B1016" i="5"/>
  <c r="B1015" i="5"/>
  <c r="B1014" i="5"/>
  <c r="B1013" i="5"/>
  <c r="B1012" i="5"/>
  <c r="B1011" i="5"/>
  <c r="B1010" i="5"/>
  <c r="B1009" i="5"/>
  <c r="B1008" i="5"/>
  <c r="B1007" i="5"/>
  <c r="B1006" i="5"/>
  <c r="B1005" i="5"/>
  <c r="B1004" i="5"/>
  <c r="B1003" i="5"/>
  <c r="B1002" i="5"/>
  <c r="B1001" i="5"/>
  <c r="B1000" i="5"/>
  <c r="B999" i="5"/>
  <c r="B998" i="5"/>
  <c r="B997" i="5"/>
  <c r="B996" i="5"/>
  <c r="B995" i="5"/>
  <c r="B994" i="5"/>
  <c r="B993" i="5"/>
  <c r="B992" i="5"/>
  <c r="B991" i="5"/>
  <c r="B990" i="5"/>
  <c r="B989" i="5"/>
  <c r="B988" i="5"/>
  <c r="B987" i="5"/>
  <c r="B986" i="5"/>
  <c r="B985" i="5"/>
  <c r="B984" i="5"/>
  <c r="B983" i="5"/>
  <c r="B982" i="5"/>
  <c r="B981" i="5"/>
  <c r="B980" i="5"/>
  <c r="B979" i="5"/>
  <c r="B978" i="5"/>
  <c r="B977" i="5"/>
  <c r="B976" i="5"/>
  <c r="B975" i="5"/>
  <c r="B974" i="5"/>
  <c r="B973" i="5"/>
  <c r="B972" i="5"/>
  <c r="B971" i="5"/>
  <c r="B970" i="5"/>
  <c r="B969" i="5"/>
  <c r="B968" i="5"/>
  <c r="B967" i="5"/>
  <c r="B966" i="5"/>
  <c r="B965" i="5"/>
  <c r="B964" i="5"/>
  <c r="B963" i="5"/>
  <c r="B962" i="5"/>
  <c r="B961" i="5"/>
  <c r="B960" i="5"/>
  <c r="B959" i="5"/>
  <c r="B958" i="5"/>
  <c r="B957" i="5"/>
  <c r="B956" i="5"/>
  <c r="B955" i="5"/>
  <c r="B954" i="5"/>
  <c r="B953" i="5"/>
  <c r="B952" i="5"/>
  <c r="B951" i="5"/>
  <c r="B950" i="5"/>
  <c r="B949" i="5"/>
  <c r="B948" i="5"/>
  <c r="B947" i="5"/>
  <c r="B946" i="5"/>
  <c r="B945" i="5"/>
  <c r="B944" i="5"/>
  <c r="B943" i="5"/>
  <c r="B942" i="5"/>
  <c r="B941" i="5"/>
  <c r="B940" i="5"/>
  <c r="B939" i="5"/>
  <c r="B938" i="5"/>
  <c r="B937" i="5"/>
  <c r="B936" i="5"/>
  <c r="B935" i="5"/>
  <c r="B934" i="5"/>
  <c r="B933" i="5"/>
  <c r="B932" i="5"/>
  <c r="B931" i="5"/>
  <c r="B930" i="5"/>
  <c r="B929" i="5"/>
  <c r="B928" i="5"/>
  <c r="B927" i="5"/>
  <c r="B926" i="5"/>
  <c r="B925" i="5"/>
  <c r="B924" i="5"/>
  <c r="B923" i="5"/>
  <c r="B922" i="5"/>
  <c r="B921" i="5"/>
  <c r="B920" i="5"/>
  <c r="B919" i="5"/>
  <c r="B918" i="5"/>
  <c r="B917" i="5"/>
  <c r="B916" i="5"/>
  <c r="B915" i="5"/>
  <c r="B914" i="5"/>
  <c r="B913" i="5"/>
  <c r="B912" i="5"/>
  <c r="B911" i="5"/>
  <c r="B910" i="5"/>
  <c r="B909" i="5"/>
  <c r="B908" i="5"/>
  <c r="B907" i="5"/>
  <c r="B906" i="5"/>
  <c r="B905" i="5"/>
  <c r="B904" i="5"/>
  <c r="B903" i="5"/>
  <c r="B902" i="5"/>
  <c r="B901" i="5"/>
  <c r="B900" i="5"/>
  <c r="B899" i="5"/>
  <c r="B898" i="5"/>
  <c r="B897" i="5"/>
  <c r="B896" i="5"/>
  <c r="B895" i="5"/>
  <c r="B894" i="5"/>
  <c r="B893" i="5"/>
  <c r="B892" i="5"/>
  <c r="B891" i="5"/>
  <c r="B890" i="5"/>
  <c r="B889" i="5"/>
  <c r="B888" i="5"/>
  <c r="B887" i="5"/>
  <c r="B886" i="5"/>
  <c r="B885" i="5"/>
  <c r="B884" i="5"/>
  <c r="B883" i="5"/>
  <c r="B882" i="5"/>
  <c r="B881" i="5"/>
  <c r="B880" i="5"/>
  <c r="B879" i="5"/>
  <c r="B878" i="5"/>
  <c r="B877" i="5"/>
  <c r="B876" i="5"/>
  <c r="B875" i="5"/>
  <c r="B874" i="5"/>
  <c r="B873" i="5"/>
  <c r="B872" i="5"/>
  <c r="B871" i="5"/>
  <c r="B870" i="5"/>
  <c r="B869" i="5"/>
  <c r="B868" i="5"/>
  <c r="B867" i="5"/>
  <c r="B866" i="5"/>
  <c r="B865" i="5"/>
  <c r="B864" i="5"/>
  <c r="B863" i="5"/>
  <c r="B862" i="5"/>
  <c r="B861" i="5"/>
  <c r="B860" i="5"/>
  <c r="B859" i="5"/>
  <c r="B858" i="5"/>
  <c r="B857" i="5"/>
  <c r="B856" i="5"/>
  <c r="B855" i="5"/>
  <c r="B854" i="5"/>
  <c r="B853" i="5"/>
  <c r="B852" i="5"/>
  <c r="B851" i="5"/>
  <c r="B850" i="5"/>
  <c r="B849" i="5"/>
  <c r="B848" i="5"/>
  <c r="B847" i="5"/>
  <c r="B846" i="5"/>
  <c r="B845" i="5"/>
  <c r="B844" i="5"/>
  <c r="B843" i="5"/>
  <c r="B842" i="5"/>
  <c r="B841" i="5"/>
  <c r="B840" i="5"/>
  <c r="B839" i="5"/>
  <c r="B838" i="5"/>
  <c r="B837" i="5"/>
  <c r="B836" i="5"/>
  <c r="B835" i="5"/>
  <c r="B834" i="5"/>
  <c r="B833" i="5"/>
  <c r="B832" i="5"/>
  <c r="B831" i="5"/>
  <c r="B830" i="5"/>
  <c r="B829" i="5"/>
  <c r="B828" i="5"/>
  <c r="B827" i="5"/>
  <c r="B826" i="5"/>
  <c r="B825" i="5"/>
  <c r="B824" i="5"/>
  <c r="B823" i="5"/>
  <c r="B822" i="5"/>
  <c r="B821" i="5"/>
  <c r="B820" i="5"/>
  <c r="B819" i="5"/>
  <c r="B818" i="5"/>
  <c r="B817" i="5"/>
  <c r="B816" i="5"/>
  <c r="B815" i="5"/>
  <c r="B814" i="5"/>
  <c r="B813" i="5"/>
  <c r="B812" i="5"/>
  <c r="B811" i="5"/>
  <c r="B810" i="5"/>
  <c r="B809" i="5"/>
  <c r="B808" i="5"/>
  <c r="B807" i="5"/>
  <c r="B806" i="5"/>
  <c r="B805" i="5"/>
  <c r="B804" i="5"/>
  <c r="B803" i="5"/>
  <c r="B802" i="5"/>
  <c r="B801" i="5"/>
  <c r="B800" i="5"/>
  <c r="B799" i="5"/>
  <c r="B798" i="5"/>
  <c r="B797" i="5"/>
  <c r="B796" i="5"/>
  <c r="B795" i="5"/>
  <c r="B794" i="5"/>
  <c r="B793" i="5"/>
  <c r="B792" i="5"/>
  <c r="B791" i="5"/>
  <c r="B790" i="5"/>
  <c r="B789" i="5"/>
  <c r="B788" i="5"/>
  <c r="B787" i="5"/>
  <c r="B786" i="5"/>
  <c r="B785" i="5"/>
  <c r="B784" i="5"/>
  <c r="B783" i="5"/>
  <c r="B782" i="5"/>
  <c r="B781" i="5"/>
  <c r="B780" i="5"/>
  <c r="B779" i="5"/>
  <c r="B778" i="5"/>
  <c r="B777" i="5"/>
  <c r="B776" i="5"/>
  <c r="B775" i="5"/>
  <c r="B774" i="5"/>
  <c r="B773" i="5"/>
  <c r="B772" i="5"/>
  <c r="B771" i="5"/>
  <c r="B770" i="5"/>
  <c r="B769" i="5"/>
  <c r="B768" i="5"/>
  <c r="B767" i="5"/>
  <c r="B766" i="5"/>
  <c r="B765" i="5"/>
  <c r="B764" i="5"/>
  <c r="B763" i="5"/>
  <c r="B762" i="5"/>
  <c r="B761" i="5"/>
  <c r="B760" i="5"/>
  <c r="B759" i="5"/>
  <c r="B758" i="5"/>
  <c r="B757" i="5"/>
  <c r="B756" i="5"/>
  <c r="B755" i="5"/>
  <c r="B754" i="5"/>
  <c r="B753" i="5"/>
  <c r="B752" i="5"/>
  <c r="B751" i="5"/>
  <c r="B750" i="5"/>
  <c r="B749" i="5"/>
  <c r="B748" i="5"/>
  <c r="B747" i="5"/>
  <c r="B746" i="5"/>
  <c r="B745" i="5"/>
  <c r="B744" i="5"/>
  <c r="B743" i="5"/>
  <c r="B742" i="5"/>
  <c r="B741" i="5"/>
  <c r="B740" i="5"/>
  <c r="B739" i="5"/>
  <c r="B738" i="5"/>
  <c r="B737" i="5"/>
  <c r="B736" i="5"/>
  <c r="B735" i="5"/>
  <c r="B734" i="5"/>
  <c r="B733" i="5"/>
  <c r="B732" i="5"/>
  <c r="B731" i="5"/>
  <c r="B730" i="5"/>
  <c r="B729" i="5"/>
  <c r="B728" i="5"/>
  <c r="B727" i="5"/>
  <c r="B726" i="5"/>
  <c r="B725" i="5"/>
  <c r="B724" i="5"/>
  <c r="B723" i="5"/>
  <c r="B722" i="5"/>
  <c r="B721" i="5"/>
  <c r="B720" i="5"/>
  <c r="B719" i="5"/>
  <c r="B718" i="5"/>
  <c r="B717" i="5"/>
  <c r="B716" i="5"/>
  <c r="B715" i="5"/>
  <c r="B714" i="5"/>
  <c r="B713" i="5"/>
  <c r="B712" i="5"/>
  <c r="B711" i="5"/>
  <c r="B710" i="5"/>
  <c r="B709" i="5"/>
  <c r="B708" i="5"/>
  <c r="B707" i="5"/>
  <c r="B706" i="5"/>
  <c r="B705" i="5"/>
  <c r="B704" i="5"/>
  <c r="B703" i="5"/>
  <c r="B702" i="5"/>
  <c r="B701" i="5"/>
  <c r="B700" i="5"/>
  <c r="B699" i="5"/>
  <c r="B698" i="5"/>
  <c r="B697" i="5"/>
  <c r="B696" i="5"/>
  <c r="B695" i="5"/>
  <c r="B694" i="5"/>
  <c r="B693" i="5"/>
  <c r="B692" i="5"/>
  <c r="B691" i="5"/>
  <c r="B690" i="5"/>
  <c r="B689" i="5"/>
  <c r="B688" i="5"/>
  <c r="B687" i="5"/>
  <c r="B686" i="5"/>
  <c r="B685" i="5"/>
  <c r="B684" i="5"/>
  <c r="B683" i="5"/>
  <c r="B682" i="5"/>
  <c r="B681" i="5"/>
  <c r="B680" i="5"/>
  <c r="B679" i="5"/>
  <c r="B678" i="5"/>
  <c r="B677" i="5"/>
  <c r="B676" i="5"/>
  <c r="B675" i="5"/>
  <c r="B674" i="5"/>
  <c r="B673" i="5"/>
  <c r="B672" i="5"/>
  <c r="B671" i="5"/>
  <c r="B670" i="5"/>
  <c r="B669" i="5"/>
  <c r="B668" i="5"/>
  <c r="B667" i="5"/>
  <c r="B666" i="5"/>
  <c r="B665" i="5"/>
  <c r="B664" i="5"/>
  <c r="B663" i="5"/>
  <c r="B662" i="5"/>
  <c r="B661" i="5"/>
  <c r="B660" i="5"/>
  <c r="B659" i="5"/>
  <c r="B658" i="5"/>
  <c r="B657" i="5"/>
  <c r="B656" i="5"/>
  <c r="B655" i="5"/>
  <c r="B654" i="5"/>
  <c r="B653" i="5"/>
  <c r="B652" i="5"/>
  <c r="B651" i="5"/>
  <c r="B650" i="5"/>
  <c r="B649" i="5"/>
  <c r="B648" i="5"/>
  <c r="B647" i="5"/>
  <c r="B646" i="5"/>
  <c r="B645" i="5"/>
  <c r="B644" i="5"/>
  <c r="B643" i="5"/>
  <c r="B642" i="5"/>
  <c r="B641" i="5"/>
  <c r="B640" i="5"/>
  <c r="B639" i="5"/>
  <c r="B638" i="5"/>
  <c r="B637" i="5"/>
  <c r="B636" i="5"/>
  <c r="B635" i="5"/>
  <c r="B634" i="5"/>
  <c r="B633" i="5"/>
  <c r="B632" i="5"/>
  <c r="B631" i="5"/>
  <c r="B630" i="5"/>
  <c r="B629" i="5"/>
  <c r="B628" i="5"/>
  <c r="B627" i="5"/>
  <c r="B626" i="5"/>
  <c r="B625" i="5"/>
  <c r="B624" i="5"/>
  <c r="B623" i="5"/>
  <c r="B622" i="5"/>
  <c r="B621" i="5"/>
  <c r="B620" i="5"/>
  <c r="B619" i="5"/>
  <c r="B618" i="5"/>
  <c r="B617" i="5"/>
  <c r="B616" i="5"/>
  <c r="B615" i="5"/>
  <c r="B614" i="5"/>
  <c r="B613" i="5"/>
  <c r="B612" i="5"/>
  <c r="B611" i="5"/>
  <c r="B610" i="5"/>
  <c r="B609" i="5"/>
  <c r="B608" i="5"/>
  <c r="B607" i="5"/>
  <c r="B606" i="5"/>
  <c r="B605" i="5"/>
  <c r="B604" i="5"/>
  <c r="B603" i="5"/>
  <c r="B602" i="5"/>
  <c r="B601" i="5"/>
  <c r="B600" i="5"/>
  <c r="B599" i="5"/>
  <c r="B598" i="5"/>
  <c r="B597" i="5"/>
  <c r="B596" i="5"/>
  <c r="B595" i="5"/>
  <c r="B594" i="5"/>
  <c r="B593" i="5"/>
  <c r="B592" i="5"/>
  <c r="B591" i="5"/>
  <c r="B590" i="5"/>
  <c r="B589" i="5"/>
  <c r="B588" i="5"/>
  <c r="B587" i="5"/>
  <c r="B586" i="5"/>
  <c r="B585" i="5"/>
  <c r="B584" i="5"/>
  <c r="B583" i="5"/>
  <c r="B582" i="5"/>
  <c r="B581" i="5"/>
  <c r="B580" i="5"/>
  <c r="B579" i="5"/>
  <c r="B578" i="5"/>
  <c r="B577" i="5"/>
  <c r="B576" i="5"/>
  <c r="B575" i="5"/>
  <c r="B574" i="5"/>
  <c r="B573" i="5"/>
  <c r="B572" i="5"/>
  <c r="B571" i="5"/>
  <c r="B570" i="5"/>
  <c r="B569" i="5"/>
  <c r="B568" i="5"/>
  <c r="B567" i="5"/>
  <c r="B566" i="5"/>
  <c r="B565" i="5"/>
  <c r="B564" i="5"/>
  <c r="B563" i="5"/>
  <c r="B562" i="5"/>
  <c r="B561" i="5"/>
  <c r="B560" i="5"/>
  <c r="B559" i="5"/>
  <c r="B558" i="5"/>
  <c r="B557" i="5"/>
  <c r="B556" i="5"/>
  <c r="B555" i="5"/>
  <c r="B554" i="5"/>
  <c r="B553" i="5"/>
  <c r="B552" i="5"/>
  <c r="B551" i="5"/>
  <c r="B550" i="5"/>
  <c r="B549" i="5"/>
  <c r="B548" i="5"/>
  <c r="B547" i="5"/>
  <c r="B546" i="5"/>
  <c r="B545" i="5"/>
  <c r="B544" i="5"/>
  <c r="B543" i="5"/>
  <c r="B542" i="5"/>
  <c r="B541" i="5"/>
  <c r="B540" i="5"/>
  <c r="B539" i="5"/>
  <c r="B538" i="5"/>
  <c r="B537" i="5"/>
  <c r="B536" i="5"/>
  <c r="B535" i="5"/>
  <c r="B534" i="5"/>
  <c r="B533" i="5"/>
  <c r="B532" i="5"/>
  <c r="B531" i="5"/>
  <c r="B530" i="5"/>
  <c r="B529" i="5"/>
  <c r="B528" i="5"/>
  <c r="B527" i="5"/>
  <c r="B526" i="5"/>
  <c r="B525" i="5"/>
  <c r="B524" i="5"/>
  <c r="B523" i="5"/>
  <c r="B522" i="5"/>
  <c r="B521" i="5"/>
  <c r="B520" i="5"/>
  <c r="B519" i="5"/>
  <c r="B518" i="5"/>
  <c r="B517" i="5"/>
  <c r="B516" i="5"/>
  <c r="B515" i="5"/>
  <c r="B514" i="5"/>
  <c r="B513" i="5"/>
  <c r="B512" i="5"/>
  <c r="B511" i="5"/>
  <c r="B510" i="5"/>
  <c r="B509" i="5"/>
  <c r="B508" i="5"/>
  <c r="B507" i="5"/>
  <c r="B506" i="5"/>
  <c r="B505" i="5"/>
  <c r="B504" i="5"/>
  <c r="B503" i="5"/>
  <c r="B502" i="5"/>
  <c r="B501" i="5"/>
  <c r="B500" i="5"/>
  <c r="B499" i="5"/>
  <c r="B498" i="5"/>
  <c r="B497" i="5"/>
  <c r="B496" i="5"/>
  <c r="B495" i="5"/>
  <c r="B494" i="5"/>
  <c r="B493" i="5"/>
  <c r="B492" i="5"/>
  <c r="B491" i="5"/>
  <c r="B490" i="5"/>
  <c r="B489" i="5"/>
  <c r="B488" i="5"/>
  <c r="B487" i="5"/>
  <c r="B486" i="5"/>
  <c r="B485" i="5"/>
  <c r="B484" i="5"/>
  <c r="B483" i="5"/>
  <c r="B482" i="5"/>
  <c r="B481" i="5"/>
  <c r="B480" i="5"/>
  <c r="B479" i="5"/>
  <c r="B478" i="5"/>
  <c r="B477" i="5"/>
  <c r="B476" i="5"/>
  <c r="B475" i="5"/>
  <c r="B474" i="5"/>
  <c r="B473" i="5"/>
  <c r="B472" i="5"/>
  <c r="B471" i="5"/>
  <c r="B470" i="5"/>
  <c r="B469" i="5"/>
  <c r="B468" i="5"/>
  <c r="B467" i="5"/>
  <c r="B466" i="5"/>
  <c r="B465" i="5"/>
  <c r="B464" i="5"/>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B3" i="5"/>
  <c r="B2" i="5"/>
  <c r="K20" i="2"/>
  <c r="L20" i="2"/>
  <c r="K21" i="2"/>
  <c r="L21" i="2"/>
  <c r="K22" i="2"/>
  <c r="L22" i="2"/>
  <c r="K23" i="2"/>
  <c r="L23" i="2"/>
  <c r="K24" i="2"/>
  <c r="L24" i="2"/>
  <c r="K25" i="2"/>
  <c r="L25" i="2"/>
  <c r="K26" i="2"/>
  <c r="L26" i="2"/>
  <c r="K27" i="2"/>
  <c r="L27" i="2"/>
  <c r="K28" i="2"/>
  <c r="L28" i="2"/>
  <c r="L19" i="2"/>
  <c r="K19" i="2"/>
  <c r="K4" i="2"/>
  <c r="L4" i="2"/>
  <c r="K5" i="2"/>
  <c r="L5" i="2"/>
  <c r="K6" i="2"/>
  <c r="L6" i="2"/>
  <c r="K7" i="2"/>
  <c r="L7" i="2"/>
  <c r="L3" i="2"/>
  <c r="K3"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3" i="2"/>
  <c r="E3" i="2"/>
  <c r="D4" i="2"/>
  <c r="E4" i="2"/>
  <c r="D5" i="2"/>
  <c r="E5" i="2"/>
  <c r="D6" i="2"/>
  <c r="E6" i="2"/>
  <c r="D7" i="2"/>
  <c r="E7" i="2"/>
  <c r="D8" i="2"/>
  <c r="E8" i="2"/>
  <c r="D9" i="2"/>
  <c r="E9" i="2"/>
  <c r="D10" i="2"/>
  <c r="E10" i="2"/>
  <c r="E2" i="2"/>
  <c r="D2"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alcChain>
</file>

<file path=xl/sharedStrings.xml><?xml version="1.0" encoding="utf-8"?>
<sst xmlns="http://schemas.openxmlformats.org/spreadsheetml/2006/main" count="12074" uniqueCount="75">
  <si>
    <t>Order Date</t>
  </si>
  <si>
    <t>Customer Name</t>
  </si>
  <si>
    <t>State</t>
  </si>
  <si>
    <t>Category</t>
  </si>
  <si>
    <t>Sub-Category</t>
  </si>
  <si>
    <t>Product Name</t>
  </si>
  <si>
    <t>Sales</t>
  </si>
  <si>
    <t>Quantity</t>
  </si>
  <si>
    <t>Profit</t>
  </si>
  <si>
    <t>Pete Kriz</t>
  </si>
  <si>
    <t>Alejandro Grove</t>
  </si>
  <si>
    <t>Andrew Allen</t>
  </si>
  <si>
    <t>Ken Black</t>
  </si>
  <si>
    <t>Darrin Van Huff</t>
  </si>
  <si>
    <t>Sandra Flanagan</t>
  </si>
  <si>
    <t>Irene Maddox</t>
  </si>
  <si>
    <t>Zuschuess Donatelli</t>
  </si>
  <si>
    <t>Emily Burns</t>
  </si>
  <si>
    <t>Claire Gute</t>
  </si>
  <si>
    <t>Sean O'Donnell</t>
  </si>
  <si>
    <t>Brosina Hoffman</t>
  </si>
  <si>
    <t>Harold Pawlan</t>
  </si>
  <si>
    <t>Texas</t>
  </si>
  <si>
    <t>Florida</t>
  </si>
  <si>
    <t>Pennsylvania</t>
  </si>
  <si>
    <t>North Carolina</t>
  </si>
  <si>
    <t>Nebraska</t>
  </si>
  <si>
    <t>Wisconsin</t>
  </si>
  <si>
    <t>Utah</t>
  </si>
  <si>
    <t>Washington</t>
  </si>
  <si>
    <t>Kentucky</t>
  </si>
  <si>
    <t>California</t>
  </si>
  <si>
    <t>Furniture</t>
  </si>
  <si>
    <t>Technology</t>
  </si>
  <si>
    <t>Office Supplies</t>
  </si>
  <si>
    <t>Paper</t>
  </si>
  <si>
    <t>Storage</t>
  </si>
  <si>
    <t>Art</t>
  </si>
  <si>
    <t>Phones</t>
  </si>
  <si>
    <t>Bookcases</t>
  </si>
  <si>
    <t>Tables</t>
  </si>
  <si>
    <t>Chairs</t>
  </si>
  <si>
    <t>Appliances</t>
  </si>
  <si>
    <t>Binders</t>
  </si>
  <si>
    <t>Fellowes PB200 Comb Binding Machine</t>
  </si>
  <si>
    <t>Self-Adhesive Address Labels</t>
  </si>
  <si>
    <t>Newell 322</t>
  </si>
  <si>
    <t>Bush Somerset Collection Bookcase</t>
  </si>
  <si>
    <t>Belkin 6 Outlet Surge</t>
  </si>
  <si>
    <t>Bretford CR4500 Series Table</t>
  </si>
  <si>
    <t>Eldon Fold 'N Roll Cart System</t>
  </si>
  <si>
    <t>Hon Deluxe Fabric Upholstered Stacking Chairs</t>
  </si>
  <si>
    <t>Eldon Expressions Desk Accessories</t>
  </si>
  <si>
    <t>Cisco SPA 501G IP Phone</t>
  </si>
  <si>
    <t>Year</t>
  </si>
  <si>
    <t>Month</t>
  </si>
  <si>
    <t>Row Labels</t>
  </si>
  <si>
    <t>Sum of Sales</t>
  </si>
  <si>
    <t>Column Labels</t>
  </si>
  <si>
    <t>Sum of Profit</t>
  </si>
  <si>
    <t>Month Name</t>
  </si>
  <si>
    <t>Jan</t>
  </si>
  <si>
    <t>Feb</t>
  </si>
  <si>
    <t>Mar</t>
  </si>
  <si>
    <t>Apr</t>
  </si>
  <si>
    <t>May</t>
  </si>
  <si>
    <t>Jun</t>
  </si>
  <si>
    <t>Jul</t>
  </si>
  <si>
    <t>Aug</t>
  </si>
  <si>
    <t>Sep</t>
  </si>
  <si>
    <t>Oct</t>
  </si>
  <si>
    <t>Nov</t>
  </si>
  <si>
    <t>Dec</t>
  </si>
  <si>
    <t>Custmer Name</t>
  </si>
  <si>
    <t>Count of Custmer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</si>
</sst>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Tw Cen MT"/>
      <family val="2"/>
      <scheme val="minor"/>
    </font>
    <font>
      <b/>
      <sz val="11"/>
      <color theme="1"/>
      <name val="Tw Cen MT"/>
      <family val="2"/>
      <scheme val="minor"/>
    </font>
    <font>
      <sz val="11"/>
      <color theme="1"/>
      <name val="Tw Cen MT"/>
      <family val="2"/>
      <scheme val="minor"/>
    </font>
    <font>
      <b/>
      <sz val="11"/>
      <color rgb="FFFFFF00"/>
      <name val="Tw Cen MT"/>
      <family val="2"/>
      <scheme val="minor"/>
    </font>
  </fonts>
  <fills count="4">
    <fill>
      <patternFill patternType="none"/>
    </fill>
    <fill>
      <patternFill patternType="gray125"/>
    </fill>
    <fill>
      <patternFill patternType="solid">
        <fgColor theme="7" tint="0.79998168889431442"/>
        <bgColor indexed="65"/>
      </patternFill>
    </fill>
    <fill>
      <patternFill patternType="solid">
        <fgColor theme="7" tint="-0.249977111117893"/>
        <bgColor indexed="64"/>
      </patternFill>
    </fill>
  </fills>
  <borders count="4">
    <border>
      <left/>
      <right/>
      <top/>
      <bottom/>
      <diagonal/>
    </border>
    <border>
      <left style="thin">
        <color auto="1"/>
      </left>
      <right style="thin">
        <color auto="1"/>
      </right>
      <top/>
      <bottom style="thin">
        <color auto="1"/>
      </bottom>
      <diagonal/>
    </border>
    <border>
      <left/>
      <right/>
      <top style="thin">
        <color theme="4"/>
      </top>
      <bottom/>
      <diagonal/>
    </border>
    <border>
      <left style="thin">
        <color theme="7" tint="-0.249977111117893"/>
      </left>
      <right style="thin">
        <color theme="7" tint="-0.249977111117893"/>
      </right>
      <top style="thin">
        <color theme="7" tint="-0.249977111117893"/>
      </top>
      <bottom style="thin">
        <color theme="7" tint="-0.249977111117893"/>
      </bottom>
      <diagonal/>
    </border>
  </borders>
  <cellStyleXfs count="2">
    <xf numFmtId="0" fontId="0" fillId="0" borderId="0"/>
    <xf numFmtId="0" fontId="2" fillId="2" borderId="0" applyNumberFormat="0" applyBorder="0" applyAlignment="0" applyProtection="0"/>
  </cellStyleXfs>
  <cellXfs count="17">
    <xf numFmtId="0" fontId="0" fillId="0" borderId="0" xfId="0"/>
    <xf numFmtId="0" fontId="0" fillId="0" borderId="0" xfId="0" applyAlignment="1">
      <alignment horizontal="center"/>
    </xf>
    <xf numFmtId="14" fontId="0" fillId="0" borderId="0" xfId="0" applyNumberFormat="1" applyAlignment="1">
      <alignment horizontal="left"/>
    </xf>
    <xf numFmtId="0" fontId="0" fillId="0" borderId="0" xfId="0" applyAlignment="1">
      <alignment horizontal="left"/>
    </xf>
    <xf numFmtId="0" fontId="1" fillId="0" borderId="1" xfId="0" applyFont="1" applyBorder="1" applyAlignment="1">
      <alignment horizontal="left" vertical="top"/>
    </xf>
    <xf numFmtId="0" fontId="1" fillId="0" borderId="1" xfId="0" applyFont="1" applyBorder="1" applyAlignment="1">
      <alignment horizontal="center" vertical="top"/>
    </xf>
    <xf numFmtId="0" fontId="0" fillId="0" borderId="2" xfId="0" applyBorder="1"/>
    <xf numFmtId="2" fontId="0" fillId="0" borderId="0" xfId="0" applyNumberFormat="1" applyAlignment="1">
      <alignment horizontal="center"/>
    </xf>
    <xf numFmtId="1" fontId="0" fillId="0" borderId="0" xfId="0" applyNumberFormat="1" applyAlignment="1">
      <alignment horizontal="center"/>
    </xf>
    <xf numFmtId="1" fontId="0" fillId="0" borderId="0" xfId="0" applyNumberFormat="1" applyAlignment="1">
      <alignment horizontal="left"/>
    </xf>
    <xf numFmtId="0" fontId="3" fillId="0" borderId="1" xfId="0" applyFont="1" applyBorder="1" applyAlignment="1">
      <alignment horizontal="center" vertical="top"/>
    </xf>
    <xf numFmtId="0" fontId="0" fillId="0" borderId="0" xfId="0" pivotButton="1"/>
    <xf numFmtId="2" fontId="0" fillId="0" borderId="0" xfId="0" applyNumberFormat="1"/>
    <xf numFmtId="0" fontId="2" fillId="2" borderId="3" xfId="1" applyBorder="1" applyAlignment="1">
      <alignment horizontal="center"/>
    </xf>
    <xf numFmtId="2" fontId="2" fillId="2" borderId="3" xfId="1" applyNumberFormat="1" applyBorder="1" applyAlignment="1">
      <alignment horizontal="center"/>
    </xf>
    <xf numFmtId="0" fontId="0" fillId="3" borderId="0" xfId="0" applyFill="1"/>
    <xf numFmtId="1" fontId="0" fillId="0" borderId="2" xfId="0" applyNumberFormat="1" applyBorder="1" applyAlignment="1">
      <alignment horizontal="center"/>
    </xf>
  </cellXfs>
  <cellStyles count="2">
    <cellStyle name="20% - Accent4" xfId="1" builtinId="42"/>
    <cellStyle name="Normal" xfId="0" builtinId="0"/>
  </cellStyles>
  <dxfs count="14">
    <dxf>
      <font>
        <b val="0"/>
        <i val="0"/>
        <strike val="0"/>
        <condense val="0"/>
        <extend val="0"/>
        <outline val="0"/>
        <shadow val="0"/>
        <u val="none"/>
        <vertAlign val="baseline"/>
        <sz val="11"/>
        <color theme="1"/>
        <name val="Tw Cen MT"/>
        <family val="2"/>
        <scheme val="minor"/>
      </font>
      <numFmt numFmtId="1" formatCode="0"/>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Tw Cen MT"/>
        <family val="2"/>
        <scheme val="minor"/>
      </font>
      <border diagonalUp="0" diagonalDown="0">
        <left/>
        <right/>
        <top style="thin">
          <color theme="4"/>
        </top>
        <bottom/>
        <vertical/>
        <horizontal/>
      </border>
    </dxf>
    <dxf>
      <border outline="0">
        <bottom style="thin">
          <color theme="4"/>
        </bottom>
      </border>
    </dxf>
    <dxf>
      <numFmt numFmtId="2"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m/d/yyyy"/>
      <alignment horizontal="left"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Tw Cen MT"/>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[Superstore_Sales_Data.xlsx]Pivot!PivotTable2</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Pivot!$B$14:$B$15</c:f>
              <c:strCache>
                <c:ptCount val="1"/>
                <c:pt idx="0">
                  <c:v>Furniture</c:v>
                </c:pt>
              </c:strCache>
            </c:strRef>
          </c:tx>
          <c:spPr>
            <a:ln w="28575" cap="rnd">
              <a:solidFill>
                <a:schemeClr val="accent1"/>
              </a:solidFill>
              <a:round/>
            </a:ln>
            <a:effectLst/>
          </c:spPr>
          <c:marker>
            <c:symbol val="none"/>
          </c:marker>
          <c:cat>
            <c:strRef>
              <c:f>Pivot!$A$16:$A$20</c:f>
              <c:strCache>
                <c:ptCount val="5"/>
                <c:pt idx="0">
                  <c:v>2013</c:v>
                </c:pt>
                <c:pt idx="1">
                  <c:v>2014</c:v>
                </c:pt>
                <c:pt idx="2">
                  <c:v>2015</c:v>
                </c:pt>
                <c:pt idx="3">
                  <c:v>2016</c:v>
                </c:pt>
                <c:pt idx="4">
                  <c:v>2017</c:v>
                </c:pt>
              </c:strCache>
            </c:strRef>
          </c:cat>
          <c:val>
            <c:numRef>
              <c:f>Pivot!$B$16:$B$20</c:f>
              <c:numCache>
                <c:formatCode>0.00</c:formatCode>
                <c:ptCount val="5"/>
                <c:pt idx="0">
                  <c:v>15138.16</c:v>
                </c:pt>
                <c:pt idx="1">
                  <c:v>10202.000000000002</c:v>
                </c:pt>
                <c:pt idx="2">
                  <c:v>10781.960000000003</c:v>
                </c:pt>
                <c:pt idx="3">
                  <c:v>13151.369999999997</c:v>
                </c:pt>
                <c:pt idx="4">
                  <c:v>16147.509999999998</c:v>
                </c:pt>
              </c:numCache>
            </c:numRef>
          </c:val>
          <c:smooth val="0"/>
          <c:extLst>
            <c:ext xmlns:c16="http://schemas.microsoft.com/office/drawing/2014/chart" uri="{C3380CC4-5D6E-409C-BE32-E72D297353CC}">
              <c16:uniqueId val="{00000000-A9AA-499F-B86B-5199F534DACF}"/>
            </c:ext>
          </c:extLst>
        </c:ser>
        <c:ser>
          <c:idx val="1"/>
          <c:order val="1"/>
          <c:tx>
            <c:strRef>
              <c:f>Pivot!$C$14:$C$15</c:f>
              <c:strCache>
                <c:ptCount val="1"/>
                <c:pt idx="0">
                  <c:v>Office Supplies</c:v>
                </c:pt>
              </c:strCache>
            </c:strRef>
          </c:tx>
          <c:spPr>
            <a:ln w="28575" cap="rnd">
              <a:solidFill>
                <a:schemeClr val="accent2"/>
              </a:solidFill>
              <a:round/>
            </a:ln>
            <a:effectLst/>
          </c:spPr>
          <c:marker>
            <c:symbol val="none"/>
          </c:marker>
          <c:cat>
            <c:strRef>
              <c:f>Pivot!$A$16:$A$20</c:f>
              <c:strCache>
                <c:ptCount val="5"/>
                <c:pt idx="0">
                  <c:v>2013</c:v>
                </c:pt>
                <c:pt idx="1">
                  <c:v>2014</c:v>
                </c:pt>
                <c:pt idx="2">
                  <c:v>2015</c:v>
                </c:pt>
                <c:pt idx="3">
                  <c:v>2016</c:v>
                </c:pt>
                <c:pt idx="4">
                  <c:v>2017</c:v>
                </c:pt>
              </c:strCache>
            </c:strRef>
          </c:cat>
          <c:val>
            <c:numRef>
              <c:f>Pivot!$C$16:$C$20</c:f>
              <c:numCache>
                <c:formatCode>0.00</c:formatCode>
                <c:ptCount val="5"/>
                <c:pt idx="0">
                  <c:v>13107.120000000003</c:v>
                </c:pt>
                <c:pt idx="1">
                  <c:v>8604.06</c:v>
                </c:pt>
                <c:pt idx="2">
                  <c:v>14349.320000000002</c:v>
                </c:pt>
                <c:pt idx="3">
                  <c:v>16657.989999999994</c:v>
                </c:pt>
                <c:pt idx="4">
                  <c:v>12980.9</c:v>
                </c:pt>
              </c:numCache>
            </c:numRef>
          </c:val>
          <c:smooth val="0"/>
          <c:extLst>
            <c:ext xmlns:c16="http://schemas.microsoft.com/office/drawing/2014/chart" uri="{C3380CC4-5D6E-409C-BE32-E72D297353CC}">
              <c16:uniqueId val="{00000001-A9AA-499F-B86B-5199F534DACF}"/>
            </c:ext>
          </c:extLst>
        </c:ser>
        <c:ser>
          <c:idx val="2"/>
          <c:order val="2"/>
          <c:tx>
            <c:strRef>
              <c:f>Pivot!$D$14:$D$15</c:f>
              <c:strCache>
                <c:ptCount val="1"/>
                <c:pt idx="0">
                  <c:v>Technology</c:v>
                </c:pt>
              </c:strCache>
            </c:strRef>
          </c:tx>
          <c:spPr>
            <a:ln w="28575" cap="rnd">
              <a:solidFill>
                <a:schemeClr val="accent3"/>
              </a:solidFill>
              <a:round/>
            </a:ln>
            <a:effectLst/>
          </c:spPr>
          <c:marker>
            <c:symbol val="none"/>
          </c:marker>
          <c:cat>
            <c:strRef>
              <c:f>Pivot!$A$16:$A$20</c:f>
              <c:strCache>
                <c:ptCount val="5"/>
                <c:pt idx="0">
                  <c:v>2013</c:v>
                </c:pt>
                <c:pt idx="1">
                  <c:v>2014</c:v>
                </c:pt>
                <c:pt idx="2">
                  <c:v>2015</c:v>
                </c:pt>
                <c:pt idx="3">
                  <c:v>2016</c:v>
                </c:pt>
                <c:pt idx="4">
                  <c:v>2017</c:v>
                </c:pt>
              </c:strCache>
            </c:strRef>
          </c:cat>
          <c:val>
            <c:numRef>
              <c:f>Pivot!$D$16:$D$20</c:f>
              <c:numCache>
                <c:formatCode>0.00</c:formatCode>
                <c:ptCount val="5"/>
                <c:pt idx="0">
                  <c:v>12212.6</c:v>
                </c:pt>
                <c:pt idx="1">
                  <c:v>14426.99</c:v>
                </c:pt>
                <c:pt idx="2">
                  <c:v>15825.430000000002</c:v>
                </c:pt>
                <c:pt idx="3">
                  <c:v>15826.480000000005</c:v>
                </c:pt>
                <c:pt idx="4">
                  <c:v>10313.870000000003</c:v>
                </c:pt>
              </c:numCache>
            </c:numRef>
          </c:val>
          <c:smooth val="0"/>
          <c:extLst>
            <c:ext xmlns:c16="http://schemas.microsoft.com/office/drawing/2014/chart" uri="{C3380CC4-5D6E-409C-BE32-E72D297353CC}">
              <c16:uniqueId val="{00000002-A9AA-499F-B86B-5199F534DACF}"/>
            </c:ext>
          </c:extLst>
        </c:ser>
        <c:dLbls>
          <c:showLegendKey val="0"/>
          <c:showVal val="0"/>
          <c:showCatName val="0"/>
          <c:showSerName val="0"/>
          <c:showPercent val="0"/>
          <c:showBubbleSize val="0"/>
        </c:dLbls>
        <c:smooth val="0"/>
        <c:axId val="1855967728"/>
        <c:axId val="1855948048"/>
      </c:lineChart>
      <c:catAx>
        <c:axId val="1855967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crossAx val="1855948048"/>
        <c:crosses val="autoZero"/>
        <c:auto val="1"/>
        <c:lblAlgn val="ctr"/>
        <c:lblOffset val="100"/>
        <c:noMultiLvlLbl val="0"/>
      </c:catAx>
      <c:valAx>
        <c:axId val="1855948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crossAx val="185596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[Superstore_Sales_Data.xlsx]Pivot!PivotTable3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Pivot!$B$23</c:f>
              <c:strCache>
                <c:ptCount val="1"/>
                <c:pt idx="0">
                  <c:v>Total</c:v>
                </c:pt>
              </c:strCache>
            </c:strRef>
          </c:tx>
          <c:spPr>
            <a:solidFill>
              <a:schemeClr val="accent4"/>
            </a:solidFill>
            <a:ln>
              <a:noFill/>
            </a:ln>
            <a:effectLst/>
          </c:spPr>
          <c:cat>
            <c:strRef>
              <c:f>Pivot!$A$24:$A$35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Pivot!$B$24:$B$35</c:f>
              <c:numCache>
                <c:formatCode>0.00</c:formatCode>
                <c:ptCount val="12"/>
                <c:pt idx="0">
                  <c:v>50461.359999999986</c:v>
                </c:pt>
                <c:pt idx="1">
                  <c:v>30841.25</c:v>
                </c:pt>
                <c:pt idx="2">
                  <c:v>34111.949999999997</c:v>
                </c:pt>
                <c:pt idx="3">
                  <c:v>32921.009999999995</c:v>
                </c:pt>
                <c:pt idx="4">
                  <c:v>35153.99</c:v>
                </c:pt>
                <c:pt idx="5">
                  <c:v>29684.28000000001</c:v>
                </c:pt>
                <c:pt idx="6">
                  <c:v>23773.89</c:v>
                </c:pt>
                <c:pt idx="7">
                  <c:v>38468.57</c:v>
                </c:pt>
                <c:pt idx="8">
                  <c:v>32577.43</c:v>
                </c:pt>
                <c:pt idx="9">
                  <c:v>20985.93</c:v>
                </c:pt>
                <c:pt idx="10">
                  <c:v>26897.380000000005</c:v>
                </c:pt>
                <c:pt idx="11">
                  <c:v>26134.219999999998</c:v>
                </c:pt>
              </c:numCache>
            </c:numRef>
          </c:val>
          <c:extLst>
            <c:ext xmlns:c16="http://schemas.microsoft.com/office/drawing/2014/chart" uri="{C3380CC4-5D6E-409C-BE32-E72D297353CC}">
              <c16:uniqueId val="{00000000-57D8-43E4-867E-149758A6C50C}"/>
            </c:ext>
          </c:extLst>
        </c:ser>
        <c:dLbls>
          <c:showLegendKey val="0"/>
          <c:showVal val="0"/>
          <c:showCatName val="0"/>
          <c:showSerName val="0"/>
          <c:showPercent val="0"/>
          <c:showBubbleSize val="0"/>
        </c:dLbls>
        <c:axId val="1855918768"/>
        <c:axId val="1855941328"/>
      </c:areaChart>
      <c:catAx>
        <c:axId val="1855918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941328"/>
        <c:crosses val="autoZero"/>
        <c:auto val="1"/>
        <c:lblAlgn val="ctr"/>
        <c:lblOffset val="100"/>
        <c:noMultiLvlLbl val="0"/>
      </c:catAx>
      <c:valAx>
        <c:axId val="1855941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9187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F9-4E5A-A951-7D49ACFD35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F9-4E5A-A951-7D49ACFD35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F9-4E5A-A951-7D49ACFD35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F9-4E5A-A951-7D49ACFD35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8F9-4E5A-A951-7D49ACFD35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Pivot!$K$3:$K$7</c:f>
              <c:strCache>
                <c:ptCount val="5"/>
                <c:pt idx="0">
                  <c:v>Sandra Flanagan</c:v>
                </c:pt>
                <c:pt idx="1">
                  <c:v>Emily Burns</c:v>
                </c:pt>
                <c:pt idx="2">
                  <c:v>Claire Gute</c:v>
                </c:pt>
                <c:pt idx="3">
                  <c:v>Brosina Hoffman</c:v>
                </c:pt>
                <c:pt idx="4">
                  <c:v>Andrew Allen</c:v>
                </c:pt>
              </c:strCache>
            </c:strRef>
          </c:cat>
          <c:val>
            <c:numRef>
              <c:f>Pivot!$L$3:$L$7</c:f>
              <c:numCache>
                <c:formatCode>0.00</c:formatCode>
                <c:ptCount val="5"/>
                <c:pt idx="0">
                  <c:v>21957.669999999991</c:v>
                </c:pt>
                <c:pt idx="1">
                  <c:v>19243.330000000009</c:v>
                </c:pt>
                <c:pt idx="2">
                  <c:v>17994.649999999991</c:v>
                </c:pt>
                <c:pt idx="3">
                  <c:v>17502.429999999993</c:v>
                </c:pt>
                <c:pt idx="4">
                  <c:v>16645.780000000006</c:v>
                </c:pt>
              </c:numCache>
            </c:numRef>
          </c:val>
          <c:extLst>
            <c:ext xmlns:c16="http://schemas.microsoft.com/office/drawing/2014/chart" uri="{C3380CC4-5D6E-409C-BE32-E72D297353CC}">
              <c16:uniqueId val="{0000000A-48F9-4E5A-A951-7D49ACFD354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[Superstore_Sales_Data.xlsx]Customer Year wise!PivotTable9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Year wise'!$E$2</c:f>
              <c:strCache>
                <c:ptCount val="1"/>
                <c:pt idx="0">
                  <c:v>Total</c:v>
                </c:pt>
              </c:strCache>
            </c:strRef>
          </c:tx>
          <c:spPr>
            <a:solidFill>
              <a:schemeClr val="accent1"/>
            </a:solidFill>
            <a:ln>
              <a:noFill/>
            </a:ln>
            <a:effectLst/>
          </c:spPr>
          <c:invertIfNegative val="0"/>
          <c:cat>
            <c:strRef>
              <c:f>'Customer Year wise'!$D$3:$D$7</c:f>
              <c:strCache>
                <c:ptCount val="5"/>
                <c:pt idx="0">
                  <c:v>2013</c:v>
                </c:pt>
                <c:pt idx="1">
                  <c:v>2014</c:v>
                </c:pt>
                <c:pt idx="2">
                  <c:v>2015</c:v>
                </c:pt>
                <c:pt idx="3">
                  <c:v>2016</c:v>
                </c:pt>
                <c:pt idx="4">
                  <c:v>2017</c:v>
                </c:pt>
              </c:strCache>
            </c:strRef>
          </c:cat>
          <c:val>
            <c:numRef>
              <c:f>'Customer Year wise'!$E$3:$E$7</c:f>
              <c:numCache>
                <c:formatCode>General</c:formatCode>
                <c:ptCount val="5"/>
                <c:pt idx="0">
                  <c:v>379</c:v>
                </c:pt>
                <c:pt idx="1">
                  <c:v>371</c:v>
                </c:pt>
                <c:pt idx="2">
                  <c:v>438</c:v>
                </c:pt>
                <c:pt idx="3">
                  <c:v>430</c:v>
                </c:pt>
                <c:pt idx="4">
                  <c:v>382</c:v>
                </c:pt>
              </c:numCache>
            </c:numRef>
          </c:val>
          <c:extLst>
            <c:ext xmlns:c16="http://schemas.microsoft.com/office/drawing/2014/chart" uri="{C3380CC4-5D6E-409C-BE32-E72D297353CC}">
              <c16:uniqueId val="{00000000-7AE7-4A79-8416-262CC496EB58}"/>
            </c:ext>
          </c:extLst>
        </c:ser>
        <c:dLbls>
          <c:showLegendKey val="0"/>
          <c:showVal val="0"/>
          <c:showCatName val="0"/>
          <c:showSerName val="0"/>
          <c:showPercent val="0"/>
          <c:showBubbleSize val="0"/>
        </c:dLbls>
        <c:gapWidth val="182"/>
        <c:axId val="1855953328"/>
        <c:axId val="1855964848"/>
      </c:barChart>
      <c:catAx>
        <c:axId val="185595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964848"/>
        <c:crosses val="autoZero"/>
        <c:auto val="1"/>
        <c:lblAlgn val="ctr"/>
        <c:lblOffset val="100"/>
        <c:noMultiLvlLbl val="0"/>
      </c:catAx>
      <c:valAx>
        <c:axId val="1855964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95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62D0E109-CB62-4C94-8F23-872170847482}">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accent4">
                    <a:lumMod val="75000"/>
                  </a:schemeClr>
                </a:solidFill>
              </a:defRPr>
            </a:pPr>
            <a:endParaRPr lang="en-US" sz="900" b="0" i="0" u="none" strike="noStrike" baseline="0">
              <a:solidFill>
                <a:schemeClr val="accent4">
                  <a:lumMod val="75000"/>
                </a:schemeClr>
              </a:solidFill>
              <a:latin typeface="Calibri"/>
            </a:endParaRPr>
          </a:p>
        </cx:txPr>
      </cx:axis>
    </cx:plotArea>
  </cx:chart>
  <cx:spPr>
    <a:solidFill>
      <a:schemeClr val="accent4">
        <a:lumMod val="20000"/>
        <a:lumOff val="80000"/>
      </a:schemeClr>
    </a:solidFill>
    <a:ln>
      <a:solidFill>
        <a:srgbClr val="7030A0"/>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4C654C1E-4494-47CB-B010-04E446B92212}">
          <cx:dataId val="0"/>
          <cx:layoutPr>
            <cx:geography cultureLanguage="en-US" cultureRegion="IN" attribution="Powered by Bing">
              <cx:geoCache provider="{E9337A44-BEBE-4D9F-B70C-5C5E7DAFC167}">
                <cx:binary>7Htrb9xGk+5fCfz5UOn7ZbFZYMmZkWRZsi3ZTuwvhCwrbJJNNtlsskn++lO05MSaeO282BcHCHCE
IGMNL91d16eeKv3n3fwfd/b+1v80N7Yd/uNu/uWZCaH7j59/Hu7MfXM7nDTlnXeD+z2c3LnmZ/f7
7+Xd/c+f/G0s2+JngjD7+c7c+nA/P/uv/4S3Fffuhbu7DaVrX4/3frm+H0Ybhu9c++aln24/NWW7
K4fgy7uAf3n2azncuXYo22c/3behDMubpbv/5dmT25799PPxy/6y8E8W9hbGT/AsYyeCas2pQPrh
59lP1rXF4+VE6RNJieZcU/T5h35Z++q2gef/1pY+b+j20yd/PwxwqM+fTx59cgK4cv7spzs3tmET
XQFS/OXZ27YM959+ugm34X549lM5uOzhhsxtx3h78/ncPz8V/n/959EXIImjb77Sz7HYfnTpL+q5
cj6Yn7Jb72zZ3n6R0/9eR5SfcKqp5PRRR/KpjqQ+wYpTJYR40JH4svaDjv7+vr6tqOPnj7R1lf0j
tXUBLjTe1csXWf0b9CRPOJFECU4eXEk91ZPiJ0RJKSl+9CX+Ze0HPf2dHX1bQ38+eaSbi/f/SN28
um/bYbHTbVv+G/2IoROlhdDqwUsQwk/1I+WJokppKR/9DPT3EGcf9PN3d/VtHT19+khPr/77H6mn
7NaWvzv/b9USlSeEM1AT1g96OtISxvpEYEkkZvhLxvpaS39vT9/W0dfPHmko+2dq6GCdLz/dfjHk
/32QI+qEAxzA7DGGHTuRIidMScqI+jZg+Bsb+rZu/njwSDGHF/9I13kbbs2/TytUn1BCpRSEPzgN
eRraMMYnQipCiDgCBz/ax7eV8fDUkSbevvlHauLq/qO/Hep/o48wvAEBvOnjm9rQ+kRhJAElPKai
IyDwd3b0bb38+eSRbq72/0jd/Ho7GKixgvt3ljzyhGFMuVTyIX8cwWlM0AnnginE8Gf1QQL6OsH8
vT19Wz9fP3ukoV//mQnmzf18CwXZg4D+9+mF4hMmqGIKP8j+OL2A61AKBancvGf7OcJoP9zOt/Xy
+NiRSt789o9wmu+Xyl9r5smd/yJTACmGI/AaRuVDUKNPUwxoBmFFgU1gD5phX6ziAT0fVfD/87a+
raGjx5+c5P8RPfA/Uwd/MCy723C7/0zNfMUefP/q5+MCY3T06Pc86kF2559+eQZOAmr4g/HZ3vEk
Vv23vf142/yR2v585P52CL88SxSDkkgxzATGCguGAB3E+4dL6oRJDKACKwJ4GyvwtHZjOH55BoQE
QpJLSF8UkLrUEEEHN36+hE4IYRujBGwE2IvGf1Bir5xdCqCvvhz48fef2rF55co2DMBGPfupe7hr
2yln8BZFt10gQgmC2gyu391eQ0aAm/H/qXBH2EBZcqaThFVpWS3r2ajZAEDkD5l8YxlIt39ZRgLB
omE1BCDpaJkVD36Z1ik5G1aG39SuWXZ0ROplE6ekSb+/Fgj0eC0N2QcAMtVSMA7q+/pIoItq0BPN
zxbs9Esk/HQpOKbP2YrmV51oSvODBSn+6/Ek1QJz4CkVgJItpH695FwPvMfS52fl4vMizXsXXjg/
Fi51SeN4pnTU75ASlBzQWEx0x62tllPhImlPe16MGZ8mFtNxbsvTrir9mXZzUqaL9uhjO5f+Ra8H
fdrnhT6Nqy9PG7GQrM3n9vnicfPa1laf2sSHtziI9rmefHdI8qa8ypdQXrGi4u2OFq05XXrUnJfF
sOz7MDSvScLWe12V6ztTM/9OdsUlGpdyH6Vts7Gz6GwltL5kjAiVmYqOr8kwNr+vdHUvVxqrtwSV
Vdqi3B54b9oMl82Uja6NZ8jlbtevPTlVE3Kp75e4x2buUhvocCFxcFe+UzENtqa3yBbJmRWx360+
iWf9YmWRslnnIlMJcXeDapoXYm3m19qtZkxRH1WResUOaCD+fVknOta72Xg59KlcYhGH95oTvgwv
TNtVB9lK3WYxBzvPkHGoSxFt2o+jl937aizUr5WuybUukDZZRIP+VKmhq1KsvWzThiyuTpOqnA9+
UqhIkaLmY22s4lnZMvsS2Ul1mWCFeyHHOF4sYxvfqWW1WZ2XfkeIBdur1mJIWVnxlyXF12YuUZbP
1XJtei32A0b+fSPddHAzCgc1iYSnsxPNJ9805tS05m7xVbcrqOIXhVZjl+KVm2Y/gHBMm9vL3jbr
r4yS5DVty/UFWnM1pMOM63PRTijZ1WWVozRxyQ0TJT/PGWJnU2yHPV3K+gWqivFTMYjwscZLZfdr
sYp2n4RSPwcRDDuTi7s+2Czi6K9ai6Z0lvYTonNMRc0u8iTMaV0Xb/WQlGCknT1NOmXSNWnmbJhj
mznCUKbzUqSyCxdV4hlN51AsmUCquuUK5XCz/EDzke6ME8t+lqK/zqMlL4QZXvE5RpwqJRmYNnjP
zMl0SWtG9hWe7udGJgfuk3BZk3b9GGa3ZKBZ/rGb6/plqVuyq9cQrnsekqwN6rrvdbkf+fpbMnp6
RVZD9mRZh6tErus+ahFv2laPWYH1dFga9rqNza+S5o6clbWKE0tDMZnlrhVlTdJ8Gke3E2M9VzZd
VEeqdB2qaVcXTc33goxLnS22F+sLFe0yn1uNiqXJTNEjlOZJUqzv6iGyqUhnMg6xAEG4fjcu01C9
Yb5SRbAprmY1xTdyCWav8SCLHV+Mr7Mkr0ue8h6JVAfVtqdxWoX8bU5YoQ5yqQk/b1Qc0K60yaIO
QzWUPUuLJohDUce1uJ5qDnfSrpyKK9H70aSu8W18VYikUDTtRD+YC50nkyvTIY/8PenM6KsUtXli
9tHPmryrxpjwQz9rLj/J2YCiTDAheV4vXTH6m7rJ26Y/xXqo3ye8q2/01JSnHrUQhl0j+dmEgn0n
8yXxWU5JvqRxFPQ5nyeH0rhOcUx5YvQpD5Q+jyTvX+B55mekSZBM53opl12zavyGGFdU6dBvX8tc
5DfLMsY7QdpcpS1uuwOrKT13doZ1R9Yuu3q07LwbUPu8nKPeh2Zc26zp8xycXUV30TM29JmcJD5g
Mbid9WW7550OWTsgNafJYhrQQK4/zB7+1YekvVkHlFcpb5Ox201TbF7PlHX3DCqhF7CRsjjUhLmL
btHNuhtFYc3eL9GdK2T1S8tLcWubHvZH7YQP+SCb10msZZ3VqoG9JaKDazwJze9EefuOojC/snUl
1p1aG3dTNKbs0gFgBIbgUYsR/NbuPufWR9z1mMgf8MOd6xZfFuaxq/bHr//1xjXw3+c2z59fbk25
P3+7/NLN++5dp/duA67D8U3bbv54F2zmcXcb9Hryy19g4BfccwT0HpqD/8PFv4cCCRfkuzDw1Tf4
9A1hPT74CAYl9AI1UVgKqIyVgn/9CQahJMaAWzQRREC3EAO/9AgGGTmBrwQwGYRiTSnXf4JBaB5i
TgSARwwIhCn2r4BBItARdoIQyigAUkQAE2IBr3sCZGxDh7Xp0HLGZVsvuxG7EgNYiRAm89npvSYV
plnTlL45xCB6nZLB+3OmHEaHtfexyoxFic76IVi+MwA/k3Soi3Hn9V03hfxlFGK5aBaMdqwcZ5yu
jeI4bZJhgGC+sN0qLOnShA442ct16UJKTI7J3ldmPU0wce/8sPjnS9WbK6wY2stkXd/mJKFlyqwE
j9Koq/bGNf1NUfu5PUO97tUOz0jerhUVbVZjZ6rUCSpiijpd75pxznejac9KuZb3CcbFXVyT8nKG
Z37ji6vGnU40e2EaC+6N5YDGFADhYNORF2TvkshfaVXYi4nq6mXpTLic4pCc4rxasxzlzKYuTPNe
xbw+VLKopoyDULJ5huiWeDGktmn0nOoOkvRkOX2rPIgZJ7KGJYhBz1tRjPsW0O4ZIX2xJxokz0qG
n8dVN69CQsUhAEB6jVbrXlWj8i9NrhhJJ1S3z7kkXVapNc/qaOSBaIJC5lVz2UpcoP0iRTSpr7u1
ylqOfsVShhejY78NvAg3eBhadap8ru2OJFXRpc2o6tPWj/TdbGtyqEaqTpuuqOZsWvP8krm63C0U
1Vnj2vWS82m4lsKpai9Ezp/TJKLfhwTwBWvwtZxeNdq2O8iA/Skr0Cs2jqXLBkfoFU6G8T2GLPLW
N3R+CQmRZ7oR+2RQIeNNnaTShOaUtrN9rq3PX+iual9zFNglQINfy8jErnao3i1iXA5tX0BOGHm/
B3DVnEXUZMjhkNV1VV3nY49ejskgd/nM4nkh3GldUbVvWIyZGZHb5atrylRPLj+rdM4Po2jq33WM
dzjXycExljvIexZfg5EXgLzm/nxYcZOuVtM99JbjrqaE7UTLXzuwtgxLfeFQbtJG9WKXmOG3tYFc
vs6AZQxUiylfFOxyMDwrxiJP8YjL53YyyW9MyuK8s6a/5rbrLhfG9XOphn5XJWbZezxPmWXeXNGp
B7sBs43pDNXCabeYPB1bU+4qxPI668TI9wrz+XqJgadTUTJXnArWLAV+q3JIlIdB40i7lOOVQTap
oimMuo5itqLLlgRw6A0hNY83fBCIMwAitcHvMANb2CNelRfCI/k6KJObX2e2NiEdcWXpodUOahsr
ygXWn8orrRbyq6YdJHxbYT9lPqfG7xl2Cf9t1rStzqMjBmoHt1ZwmgqtrD31LvHTzVSWLN6Euhx5
lxZFUtGrmqKpel/Xwa/tbp3qVq6p4QPJlk7odTcNZIbINpZF8b7BZWGzyuAS9JO4BswzugXt52XF
hUlxOcPxVVwAcdmqVWrfNzTUxdkSFHu/1TnhTtYa1+I9yEiPU2rH4J6XoaV8Ttu8DhQ+RF6fV8jx
pE0NGkP+pq1HsWSop0RkJHiSg2PhGehlqLj/f6Z+YECfsFNfaLDPCZdBzvqDmvgLXXNEcv3J85Dt
ucc0LcSJlpQKILApdEm/4mygKwppmmikNOXQQ/2KspH4hHImgZ6DtE6AIXjka7A60ZRAbtcYOhYa
2qr/SoqmG3vxJ2GzrQhcDXANlEihKUCIowyNK9/iWPN7hfMw6j3pWJfYDHUTVPGcj119yxLPBwh4
ywD5NJCZmzlLXI4+Fq1nbQLV2FzL59rwZdzVOmn7s6gbO1xa3nTJkrp65t1HXodqdrtECFvRrJCS
4XsJpdV4bQ1Uf7dK8S6/ow3txVUhyr6jKXjTAFthHffNS4NRiO2usBwyS+oihxIey6WHLRdNg5cL
0oBj/54Mk4NnvlLpI0j9mtQCcuyJjDTSZGO22DaLAOI6QjESN+VohFH3eXRt1Z+Fhll2Ztk0eHm2
DkUoY7aWHXTeLcpLkh++v/wG1Z6uDxMoMNPFqNpYIdjMUx0BylAQEUX5qcI1rcssOMqpSbUmSV8d
/BwLH3behIKZNGHJ2rWvIqMLhCjMVhHp8yBMO9Spcz31+Epz1cO1729yk8GfdsSZ0ggD8beZuWYQ
nY/sKC4r0Eorr89km/iaZ7JpJP0gfG18u/tXl2LALErgiBiB4RxxpI4mJ80yFqI4A3tNwvnEa0cR
lLsQTNEPqLin3B+TCFoXTIFjCMxgvEEeSX42ZUKMp8knAckBkV2xykL2B6tYgLVaH4T4UHOUB5iP
+yOI/NjitnWZZpJAc5hoRY/X7cbFSZdQ9QlqezsIwF2dHX4zLCdtkcaqHMuXbQ4jkSE1xkEL+QfH
hgLgK2Vux5ZAPDJFNOPArspNLF+xuAWfygTNhn5KpJU9zXhEgt8+iNutpbRXZYIdBs6kX8abekBo
NSn0Be0PFfCUCYWdQDHCFOcwoiVAGvRIAUGUqFrqNr/L9dpyf+r6rsmXPZCRg15OF+Vn0Mr3Zf/X
wyupBBNAE2mgw9lW03x1eCOhzK0W5D8xESF2HRYsVlwDIxTHge1LlTPxwY8g9T4dBJjnB4eWyev9
VAITGH9gCPgoPoMANAKibQs/FJKEOtpNodeK6y4kH03pZZOczcFsbt7MzsDE5RgrtrKsbIYFqhyg
TyjsipfIjDdNJ6olaxPs2xvdGOBhdj13nlw3U9kOH78vs827//T+rbajiAHJx7GEzESPXXKMufKo
X+ePsw8ejACNNQJhoTlSnqSzp1Ny05G635wmxM1d2xLonH9VWFBiSmhGIpgYY5RBwH6qOtWTISyD
cB9bC/AoySqIyWtMpwWFhV/QHPii2wFYpPq2AQob8oTvGo/5mUqqZKrT3kAO2fLZYuApID7tdMHm
unPND4IlPrYxqMupgAgGAx6gYSGOouVMY9vpdqUfh5yIpNlXYejs+KpfQ9kBs9wvPWwukQ10M/Zu
6Ru37FS9LslN7Lr8fNDeVkXWrCuC2tf0bcjTViORh2zkKLHXotHF2mTQ0Jgh0EOZteD2OVq1hbfW
ZR77/gcBA28dia8NAEoImNTTApIAFzBudBQxwDLbfmqn7oPkjkNh1SHFwRTzfNTaZ3iVCSSsHIDv
Fj3tyODa+Dl6dzgH/judY6CiP4yR/tih2XEUJ4ChNDgShubYFkiOzKKGfkqTG9d96Dx4Ub+nQ63Y
JcGGLhd0GBcQh84nu75rzLwsMh2Nj73JIOBHcV30a56c+QYo93c+GQdxpUqxwZ6ZTQ20SeqRb+px
A9VgQssk+XTd+ape361W1LFOkbVbKi5B+qAg12oDX1LgytZ3qpln0B3l1QIfw4qKoHYdH+hwEHLc
dFfPRQmwqf+8PHACyRJT5eYKXuEAEsHOy6TdEE/ooIS9nQfR9t1BTx5PN4y6Nbzwvs59am3jCfCL
Rd7MZwUDyPC+VW3O3k1owmBkUhWAnqa+dQC8vh8bjkM4SF8iCYwSwAMBRNSRadB8aYH67uwHqF8H
v/HSSHZDGl3l7Dkd+wiB4vsrHkcjAqwTIhjyNrRJ9V9WHDwaTGxofE/XcTPGOLIt/JFB1mB+Yuq5
+JBXdAUjjGQMQ3EpIbCAnX5/GxtIf+IUVApBJCQuDu1QBtj/aTha6TT2iRbNu4a1TaBpcCNP7l1v
eohGph5avPe5dOWraVAFRJzOcFfsCxXI5FKYS452SgMp+gubK3EzU2/Vkg4Ri+k6qASVWc/X2V2A
ESGTblU48LUsh8YxOLtBYIduMoAuzvOqDpvnT9DcfAkTZ7JbUlp7Ok+n3z/xcVxTFBLUNrFGtkqH
QqXz9MS1yE0b+0G+ncYWATTn3hOA5tO62S20tBk7MzjOYLZzrSl8FOEzXgcuejNpOlZAyd/ks9hM
mvTl2vizsiN0C5E9sOH40NupG8rTlS81eF0em61SwEBugHdK3IMbff9I5CiyKUBACtImRDXQIMy4
HIXqnrbN6qqWvFXBUPCt0BXbBoAjg9r70Y8JQgvsLTfz5uIQK7eQ4rseEk1iMBQneObbV66vYazN
6kqyszLaTQ7QyHTiKu9nuKs0dDviUjRiONSJ9PTQKT/RIVsgX8Bxf3C0o7oGjqYBsxMMrgKIHfDe
U22FucbSjm55S4tpi1TB92Baq11LdxeQgvZXugTXr+8kabf82CQOg0Jm0dhi2a+NwKE4aJqM8S2g
VA/iiLKiYH10WiGatGWiwcRYtN0W3UYIm2cl6SKEtQCIBBYsQw4d1wwqRwyiaAoGoghBmgQIOTtW
4BIGGGL47UE+WyjcpgK/h7SPfFQBXAB0JQlXUEyjv0BdHIGLWkSfvJmgYQrR4QHeEqPmqc6gXjZF
+6OwcJSOtiUZBWCPIC0hmOA4SkeocgAhu1m+GUYMFhKWEMCgIPeDfFjVMcf3eUzcPKTC0gUEbqe8
BcgCQQ+kBF0yG15JMai8OuSBKQgG4JDTtYe/EoIM0CTg+GFuIVE9qq3oYwuinK1qwVfAizZ1FPW8
KQL60Bg+9FLp6Rq5xsFOeF1DbqpF2Krv70ubafo0JsLhtyQAQQLDNPhfKyqAg0NSoHl5Y8wibJ6G
saZdlkdodF0JsjIPowTGi06lmhBdAZHs+7J/juxIZ552gHaSC180CbvMGyNp1kc3F3eohNmCmI8b
RStbZz+xyq7+uoGeN/xN2IptfMkmjGZobVWt5l3WA34cxkOMXE1XvjfQjUhFgxr8giKP9a5tvcZZ
NYfR56mbVb9WqWknz+asmOsJnGFafVxsOie8YtVBEzyyG2HDwooMzRga96edjgbngN/yIpwHIwGZ
ZXK1cV2hWAdT7M6h35iPaQ/DAeIwaVnAIEeTzOubKBwp343MFvmOskBwtkB96pZUFGHQO12SWGcF
t8WZJDTseofiepHrFqFTHLEhhwJIbYP2HUzGsLcLn4o6easdmuc3c5hpuEyG0CbXkDHk+Il7Ifzb
VU5F69LOOWyG13pebX2al8DZHFbHVONSDVU2MZn069Crj7ipVPvJkM5N8w5MZenv9RhiRFlt44Cr
s5C3PVc7qAO4Fad5k9TiSmOZ1PXpJDoyWHNvVEsDSHnGVHl2uVI3gUmv2A+deU0FCgLt25Z1nTwf
odlv7IuWzzW0K6qpCHF6EXlelOUhZ00c+XXeEtqfi4qZrQU9QzlVp920IkjrdlBl1GmRMNEH6GL6
tVrOYzEkpjyNZQPZJqt1ZBBgpw6I399cMgo+nINxxCTPIgXYgq/GDlCXTsNC1SxeWmAm4CM8fJmU
pYVrSENV77PVDaz/uI69JtPzSviuIGd4ThIps6Xi9ShP57bCjU05m7a8iHhSwnEKCgMF9HbOF/jL
v6zi0OwqXi6xi518VeVJFe1B1jQh3Xk9LlpNL0VFeanTXusNVUsfuKnfySLPk/WCMTuApJKlh5B9
CVG7N/wiobmX9gUu+xLbV1UVK5XvYwWBoNhDY47C3iFkbVtapsQiskeFWcp+h7q68mrXBpTw9jdS
kBbWayqr9VuYdun7zEMdDJIlaiwhg2RYmO0lsH+ALCmMR2yYnpkBTp91BrfQXapM3CRGbajhww3Q
4b9pG7mFfAYdDyUzHYMDA1hbwBunQfsG7usejmoCX0F8fQXskIRcMuSwmjUYiswWl5t6cMcM4b9i
O29ybpmugCFLxsSDKpK2Vobd9z0UNP3BlyUgrSwqvMg+K5XhYwIaZGM/vgtVO5YtyCsxqzs1I8ya
zZeqktuWS9B0t94IsCxYgcKl/mOezJuBCZ9smudLAt9Z3WyimSbojpaQYlUfYQ8T/M0onPHxPN5T
2n8EGtHAd3zunLipOcs1zVjUQAClnTQYZPFoPfk6aHilrJLtcHlYPgtjBKvx2SPG1Xzl22904PUl
RaVPbh5FnTzc/kXID/cBU0DqS2jrNbAB3CZm+liXMB7gT8uWLnDonqzwp7hpQWhRohsowAunU/6g
KLdOAUwNKu/RF+ct1kvOU1ybaREvdTM6kNJEGru1GTvg2DxMr9F80mmNlg30Fg38cR74qCxQ/1E/
SNB14EEQ1x7OZEgJNVrWuVZEfLaMaqvO0YNqH8wDWiIW5COgBQwfXNrt8NClMmCnBfbbMoYZAV8u
rkfSvIVuLBsDtLMM3cT7YEjruIywSzjk9hZc+gGeg/laCtY1BLNt/UGgyQptUp85Sx2T+wTxtq7O
V8Ll3J0WG6OF9rEcHfi0roqN+Rgi6LecJOk/YlG0YD4DB8QKh/cTgN2XAzD02wvJtH3A8I6CD9ui
zR2alW/7b2G+w8S3oy1sUR7aQsF7TU9xQc/qYYEBuAv6YCtlNeggTx9FrqvJw3bmktbwEsgADhav
urKGPD/hfhXoLSC3Sk27rk9CW2ZoKHJYnFcG/opsF2wH3KYFwgAoG1CTGc+lKzZ3HiG/wnf1MopK
HWoAi/PyfOthz+4sMIeaJrOa2WZK86EAlhZmFUa434R+gA8AjdxeNf0I/1+aCCQaRxEDVdRDh8Je
TXWAlh1AnQpWx6Zw0zsB04lQBeTLutl+1BDKq8NMewIRRnljR7W3DaTYZj8nba6Hc64hVc3vkZih
SX8orHN1ffZIklfBGl8dRmOh3r1b2ABDDGcdTAQIdEo/+0zvlAWBwZBSna/vqFEuhrc9jSaKs/Bw
9FkXA4iIdvNaw4lqmBKEAa0VYYhywbNNfHjuNqsBvmoz8Qf+VA11BAngkWznDWVJ4MODgcP9fQlU
aJKWdgVeWTNStzoFymIRzSXtsIc7xIK3Gnbi4wB29UCyrJhDu/owtr3PyXmR9yu8Y32g3nIoy4E1
7DmrgS/NcQ2lb9NA7dRmwQIxwS+aWmz+FFgsobVQ1CpAqKQih0HQq2GBSFMdoNbbhDfCqCHIl0C/
HjoMlW0LeNwvFk75PgI8y5PnMYfxDejA0mojKd0I6e5S1jkV4TUDGmvJ93NewaTTQcSO22EH1AXM
OKcSSCDxgRUwxdKnkAw1KH+FWVI4lWibLW00PN/MzROPwfgeJFkFB0w0LVFJJxhc4E0uX9crjI/d
eADTwCqsHUxDfoB4C/aVxG4FCVQMbWfIuzaB4A/l5cZS2RLwKiBr3bjYfRB6MT3+yKAtba+E6Lsl
PzDihpD8HksYncv3kNGo5elggf9OMmVhVPcdMJL/l71v65ITx7L+RfQSd/QKRERGXsJ5L6dftGxn
FSAQCAkJiV8/G6f7my7Xt6pm3qcfXKttRwYX6eicffPaL8+kmXnTVCz1cese1xy9zfxObWfn6E1D
RKnISfXGCloF0ab71y0xkHCByM4wcJRLGE7oKfM8pSY0WOWC06iy+M0gt2W+gm9z9c87+XiXs+QA
iKs0jf1+Wz/KzTDYvf5R3+zVBN3/vnk7Lfa/Mf5A7xmP9t9LQ0hrUBMbv/9FFgOdEAdM7ju30Q1M
Yis36BbZZVt8KA8cG3XflVTsf/JzyaKnRCWCWG//ow88fC+nQVMp51Wcl2GkSHFv2rxZp3IlI9Dz
xG+MRud1Hvdd3gTbDgdqsF/4T4K2bDnPG8H6Tgj4hwtwy/3KIU3ER39+UaoojrQZSyV4+pjYxo5v
eV/yUZrkof8oWP0H0DjD2oXVEAzzDkJqlakkqUUj5omV7ZyZ4Ml0qcQ9Lyu4SXvdRc3exrWJw3fk
dtgvy/zYcMHU4xwpWQrhAVqZaCdP63F1+5rM2Rb1XZm2ehTi0PIBu/H48UCAA+9Fr4dgGz83gRSJ
37RRPOTFPwBfvwz0wHJQH7CCIxS3LPwLrNwu4BCAV0dP7TRluOq8aRx2wzqhzM5Bsu+gwQJ4aUvb
zfu1/8N09+fZbv/6bCdOyG43xff/Mtgq4yBd0jmgqo/SyIEB4yowB2An/f1X/QKgYzcRmFrwXYCs
8Gu2j/X/QdKsRT8XDK3kv9cI6d00VbNkSfIJ7od9ddOs3V+q6Tje8JSoBK/sZ3H8+2v5M4QA+ybW
D4QtuHmwn1jn0Z+vhdk4AnzLmycKVi370qXh3o9rDdPtYZvQOv/Tc/7rF8JKtVs/il3dl9JfcEVQ
qiQcBGGPsxtxUDQ9Tvwz9Lkocz939t/fYPiLjA93COyWpLB1FFEIOuqXL3QDT5pxGbLHnxVjbbcd
tPdZ7NP06BJd2COXbFMPZo09hwBu3Ot5rFAaAlg0cB79wxX9eaXjmWOUKigOr5ymCSC6X4BGT0mw
5j6eH4ePTbWir8Med6ZnqOtdYTu8gjYxHjuTxjgc0FoE7X4hXMaz2So7Y7I/piKeUnDHKC0Qj89y
xl/H/mDhpfMx5slq/eCz5EeZ/fub+PU14sWByCYpGBO4fYtfWVacu/MSucBeWt3vlWn70QhJnY7m
wQeFSeCj/p9DXSkIELhXCF7k/r89euTP6zR36EaigpjLz2PPNe0M7TX0dSkcFbpr/lfQWkp2EWkB
ZBGFG1v1L+UgXhmQaNvxy8exhCZ5fxvQIGJfjHreD4y/v8FfWCgMe1BoUNDWu5GdwoTzyzodydIy
7iT9TjgA3Z8LMMr6valSsdgHr7WwI6R6IlERhN1qACdQDmjadLVA+Ze/8JWgXPzDdX1IRP6bH0uB
9kGwQCHc+UGtF78SfoSAWcm7Vp/UFpFWHyII0vEwDEkiM/2htxGUdDXpBugoLQXbMO+VC/SSobjB
eQtpUFNNvQR2cxslQA/IvWBp00xXHqd7Ol2Y6/rQ+YpFII3e9DwLDDKKR8k4H8RgtmiBOpFkWtSF
SgGW3cYunOLsnn4wcn2GcSL+BGV9OLu7vmkthZTH2KwLgWpwSEiuMCrknaiHgEvUs58tRh7gY23Z
fzQG6LELlPvsRyH6GBb6H09zbUWE4ovhbj/IVxsFaEmnqECnP0YGjxtNUmbyS6yHvR0LProTCXoT
743IIty6steLCLdy1IqOXZ3JfOCm/DdoMePga8ufrciPHgjc2Irnu83FfgznswU2hOmgz6KDLCZ8
pYDBAmc9Ad/QNdXghMZEBER+4MNLjMaVxpfMLzSRZ56RYB/ntVVASv3HJEVXr+O5bnsjAJwCQ8nB
E5S8XYqJVYGZGghCyxn+uDS6h7hW5uuhmbE95+fUU7tNz2AMdk4KXRyJssu0aNAAz50EXtzUWOcQ
BBxbNYchr0SItvEPj+FRF9dp5tboC1SWkAxeAHwx+TBSyntYV0YdEMyy2PoOctylBRt+GCePd1uv
LtqUL0kAbMFWaK7CtKh84tl621O96K0Eobx2u7yzUGA2u5boU0KGZf2WEdH7tmYJWmaYl/JRqM8j
sJPAlLAn7qTZz2oyg9FusttCoPLy49gOWWTQB//olABd752eh1sG//lYGsOPfm7Mhx5Dl4JpDC4k
q0gmQtSiZspxGVEPQ8zaB5Y+owxPxZMcaTAcIWxt0rJtGihFfZfy2ncrO3WJja86Em9noZy9AhYx
PeYqiyo4SdpL3i0DAepr1TPDor5KmnTSJXZf+40rOXxuSDfVjoYM0+QQLyeMqwCFojG9KST5MvXY
juMqs9ts7WSdJ22Lt0sCBfW1Sw586synjQ8LOaCvXg6FJ/GAFZuJ7600TxEkrDcqCZobYfVySDVA
ZEhJmis7GQpN+1o85LKdwczL7r3TM6uHVjalT8axThmdr4stEkfPRvC4o0yh/u4LP1YJH/Pjih95
LjBRfVNuMicoF9j7TPvh1Ltw2GD44+mxhVr0SSZA18sBIIuGGn5qXla3FV+HYEwxjBvxvBZRdyDR
Qq4T2NY6GA2D+DYB0HZUix5/1zxnD4D/OiiOlpi+hyBrMJGEMny0EW+7o/RjcAi1WB61TQAZoBTU
2jtzHcOq2ZepWIuK5ZS1xefORtSfoSEw33WU8PAwGblgUOlE60sbp8XvxZLmog5YoK4FhaCgTsKF
Pzgb95h0xHST6iWcK1a001fCtbx1eUJudBbuK5SlOwva2PXaoSG9I3lvz8Cvg+uuj9uoLlD93sN1
jcdy24qwxeArg7dVzuvvcxC4KurC7avWfIqgCZCQNW6bxsptBzmU0DwpU8tt7d11ZpoZ3r1Qdhcf
5ijEGIoqu8a7OQ/+G3mt3KyOkTTRTToIVwKrfU1X/50Yxi5JiO1jtVlqgIOkKxsnbA4T1hQfknwZ
L7JN1JuXDl0VAUENq5/poWLoq7xroEsOTJx8Bbc8lXE0jKcJo34ZEbE8uHDsH3TrF3h8lqV5mVs/
f1ZOiqicnXEVCxV8iBzXB860AGqGjefarUpcsd7TSLdDNW6Wf+VCbiVoGvE6Tt1cSmlDWCWT4iwj
VVRGEXadwKv4VReZu+VA7C2Ig8TgS9lSMhPMmClNc5sVAYxeQ9jTrypAW1IX6LDgZ+J6vs/WDN6F
aM6yinZbfrXARHEPpQ3UGWurXqJplCcLQ8eJS5t9VTF7WTHpvmyz2IrTLBNf8lk0v3s8kFO75MYc
0Mj5p0XRlJUqmcG59s1Sktbac0Z7eZrRSYZlk2v6QseFfoudjJ+5YtM3GIm33w0WeG3zKbpLIA04
EZwU9ezm5QkdYlCm62hvA6X7LxuZxlM8hAzaKgDCl9bD+ggFLCoS4V0BRCfts6sc1Eol9chPfWrU
C9RZMa7fRtchGeMjz2L9BmRtvqdjq65CP9AnIdR202g+w6uIkotBFnbbMSHLtTLJej9qpp5VUSTf
496iOESzt5fEC2weoFKfwngxN07l67lbXQybsCnGE8tEUmPAhfITwAU9bwFMDYy16mGLivalAPjx
Nm/F8owDv7nCZsvvtjBYoELKuuMAV8ItOGr4RhZYKmAJ82OM9a7G49YE030PEP2+cZOcK2g7yFGt
fH6Ti0lgV0637VbRxNxAatRjvhfTcxPDWIKaLdwhzvviKgRrV1m5JZ8K28TA1lXwHjD40MitT5Ot
o5UXDt1qnRuA0sVtn8Y2Xw5kUv2wlAOcLbdrIJt74CTDJUj8+Dos6is+A7PE0oWvWqCD4SbnF0c5
BJSphN+BTjL6YgJm1mpoV3IHsY556SJr51MLV21S0TbMb2C9UMWREjHSa9EWsgYTm2ylBWNdF3QT
ecm3hdpSxGy8TAEY+xsfzDmedUbWZbdWW1A1oVPheh6TWXyKXRI85CPt4OqFt286tFSqR950VhxA
2vr2RnT91NWBGlNoGhkLg1Nutd4efQFfTHvaWw9S09lNw9TjqU1r01/3mKrVAOMHOhfYVwyzd8A7
uK5iEzbPa77BtjqRIbuF4I6F9RqiRbxZMEovr2mH+U2hjii5pBkap2aEMOjKLll+nUaOjPx5iz2L
bOndTKi5jlDsyLlIgOmf5sGPqm6tTs0TDZqeQ0PTDFSVKmDNABNpQt1TF0P3AqdVMjxMPgy204pR
kVcknyNyu1LuxipSQOLv8gHltIbEbavh7umuebR0FcIN+usl8E7zT4MP4LKI8fhH4kQNpEX0u85K
Rqn4tCwJLxYYcjhcXoDI9YT9UICgrEzoIwHLhxna274Fv1qKEUBttS1uHstYeFA3ueH91dgl6XRo
QPXd9R2Azpq7zl3FTRIWNSx0bQ5Qi6vw3DdKglA0ae7LaAV/nS3RcglS6vJKcJboMocjFGAaULfX
UAbq3VK0JrGS8MpMEwvjA1y+kYkqtHBtMFVg1yEmW2E6yh59kEw5GjNT+G6oUEkX/IWJBJ3rvqMI
zUV2aOUA50wzh44eepGHcKbJyE1pehcGNjMvoGMFvERzkXxtrP2ybW3z0rTyS0NlykuMCeJphTrj
wAqmTgSHB0GRyBQIrHy7GXw0XFTcmaNtFa3kLDdZ5hBawp0lUvGkxiGrlcp8aYouQX21i/i+NGw7
5tMAIq5x7A4cYUGq0Onddo/DJrmnuo2fckiAVN1ZoDVYD1gwJRRt63s4yf5BzqMuDhoGpFs9jdOT
gcuvORjXWAafuWjyEo5vehYTn+tonIdjP7P0aexJeKBLO930LA3uot4lN5EE7Tg1GvQzxVgEkzxD
VKHJzWlzMMyXyMYYRE2onfVBhtl0gQJwXc5SraykeiWumvuGV0mmrSxpKBhUoJA0mrPOcHMHD5j6
aWPIbWNgrucTrFG2VtiUa7n5Xl1wyuPw77J+qDuO/gKXwB5x6nRHgwiLyoyyfeVdE34BduaOkN3Q
00SoOOYy5/cBJ6qyIms/k1G8DBxargaD2zGPGH9DosMylWk8TW8xYeraRDFzJVOOF1UHePOayQg3
3RBg1B2sWpDMx584xpJru4bd976N8y89a8LPfRivtxbca53KeTrHAH1fAZ9H/V7TkKMQczLfZYzF
6FtRHPdFmHxP+l1S72G4xqntIv1tskXQHWC1ApUJOHjKzmM67gY71bkFbNE2Ae7LVx5W8YA6UmZB
x9O7QeroW9u2S19GsCKPJYexsqh6/NwKABbWROslvOWZifIaI7wdFHqtvrkWclp+k5ja2qqXcUy+
4OBdVUlhqLZXwdJn9SJ5cNXNafSyM//HEP4sU3Y+kJ/S1PFvBlEKOB4weR4nw6Bnmlga34J8U3BN
QxZSqgYtza3TRn7ro8V1lQZQaMvODu77snjsFWxKzGlGAod8t+CdbAlOzR5GbuEfn+ECxOHqNjTz
EH7+jpwVy44ib5ebBJZ6zLJoR5Z6YHOQHoJZQLVLNpu+LnoY3nJpXdXrWNewuM7kYtY8fAI/VlDo
etDDldmytsNpRVN1jeo3rgc3t3Cazo6i9YQOI5guMQzyQWXYrqXzgqTyoKSFRwCaEiyiKmlFy5Pe
HhubgQwRfcVhZGPqsI+xtmJ+7iL01PHIts+jNmP/KZrCVdeYKliPkkazaZOVCk0z+FNAIj4mnzIT
wwPfh3MXfx0g/AzGygaF4+wIyqt35K5H5MJEK0zbLpGl2VqhTZXjwE193YKBKmBChR478fVoPRP9
jS8YIJ1KGwxg8n6w8JggzwFCbWqOysi5+9w0PdyE9YqtAiIELqF4VKV185Qtxwa92ng2rQnEH3rW
zqaHFgomAXf9DLbsiZEI7MlJQuq0jLXySUA4PK2yx3tIAgieDIcWGSg+YigUbv93EdCc4DlqDls/
la1LP6cqjdqnD7g1kDtlsAx0BzejkDl5g3ilnXwH478zGdiHW/7eJIy47ARl9Ib9Noeadm9Grm3Q
liMsgFuAyZbxNcMRgXK8vJoWgEJxu6ChdBfCKfFJZRpt5v60gZ/C28KRxyf+LS7MaAVc1Ivx401s
cHtbiUjmKNIVZCuxYE/xksouO2SQmnbxNTFm9hOURN2CHgezQzMfpSw46nGwTHUPHdFdBDkWWndJ
UTE9RToDHImnbsmF9xI4qgUW2lUQRZlhTQ7N6JJuOMgVmhkK7GCcitsNrV9xYMGQMfBYllFpyjCZ
aXLI/RYnJzB34lUWZngJoI+BC3uCKa5MDPbOAXoR8U7GHl0W9OtIojhMmaZtbRWUJq7cohn04QbX
7Q+d/DXtGnsPuNNeAcntbmF7jas+yswdDN9eHGQsILeyFFSuDIYnTt2an2e0cHkZj9InpRvXHn7P
hUCH6Aq5jrDX2P5dbgRZDUwlgpUZzlFTL/HmH3UXrA4NQjAc0IFiQmRcpulJZckiaiYK9y3YmPOI
UGnWOXws+q5Pa8SQj98VAQVdIrwDo8G4BRbTiOJhe0A7ofSVadPevjeB2xEXdNTRWG192xzhH7Ms
OAoTFpDXRDOSZhhJpumQeKKvQj3lb4MdEgCWOYuaqQKg2KWYUHOvL6LIiKkjkprlM8QLED6USkIn
V0GVMVs0SGEEZRDArUuDyVuUyYw+/M6BMnPlGvf5Ie+z4Tpo9AQxuklhj4A6TgqILyJvdF2MKQWp
FCztCc4DvJjcNUEZQx13Ncth5pUBYPZtg+QAa4PRBxOQCfe5yWMWSnfv8bLrhLKCHjjUEb8HkB8B
POSyuQ1QhvUXDJdr+5BzofauK466K3Qw2bVK8rT7hhIZ+1NsE/44rTG7g9CxeW8UDN1w1G4OgjNm
gIxsW+dK2ZH1pXCpuV/V0OIWYK8Dv5uLCdU0F7Ab9Cl93MMI8pryaT2HAC26eoW65bc1TuBvTHud
XI0J5xAYqvQJSUnTcYlG8jlTOixpDiVhq4YNGnu9+RIOJn+B1zPqaoSuWNiyhhESd9pZauH+VtCX
6XGDoLNhq8Pl0mEXN2AaruSY++gIjgdMKYlheKwbG1uU3gCOha5cZA6BYNzoGU3B6PVdbKS5baLQ
FjVJG5kfIWWQz6vLF+iGlxF3CT4//wLDNhKNBBrwT3Owd7waAX5jiZ7ad8jYYRSCkh7RIDUOdA7t
FOCS+00AASi3TMrs0FtI5OqYiO6wzQ6faVII4iD8EAgiieUfMJKPh4hpV8Hr7d9yVAt745ZRyXqY
bfGoU7UYfF2azhgIOqBAIpru4oFFN0U79DmEPsyLUsHtfhMEbfTND11/7QKp76G24wh+KqKv8LWY
EUxBTn3VpZqrKl8T5LOY1XNEHKhiYQfTdsWA+qvi4YaHkU+RW7CmrwFrpbsAuepjgAGIBysHKcI3
hPc0vhSQUlwmaEQQ9rCmHkMBjeBLmBlJxUGEvH3uU6fWCucmujr053Ubq7nYn1v2aY1XwNBxNLFL
gXiLzzN0Ek1pzfAWazF9VssE4343AnuEJhJSp8ZiyQ/qrUFOQYPeygVVgM7jThkYdDRwly9jY4Kz
4tjUter6/NOye76XdIZbQ+X9LXCB/CpgpHgFYtzlWAZN9k1GW3xwCdGPVvno3OtpiSpui3Xv1hDJ
ldIREE+udXGl43bM6o0GaJxER91pRNrR8AgXb1crgFu1wlJPqjlOzQHtS3gz+qmFum8NP7fMu8+U
LWEptSEwP6b9QRQDQ97CgLyNNFleCrT7pzBh4bcJGvLPBB9Jy8DhwUG0/xmumeLOgaY/IcYAu64w
XyExXu6lIZ6VxTKREPtgu6dN0KOjCRNxwnmgRowZOq6LHPISfPp2nSP1GwfYURcOg8qMbLqtdG04
vQbFkDzxNk5ElQDVP0s5hiCzoJVEOs93b4D+q0MvgQepbzigemFrsNjwIX3GRDsJ+agSPSXpp4W3
M6q8RtY41EVqhi8bNL/zXMzgGkAZTp8SDzGMP60R3BZRHU/ELe2ZmFbw7Qwptl9eGIJ/0u/piMSK
Kz4VYkkqliiyBHVh02RVKF499ChwxkLhwGnYZaSGdC7c0DYWxHeV6jNF3Nl4BxSzzCKXHpNkXIsv
2TguKCqz7Ac3oI6lLUlr9HlQGtSBz5oGkhTkhVkIitHGQxfl4dHGpoEQPUkh5mzl9DuZA4/sLVCS
kNodtFx934Jz7BBqstSyYbsMHGtwBg3S8GYj84ONCwQhHLvYZUq9TkgbsbwGlVpg7oPpp3P8wvmk
EVel16zIwgORsdHzN9NvNvQlforsfLVOCVqycpMtKsMVg9GRU8Sw+f1OkqwhdDi1jbP5/JtBeFWU
lh0revwZ1Ox55m6CRWNgvuFesyGrHKFFbo9/T8/9mUsGawitBAF1uHteQVXuxv3/1BIAKisWAp3/
72KSO6FhP9QgcToqUMo6bxMD8ZYlLoBVoeOg6P7hAv5MBO8XAEodNlfE9IAl/EtoYpd6uIiaLn/v
Py5AfGg0RE8HrLhgAi/2wZT+X5rD/zfP9j9SGeJsJ43/H2v+lzyHX//ljL989N/JS+m/khS6HQg6
EHcTATb77+SlBMneIfYRgfssgREVtpp/x3Bm/4KbKIRKpyDxz2hvcLc/Yjjjf+GvoqeDKTMlIZbC
/ybWAeIMLNr/IJzhVsekj8DKNEN8BEjn3YfxHwKZvHezALvNrxwCU9Cc0r7Na2QVzGsdwa3sDouV
CFIsoIbNzizyTXIeo5EWVbZhDqyiNYP0P4bqF804XGnzVTBgMlSQ1I8C/l44lfBP4aTFrWdtcsaY
Hl4gMkrOS4Ies/QRwOBBZvHZdjultnI4T0sUr13OSotb2rLpDdiPfJOIFlQHiyQ5Wa5jWNzCvZB8
HZUNL4ICgYFfssmyEnbrQp4iwAbqALHE/pGYQWLa887fYzygrwbeLZCFEqBZuejCPTYupa+iC90j
eHB44HqBvh5izVx9goC9n66nFJTidUZz/a4LEj4Po8AhFLawdoZjM3QVSAY0rYOLQWzAgABulSYK
qGbUqCsSxuEzRA/p1xwHwv0Ey8BVbNv4ZVsLdz/Gk8LBS0AxZkKHlyaCnxcq7oa9AqnEj57nDv1h
Dmhawyay6XcOHbqEUH2Knjs9yLeYzQTzKOBDxDyCq79B7Gf61Tf4XGkaXECK0A5EAQz4NhI30TOH
wVVguIOYs8yow10nPb6zgLvmDZgS7p0O6WZLsxIw20knbkY43S9xH/DbwjKQroAx7jjr7DmeaH8e
uxyfyYP9eWYQbaKbRMed1VjX+J2PFzoQHB510zH6Gpn9DVtvEIlKNq0/Z37y7naVzIe16yMO9E0P
ffcQiAi3MHmOnyKRP9SVBbCQbfd74bmsPMA1wkYHZ9CKSR05EkHewBy1CIx7shct+Q35Vkl8REBl
MJV23f5omcGTIHakr35YH5dNp0c/tllSDaxjr1uk+UNuEbdQgt4PKhmK6HkEyP+2hwti1QosdCAV
hh2RDYWftLEIvyIFANeG2Z++LkimvG+zFf8/XyxWQ6Q03iyNFwhZqE9jIONw/9wNCLqCTL3RWHxB
NIA0t3vKUL7K5R3Hz9ocyCLDSwvUaK1zmCJsOcmCRCW6RFAUGIRGfz0iO7QDignD7sFiiWYQUI70
dpIQ91zlnMXnADxSDEdgjOvuNtNtaPmZe4yB4sMGvgqsGBYa/e4QPdVA8ImQLYSAYZ14CqEuNO7u
voiX+CwQ7vJW4NgHwwMS8oSEU3rIEyTGemvpQSahfANdyF5/LOEuyPF80WjeTPtm5/siZZmFxjU2
eCTgAPy9a7AVxBZNN0nLxx5NQkJfYc3Gg1vgK44rORRYMCYn080wAhv82BJmkN0J6U14eL41eNkE
haODS+Vty5WCdhmurzozWficrBN7BV5qA3SkUKiDA2ygM1c5Nmc2eXoAsQUVR5uuFqicwO2QLjl3
2uGFzmg5sR8QVWFBgGOT697i+WDeD58tWIeTJxsqSAIFzzlvJ3q7TgO93WaoCKHS9vgJkww5KPSg
2DnQHOD2PZ9tk4O3AdF9WJqN1iB+86ssVeRIBk5v09kFNfjMQO0Jirjf2KlmPW7aGyRvYlOwErAI
LmiDbvMRI9LaPnrt5F3DYZ7tgM6dYo+9DFA7ORcjcmkxnwz4OQmovXPfYwqECDqCmISFz8B8DJ6g
SNyj3HtuwDv9/NYTNl/RUDcntrTRc47x5QKcemXHouVqe9IIhk6uHHDlc4xwsVuwzFhRMLDgRQ1R
ED4zsm3yGoKMFNTdKIb2WjDenRCa1Z3g4+8hpVvxloaOgQ8GeKEO4EaxppAXhwXusw2vVUHY85Vg
7O0qN4bh82x8+MxTvyI2UyFzoRRgVftjqBd6mEas0pVa7AiRzRDiTTR8RsIPrge0dMMOlu4rJw/B
nCEHV+HHRw3T7w0otFPXpljdCAJ4RkYFfVXQYvKbRBp1ZcKcwLS0r3mIa/AhsuCeK4hq8KtBh3gx
mNaReBTmuE+ylz0g6ACe4BZHCAjZo4hKBVgM4ox4X4/U6wJMSUFfg3jDi/woaVwjs7iG3AdLKUUo
hjkj+3eG+BBxzEBFwiC8TzLsrmHoKfCSFY8XSPnxx44Ttkhe13FxsMTNqWqPPyrrBJ9/dloh53kN
u3gcX9em8f1vKfCaDslse5UK7dqdknZJv1KYqgCuzOIhbEE1wdT/PragUJQEFFYWM6TDJeyIqMB0
2MILmnkUsgH9g6mKqZAI+mzbMWw/QUfiIU9JY7HWYWPQQpQICp/CCngwvREj7DBllDOwrdAN0uEB
4pffOZQVeVENS9C84ihVV+OSCryi3cZS9qDyLxP2JKhDlJipDFagmVU8q+x9GsXrBJvONWXOgFLx
xerQh8TqGab680T3gwi5BsNz5xt5gzOmuA/HnDDsXRsf1YykRgillgvCzacb/Lt+IJaLpn2BDilF
hO7IvkBmeUDu83wLnw1ArSUHEcmxB0ojQoGAaAD9Z90aeZNz+MzYPWmTqaJ0+W2czVFKPR8DKJ3u
JbB/LvJHFkFm+RvcqxLMRT6JjJ2h2xeoqhw7HPHr9RYTE9WSSFFDwIus1VxDzAdUMeGwMUXiKgxn
5MF1iSwAj/TxsR8jOKLybjsS49ZruG8g9gjy1dsyAnnkjz5DiPUVVK8dhDLaIA4uylt6A0B3+1S4
Jb/WnOKY69x81QFGWUqxhi9JaKe7gGTjp27ri2sQSli9IahKZFmB8yy4BPcrXVTyPjcYtS25y+OG
xKUOUvd1SCb+4nPxkvB8Hm4xGSYPSOTbg5w1xDxwZ9BjAbDqD+0V/dYWCBbWK43KDYvsMKd5B62h
V0cfcHpF7Gxr7xbgK4V0bZUkvC9NrPkdvDvcw6JmsneOzOEj/BsM53hHDqAJXyBtk8e+y9UpZ+sX
eKWqtOP5twaY1CNc43DYDHN0BHIJMHtJ1YOGYxHtz5gdUifcd26i5wDCjhKchr4rQHs/iM2n1ZQb
cYSpIjkxavNbSTuA2rN+nqkJeKkydEYHDX/A3bIxlKheoD9ZWwngO2HXBpEx15FWwVVKJ33uKYS6
U7yRCg9tPNh+Tp/gKJ3Knbc9BP/F3pk1t22tWfQXIYXhYOpHAuAsSqIl2fILSpJtzNPBjF/fC07S
N1bSdt+u6rd+SSXxIBIED75h77XdhU0ZJ9aGOyS7E03q21SdypJptzwEZkq+odxGjmIdcmnM91Fl
eEZplHtdaeXOWZ8QxlwP/hS5/d7M+MBatltYSSYAjbV0b3B/3PdJgSemLNVrhpXrjIWke9QnXTkj
SsrZQTnIyzYjtetrN+TM1UNdX45YxFlkJl31KaV8p7zrAQNxf+vZgy5DZ2+PhnJRrUb1ePLaPsQU
lpnmvE2rrDiM7H1elKz4NCkNTFEwAoU3SNluMWxgZ5ntdRC1dP2OkXrsmaj1PQ7/yF/YNezCKIba
VZpfalBGgd5po6fVar6eVtphTqXxEkq1bvywaqdPVMQB1bWkEkzU0p8zNQu6RlgPKxLgwskviyCp
tATbkG7v1XYydkWcz36rzzMfGvvCM5shmxEWcAm35yCBGdX4nalehzHLtQAbtZypxaEXpdck1Cb2
FimAt729tEP0hcM/QkGns9R2tNqHXV3WXhSjdd9UkRHuQKspHEwysfZO1o9PStbqDo89uD6bpNdi
X9YdHUjcBDZz4Juk5XuRGN34VFtOfljwKG5cBHLbZekWppksf6FDJFtLz9XHMZocbnGjqATyNXMt
/DhIGeK9oTSOzlFTXOKhaz/Cs+5PhXRurKxE/0E18KHodfWTO7aWZLfFCO+YNc2cfGwtRm8HRsRu
d1SYPOn9nlPL3RJmCYgFYq5C5RTRuIW3YeeOVLNDRRtiJpXzHDY5h3qIbRh8iDLOqhviIJKLsbMZ
Ay2mp+es1jb4d9Qxwp2u9sazExc8dfU+nUHvI6+ItvYYmsWpUSX/H5rqojHHLjqHuwdZaGD21KCx
jKm2yrGlELEGwbMJHGA+H1VtAS6qj9oDtWgOW3ukLHcV6rO/dPx3vzfJf8X9/YiPIcNCEyaNvU4D
rdu00e+wGD38r6TuknQfVkxu/aKqjOnjIpa+/YRzaWm2onCpRqrSRLvKFo+H789fwDvg3/dXAGtk
fSFwVHgV7yZSY2xpFZrtaG9OMH82YdlGid+jTtVXim0cUWyG9S4xkjg6dfguyqC22vCCR0N7QOCv
XRhBUlX+/FX9w2VxkfKbKmW7BelP/3GiUBp9COcY2WqpUPo1E09/fKUVNelAc+x1iU7l0xcLxZEy
RPXzz3/6d+3+u4EGPx6cj2NRgmvv0TLlbGfsPVm0m3NOK5RqzYwkExZBkfKBxDNScSIkHOMhs0Pl
oK3lN2kKIj0Noqn1WwweQ7Zs1KyL4n23dtB1syKP2hBi7ViyNf3F5fqHDxHTm2baBvxjvBDvr9fg
RoliMKDel+FQIFpADNt6sZWh3pMQtJA+1OyoraltQHtk87XpmFU0Mb18Uk3yWpTNL+Ab2o/sjfW2
Ql8Ce4Sxr21oPIZ//AQVs1EWJBbxXqYKZaOlWNO1YyT11DLiaTcOai5GCrrefhGabRzqgf6iHCuZ
7zRsnmgj2nrtwbiyP/9sjX96YRY0Ghxr+Nj/5tuwwRvKFVGwr62ICjWq6L36DThkyfrXToy2/MD4
2BGHuaJs9VE4ttlxEPpw7cXgtpsYYcYTinq6ZfG9LtawMu+UhCYqEgvlexK11NwhVKGNXGc90NL4
Zq87NkpTW079zUyQzpffm9KkGKcrnon1EEKEe41xCKSbIV2mu7WOe0nKjHtraZ0MXbNd0wH9/HJA
cH0/u7NsGFYg1YDyrIaWHz+nWFOaBG2isjNikzNQr5YyPjr92uqUE6+eg989z7qDAKHUwfV4UxHz
suakXz5MrsXVigyN7sRcII6kueBfuVj8E9DqHAXfx0OGXq8ftkyZ0gAriZJ9FTEB8xK7HvDAD43c
L+yblo2pZwxvrIwEiQ2ZxsWX72/2/yfRv5hEMyBeTWv//ST6XwnB/5pB//GH/oyC0sAKw6NdzZ6M
eZkA/xkERfAXDy7h6lgdwd2vw+k/J9AkTwvd1TBIsXLAzIex8s8JtPWbcGEvIIPGrIUFxPp3JtDa
+oz663nt6KrG7JnN9Qqt1fV3bjMOoVjCiI+OA2Dh2DMMzb4ftWjZwj7sdgly7OOgvqaIKw412Rjj
hpWZe6Xc6PaALoed0WjNTu0SVf3F14ux1d9eGm/OVBmtWbpAMfru+zW15mxmpEIf7MGsq1vXzdRb
B30Jr0EJzQxvfvUh0YQC7RP6TxcZ7kaph9ZDjNiHXwhG0e5bHDQNDT39kf1xoRG8YBofOwRXrfZc
xDhxZQCpbNkug6XQdZmprt4Wrem0ii+sTnH2K1jAF/D0u5guZhTZ5EOTyORjPA/RnrgmVrCea+bN
1QlbClqBh7jYKCABjowV0LnqcxpM0n1oHHiFfYCNxLhbNKSgyJwZucsG9oKb63nEzDdtXgvkYVds
OBVHmWCu5yUkF80MiM1J2w6hHufHzqjybJsMM5pOMPwk1TStnxF/tC1l+DSFkbKDWiiPTZRqu572
7Q3SqATyYU6+lbYnLaqOwEvaB7tMpjvNneadjcnhhOZ8YLk/KD6BCA0wQje1LhCY5nMZxVskghCd
Y7Ihrij1nlWD5b5CnHzlL1kef9JDbBgARRHoKlGl3C995k7IyeYWyMYwnSN7+UAIVn4r0ZdspsUt
EY+MlhZtnUwRr7ItUoIQ4pYqFmE5E3I1sa7AzeorHFSyJ0KnuDMRbMWDZ0gNWkqZt8ZjGkn21ZqS
3FLwIb0J9W3DcOVhVlUQ7LFRHiarNndMacttbXdx5mnS6j1m/hbIGlvbT0ZYEzjhoo9hlxpMal0d
xNLR6jSRdc9Vb06Ola0Golw9RrB3jjy9nSO+tTzyw1LNP9Wd1j6AAU6/NSPYVXYQSv2B9exyMUp9
OhuDisiM7c1WhB0uP6RQ4BGGzsuh0QZ6UnXWhusuiNEAuLep6R1fMm57tAty8jrutA3roPGq2sN4
cXX0G+bY9kEuEncnmjgPOmUpkTonmJghAlzjrpDbXl14PEtANeTXFHa4HdGqzN5CQ/bJ5C/xlClX
Nih8+sB0R+1Fj9IYefQ8fyVmIrxpiliww5/kXjBMGb0uTa1nOrUF+gCIm4M+oLX2kffMMUptu5x3
A5zddGObKBnwPBQ28mm3yasN4N7ZX1kotAhtqDyYU0tQj1Dy7uBOUjuhegajNnEdD4O9yBaYOErw
CKXgibE/V495P76XIQ3Sdoi3CKBRSZewfd+KUYy0bvkoH5axLs/sYBE91UuTkT2ByJHtSOgxZl6/
XQzlyD9iCDfsBlhtJFrQNCH1VxNzZ2eoYwkNeHTjcXm1h2WC6taKg2ul1SaxyOzxGQdWF07C8Zn8
J4fdmmPNKhi8pdRI2JKZ60VjOUJQhzP+ucQ91ftmg/R3U2EnHi5GUYvDpC1wFQrW4iSJILIozqCj
O8xLjBQPFckTpt9yiBReGjr5rQkXAOFkEum3bS7Ge0sOGpqfMh4mJmVtfiv4YqBxYDYMoBM04xa5
E+OHWi7WBbRoC26WRn7Th3nxFHZlc016o6uCKdeNmxAv6llpuqr1kVupt4mTVg84apTc1/pE+GrF
r1vco26AbCs+Dospb0aUh3crz+wRgU754Jid5kVzX/hFPWYBxzOHr9lm2VsakYjEyIzqi/m9tO4Y
hOTKp9qAjsO8tHGvOuV/wsgfaxo9LJiHrVAL9ysdanNEPDI+R2iPvGHWhqvWDc0e84q/KBbD+aiv
4j3q1gEGRBOLU+wOpLyNg/yA8hryW4hC8V4DZvCxIm3qaiPQ0PYtNsU7IeCTsffqMniVdtx+Ju4B
I6ggIQqN4Bp+FpLl9UIsW0MGhzYNN51TQPeMtHEV7RkO05Ns7uJbZeqUzDeHlh+XR93wjfPdvdLd
jtsG2N9nS8HV50WuupwFZ/M2nY30IKHuBM1ICAlnw3SATBV+GrJB4x/cdJzzfMkRwmCXYL6O6naJ
FQ9jC1LD1GzssxaZLhPMmUXBRm215ohUMgkPaFL6Uwfq4fvHtlccDCqqRLfaG7zJQbODNrbeUkMd
/dERtZc1k/GUaB1W2dq278BLaPzU4o3ZOuNA18yMW0aS5zTk6GcAdI7Q+75NbXVwGcNtLBNNZcQc
FmteWQd1LdLLbFb2TlRKzR9AwH/LOpbPdEyc8cKEQPV0nfEqPZ++6ZE/bRJHVT7DD23upW5MJ2E2
IveAyJXP9BzD22Dk7SkD5OTLopooqqXzmitZ9cZdasLYmm1kVQw5ByfAPhnjRRgG5mWOIU+G06Da
M42VNKi1iy2CflZIQRgL6RrbWSqra3Tp1Scr7boyaKwmexWdHWXB7JaEdUQiIo4jbZF8EU3Y4QN0
Ynt8YfWdL7s6Swa024NK5GALuo0Sjo8rflFEOtwqqsiuswoJbArNXZrCKwkMIe2FuLDYuGmT0eo2
QDj02zArxYESq/qMyLfbduig/QpUGwIm2OlM2o20/GygJ+PvTIYvOh7BAFY0JlS26cWN07TaueU4
41vUIoaLlgHjD3UXQPEciR03iK1nL6Acn1tgPT6sTlTENIH1Ef2mgqh2dBTBlHIKY6/Pw5EBcdUU
1zFWu0uVpvM9jU7yYcoH1fCtVjNof1ksbfu2vUbuyMPadMwbyLexj51F18+JbmmmD7kaXxN6P7ZD
ZiGiAM3k4KOzst/GdGpeEWrVAyJ4hbQa0Y5rgWnqMihSUqVmbekEC22JMiu1bNiFWF3OXaEuAmlo
3utQGxcbJWuaDmemYFgqR86R1JPQaUy4Van8qKf2rCCBEoXY9Tz07/nWgklSuQfCwK1y6zikkieB
SBICLzCmiMmfxjAOebQK6i/gYM6HadKEXzW2whKfEdjJkUgKYZoa9c6pCMK4kfGcTQRv2sWFPJjp
iSFYc8WpYX9uQifdVVYkuw2KYuVNaOCVHAilBHy2clpRzgWT+lhbeGQ0dtzvEnSNdzoJbMXRqRP3
Nurt+ptbqoI1kRqpBxTfWKDLiuVpa0A486e+iY3uZBGXU1m/F9n/39b9oq3T6Z0Yq/z3bd0Nyu+v
yDFhafyrr/vjT/3Z17m/CUjKNvXoCq8Wf4n4de3f0Ie5kF8skp3pYvhZf3R2gpxtFERMLk0kRLpp
09X80dkJg86OgBlXIyx3lRKb/1ZnR/P2YwOluppN82SvSAvmSHSRPw4ojDhzUTeW6qlUlSpueo8x
huLjPiaxlilWHWSCqoDH21DL7aQYmN+sujO+TlNuU4otSYmTDjXzNKMHrOAkpMtHiKNCPGkuUC1/
bLXXyNGjx2LqbS+JLPPjIER30wBIv1tGxMPbpErZqFWxYt9EI7/oDdbk1juFzdleAm5klzct+2Iy
73PZGa/KKML5pLbNhOnA0rvzkLqifDSysLfP7QISgbPLGnkeicLov6TLjNdeR98cWsRIrVuoZW5H
OpIWWbRUDY8nQv88pqyFpk0/FMpNZiTmsmmoitlY8dl+iKiRLM/QyyoLaqQojxpu7A0Qv3LxZJIO
1oHDpv1iy6r5YIEBO7T0ETt9Sr/kjTsHiZ0wcVMbAnGHQdd3qZ48zMS/3FkstNI9v8W4mRGEFD5U
kGSP9rvDgylMI+g05WXKkPQ7Kh6tg2xhKSwluWEASWmdBoeDdAGNaAaLUNorHYd5g1lxCrSut7UD
xP6mOnWLi3YGHuSH2jZD+AvMmw4y7AyFxxnstlPeijXPUobpJwQAcaAwTPfQnttcA07mhuxhxFVV
zoAaFwSR0iOKBGr1lRk4jydUzhHLz6iOAzuxlmtTRiJR2Q0Vcg9tYYVRg13Uu3E/pyPBW7aDjNUT
4YqjwyK7R9Stf6qxqZKJ1irLg5uzeaJXH+1kzxrCyZ8SiVHmEZSojZunLwWonWDEtoPkal1IqO0h
jkxqNUCmZqK9RO0iCdS0c+o0M0do0QrUAbW4LGaI80oNmdW6LKiSYbkSQWYFLu5W4t4qMgoTE/24
4KnHfNftoPmhQIMqs2YItqY+BvkSkkKG12RTKvYDeUg+0MtD1MsbYtkIeKVWs5PqIgg4JsEh2wkE
wEc7K7ellbWPCOTvJ8YnjI15hdEysd0d5mcIJ/gv7STchsP8Ab1Je2hkHAcLZMRzQ57pAVZEtu3C
Rj+SysRzpNXaAOhtukEjkhxFn1fb0amSk5LPy0Ft+Grq+Ggf3Vn/DKkDTTggq5VponiiSwkTLu2u
O5oGhSflx6tkMHyUiYhODVZaf1mK1TQ179gI4KKr+63AOpZlSuMnq5AvAoWPbAd5Peuz+Ku5NJ+g
49Gbh1W9Yc24bFDXZY6nCmf03X6OVtovxoVkxrufLh+6hKfoatnYDLrJcxcrzR2vPj2hI6GEDyfq
T80w+q8YZUnLiA0uDl+2PWUCTOja2JTR0u2rpjmUI4YOI79mTnJetHDnyl71Un15SKwOX2ZLRUFf
jF/rUC4sVpFmB1HK1Y+wITqDeGybZufMiOV0ZaK87QlyrvMuGOCyYvAQT5YBr2Ysi9aHz/o1F6pk
iY/RK83j/gNxDZRcmua5ndVums7kEEycG0EQCcvXadoQFaZt4HCJe8TlZVBMEvkAlnLurbpdvZOx
tdPbovXWrd+e4Na3xcaggbHaPVocl8ceWMJmCo30Ertduu9Brvh8K7R7cE/3KC0DBTSHs1TlZXJE
+pKvp1nWhzY+GgrVU13r4poAZjhWNXM7PjC5rWEqPdsNDlXytTa5Pn1jGqDtgSkw8kgaxFeaw7ZV
Cd0jcd9G0HKs33fGSITeYrmHLEU0Ycn7cejULceEc6qY+9kosKzuI+cKlqXBxjZWGx2Scr3HCd1l
3Q7Ho7lVq6a/wHuJr8Y0uTdyUq+Eene+SIvnNtJxPbj9Lf0Y+WR4ZCY6ENrZ9opehNMFgXvYq+k2
NTJCjJRKvMQiIdAv5unQhN53I26Sdkg/M2urF0v4gW3eTa000GMhjjzaSvpoRtjhcmV4aRf3kxXp
B703Le7jvt4WeU41p4/bdpSHykp3SLqwNaSNuOha1OxGR75h6TcDUy7tXu30hzq0M27grHJoX0iX
MZtRvcSace3d+py38ZOVQWnR8wXSwYq4aGviJd3PiAfZ6wpmQOtZWivOHf6IXZuk03Xioys2zOyB
F1uL87vZN4cN4ANf5KumYNfW7eHGnodgaDKiHfVuaw6NfpKAWzcNxGtIKm6Fw3bOHQhI/XKIq26P
sfY4JBBC4OaABXWVGlOssuVhlnvQG21cTAKiw+82YZp+DuxKcS7zoor7uBAs42zZ3OR9oiBVHKqg
Bmj9Wk+oMke9P08JvWA55o+aGNiPVTcwkXiwpi4BdLL7MOBlaxK7eBvIWyXO8ROd7Wq/iwEoZCAQ
2N8mp2E2DpostK0gm1Rn4WwuF0BuZGaYYVP7NLvayQQVhALFIDajj4znENIMQkktK2EfdHSbjAhx
r6JAu4uUYU1Ik7GFM5+9dzKW+5koG1/TtHpbrrYrHYGll+h6vXd7oC2hoTzGyrg+nsfIryyGxI55
QRmhPyllXt6qUQ0bXcy5iBLEEGl/LVPFORBcvRynwXgUzARfFRB5sDeKsidhCslFu/nd4ixENSN4
NXM9GDr3rVCGOy22iX4TY3eFEHc3loqCaV25L9BM3mYTu31pMKBDenIE4PHRaUX+APLhiIavCzTe
Hhb6vPnM8Sr2ozaHLynclgCGujwYOBuAGA3xzsLaTTB6TdhqBsEkaYdn/PRtUKqOcoNJLHsisBqy
99A638j7jPzerBG6xUb+Ujn2/MEeFYSsvfNsZED2C6ewn2wycEH5WHTtdpw+lFEJb2+EL+UiGtkY
Buk2k1i/RHxg6caYjGzbOMTZY5CRQcT4lp7uSy2z11lV7KvrlsNHox0CsBTxJVfxWs4Dj2w7RdeL
xEAKJof4fTa1KvNTuyzVPu17QY1QRjeanu+7jKxShbVdgC6iujoFg0mO27i/x1/o7Bfbaj4qi7uv
unl6GNpIbDU3cRMPHU8CSqP70mTOG6dzzjzYcv1ehiBEUu1klYaLlFvOPtD4BMCsxQMicXGo68bg
xaaukrhdpfqlNIwE0rPZnFMmCpu8a+czubDufqy0ybfj5i2PCs3rpzzR7up60D5wQLZoEpm+4EH7
bgkXZdSy9BYZD69WKZ9ZphinyML9hlo9eVJHpEQeBOM1VlzMxociNrQ1E8t6ZXwWb5qli1yGw0iD
mIoGS881193VDYR7gQJ4ONo9/uQEz1dpMGCgUVlbfty/4ZHxn19QeXixQ8o7w91QK8b4JPvR3mKv
imCCUIhqNxRaXlEOT9JdDpY+fqlCy4LbYy9+0dVT0IeRdQjLCrnYZLobHpI7PjWEb6LbYJvERlix
qECV/XnoBJEqC3bisg6hF+RQW2XY8PzLqj1awhpBI3o3KHH53uh0sYHsPBxLdUQeaFzSODUeE2HJ
HXYEh4QV6FEpU1Ivs90P88Lkl03nVTIn36naK7QQCqY0rGDdho9aJIsN+jJEP4LRRVzXjFLlxhnS
8AgLowyQxe2Z1RZeIZkSYe3QvEpBHgSKzHcQm3OcJOYGC8mATmHYOPh7P49ud7Yo8LeqwyUu3Ppx
QljJ1NIF74Eqf0QI7aeaU/i0KowCOwXeV8RS1mPsfagqcXVHRhJWZLzlZf9I6Lp5q1jLfVfQp6CB
m7fTWAqcu5i6QBDgeGDIqqDt2zIr0Z8Ya7dMooricepaEsJ0XJVQ+cQm1SSrimpNrzUVOA1pVZ3R
vT2SrwM7oaWmS6ow+ZJJzdcme7lfEu5yEMmMFjESW5MTPiLJPTdxLy5SkGrfN+U3it+WiVYbIJyu
vFhh+zCJ4XaK23i75H3xKEWa+Lnoo20jSjcQgmJHbxw8a0qaAyLkcJnHrIDGYzYXywlfVRKkfDfD
WB9D4bpvZvKNXchfHvJIqh6tdm/VOr2U09xfdLXyiqohm7OVGQB4db7oqXtUSMPxFguhnT0MMMxc
ezzDGf1SrSECmvKsO8sLEqidrbX9mTYX3kuabcd8OWBMG4JFUVCYf1OcBqGY1apnrU3rfZPJO4AI
p3KKOR7jBoX4kKiIR2lvB10aO6MbdnoFgcpI05OjYfd1UvWoZs6jacfGxkiWl8nu38I+eoVUzv1T
Gfd9d2NX4WM1LEQdT2X0WQFE6PUiP3TJwqTOsM+4aT45deVL1yVjmofjRo9AXoQhWxOlVLUz8+n7
dKQ6U9pUBUG+tLAUnUi9ZGEFf35R7noLxy4Mx2nhkZCGvF2eBM1GVep4OztOe5DcwZ9nGX81spF7
JGQjERsIIJEU5h1uDbN4zqu0qIIk0YoLjyx8/FMF3pjcbWn7BGiW92Ond/sBK7IHTjJDd6hE0gO9
ocZwLbv6GVUX2vARo6A06+Zx7BHHMYUdDlTVGYPiuNwJtxRbqB3RaUQtupVl/zDLBWF/5d6SHZ3e
kTekfTOTtj8tcWIda1JF9no+Z8e+CuetiQDyQWBuRZaqv9DDpzcMTmnwI5UdXzR4Q1tFcDGZ9GJh
AqsDijFAFMjAmPwXPx3olgZbKNuOnTtOXWRZqLF3Q2kIH8oyTRVrUTDbXeQz21A2paHeRqJHyFyn
RsB6Nby1tA40WD6/OkUP5VO3X+wo54pR1N6UfV6iy5kPphxw7Y/DRSsgXlRtDF8ocz+7qpr4jWMb
qOBjHAy1CQGQutIfSRYPWnf0er47EVYdbtdi3ApYHUwGdK+apnTLqjc/UDce7KJMPbaWw5bjClCG
m8989GYZ4M3ZpTHYFMiz1z5VxI5WmImLMaXP2BFdKmmW1Tc8qnkKjXQLF+ywp7ItHVaLqfD10Dah
1DGXxJnFgkpvThAJVBJr8mTfZkLz5Mqey7pWPXVZ0x3byvjWLAhv0NihvmTRuyQXRP0g4peouEsl
H2OFvg4/jB5oeT56yqho2DySzs8aRzmNImVxBNqOkJubyLJxqLotazfIgFPN7U9o+rbU1F00Mu/I
CUfxahMldZ+R1gtdl7VB0n1dqvreqrqbuZ4R/s6hv0Qw+EIc85jGSq9QinIzsqHXw5xxDUlcajxx
KhP5uo+rXAZLVpsULfNx5JsKhwXfktp3nJEoI30KwNfBTl8T28Qi1NxNXTXhRpkhIzbNiSP6qQ5R
/4p+Cmi1uJPJIMFo2o4bvg3qZdF6fecgBweAxUNX4NmR8BaxTjHW7gOUBZnXNFoJSz5eyo+NUBib
jOPobPUckVCtX7H1zbyjoQsya6TzckYvkrSDHTpNXB2bnomAr4XJeIyd1bAgyteyq9z7FGYb18jc
sdHD6jAZy6OjiTvW2Z0/1Rr251bddq3J2kTK1CJVw1R8K7fnDQ1O+oCs6qujNZd20U9Az1/A+m/r
/KXTih1Wgm9ymGvaXOLaS21JPVBtfpOWnpbWqb80w7e6k5nHguZzDLI5aAQc0bZWQHwgqs4Xh1nJ
kroREU3MAph/U7ak4WfIKHdAD8CktL20Jq9WhX1b9CD3FGp6slEjCGHjQFM+YNnnN/Ekr4es2LhI
jYEMTCvUrLM3Y2Od2ESepGp6WCCx1E1g1bZMcaIjjywTwoRmo70m4q0/K9Uid6LVc7T7lpCHJG/C
O4dTrWNnq0mzoDRuYgcp+GJ1D8QPFe22QAIyb6WSjdIztJhRm0WPAJWg0ftkmyLia0CZcY3MsGbm
0Cuzeu5tR7y22WRn3TnU3JaJxeb/RIa1+1pdXoqv7ffc+DeKC865uPs9Rv6//rP9r1j51V77w38E
ZZd0833/Vc7Xr1gx+KNv039EX6v1d/5Pf/GPwfkvJvEarpWfTuK3OeXXlx/m8H/8mT/n8Opv/BXI
EVXHEutAHefwnwor+zfLwPW7hrCjoVon6n/O4Q3tNxX/7jq6B+6t2wbCqD/m8Lr4jdk84bSOSgqa
brn/1hz+b3pcy1jrbo1sBxcU23s1ZzRO6sKjv9+zDY2QfTCTh4IAY+0seoJYEE3I8pxZJBj5boyS
8y9bi38QSb/zF5uqjkKaOkVXwTBY+nsNFeCrhZ596nZjrw8wfgqLxBw991mmFvv/xY9yHaDvtkA0
956dLY100LTC7HZCk7j7dI1UnhY3hsEZ8794V1xK17CAl1soZX9cbCzalEEIEh1zkCnZce41vuyg
qXbUZoefv6t3IrTvFxAxtSpUg5uCxurHHzUNJN/lJhfQxT+LgkC/p7+yvk2D5TNnSD27MrCNhXSr
HGXVLzRw78R5f/xwZMDrXYzZ/N377KYY0lvddcAFBA7TdIo5i0XzC13v3+8R2lqNeR6pf6yt3gPu
28ihU2/CfiddOjDuTXxjG3Nq7CFI0T7/KlX5nWyWN2XqK3Be53nCbfKe42A2+GJjdhi7aGY3Hmfy
q23o35yoKjbEJZwswE2/n5q/H0n/8CX4+2VkIa1TKK1p6RSE7/ZgYZxRWhtwl1PVNFnj4kqoVbcK
fn6nrB/GX5SU398XZgQXDY9KILuxXua/WPlRKrGyb7J+ZyDN2xiKcibe73ZmbQcPozB/8Z7+6Sr+
9ae9uzVYRwI2xo29c/A/bkIAvtFQ0F+vIr0KU9xGZtnrz9/gu4xV8/s7dCDcm6vAnxuSc/uv73CO
gZSPI187LbbErahE/hQBSj7gNnT2wNQzv2+u9jA7NMGi/WJ1qnOsTWPfR7KCEuwOQCP1karZrt+m
yVAOM+7PjY4u7sPKPQcbEHla1iy/OJjea1zX121QRyB0NdmF/u2Oc9rI0ivILLtkBC6D/GzM7M00
mUMAPXvN3KEWrYmOYrKZ1YGeT+IzAoLpDrZXfbG7xfCiOnJvoZJEv/iCm/9wa7LspY/kG07W4XsL
SeoSPo3YptuBqYHUFJt+IuFagRLtApIB20ciwQCyjhbzHET15ZFUAXluQ9gjfjHR1g3gGzPRghuE
KLQxtDpElugQ3I7T+xT1urzo1qIclmwknnroyOSy11xNAMxP/ZgoTx3IT881mC5LodhbA5zXZjCk
E/TVdOwyxhAg1XqvCxn/TDl5yCJ77EenvWRMrFgdL9lWGj1QLqW7xQO67BkIAzQXcI0myuyzCijv
oyKbYYfVXFkTl75ls3HtYNbA54qyPc6s7pa/udz+/G79+xfE4Y4F32GisLb+5oOBS2giRl0/9Da+
KFkfkxqoHrRkeugXNJ89ptJ/+yvJTzQ5rIHaARtx3309XKY3QDrZiMgQqylMmlyL3uiGz9Jg1ANT
6NPP3+Hfz23HtDltgNyvOTPvpdtt5A4ln023S2egszrW5QOWDCOgsp1/8cD9+20KCwUZtmqBSITr
uP76X862qDeHlPUAT0EYSacKT9qhGnv7FxfwH3+KsBzKFAMd0HsrDlE5StGNXEDFkmzjGJcqe6L+
nLufXzeNgvDdSc27cRBfUi1qNo+jH99NligIsGu6UIQ/lV8xGdpaUxEheyJaVYQtyZ8GN76Ky/Yo
nY9Sj3aVyJJfHUvGP7wMShgk6JoJ9uS9VappKgjag02EA3qLYES4vA3HtNuyO0gc9kiLOGglHGGp
Vl/zarSvWZeOOxx7w02xLMbRzJix/vzS6P/4mmwb8YoDRMx8X3FEQlGAshntDtxZeVClGbgqgnuk
xc0lbOseQUUPqcTkq5xDqrrtV3aUhQoNYFdZ+XbJJhX55CVzJlbN42dGFLr3n+ydyZbUypZtf+X9
gO5QZSq67vIy6hqiowEHQrVkqswkfX1Owbk3OQEJI187OzSACJerMG3be6252myQDzMhnRv8euIo
mPee6xkguDn8qbj49ReAHIAwh0kbDrR/XlvQ+WGFM52Tms73SYfKY9Ru8pSyioEB8PMo7i1zW/ne
wBurq85zunwKMv+RvLHwNMqYcSNZ3rvUZH/dLH7zGLjLV7QFpGUHabjXkq06vRx4ESD99h2Wxz+8
Et6nOPG2Qvzzwzd4d3eifeCAm7k/0FxNzjFKeTBzUx3lhhkNWcciP0J4znMTAszMPlrS2P39XeD8
8i4IgWwIHkaLPfE/TyIaDlfPYuxXgvJA/6EMxGfKqlvf7WtsAeaXplTTi29b6V/9Gpioki1JDGnE
yBZKJ0MP2+xpdmJPRA1q6Wrj26NkFEHw8SSANbp5Yn2dQUywVPoPvoOCmLjtiBnqC/K37mgpYV4a
glHB0jSf8J09eDMflLjWuJU67MUfzvnPpRtCLThQGGoElpr30WDCDpDk5iwIbV6+1PHBV3kZGQsu
Xwyzzh/qxF8s2x4VCTtP8sypFd/tKMDreHXHonOQSf0WZgHWcUvl4IOW8A+ftP6mf1akfC2bDmHo
up5vvi/soWGOgCkFd1KXPEKWTl6I24auUs3sJsRc4B8xsb2cY4+Ajd/fQr94+3rEsnhErfFiovD+
5x00JFkLF5vx4ejPH+MhuJ389p60hbfSHz6z5fWi33/et9rzp++Kh4gGGBtu7/2aDuW3n7KMW5Zt
eH0/OtQ9M3MoCEMYRgiOMOPqscnKKUpmSXHjBhmd5KSLTKqV3x/KL28m4bm8WRwCTd6/lrNxUCJl
NH5A9jJEpvRxO6JXxizTJFuR5m+//7hfvDQ9SDtcZou9N5v8f55pj1ShpBonLvLcTYdEWvF2IXv3
D3vEX55fi04GdxKnl+nzPz8m73ENWa7sD+yRyQZWE9xfIEhbLw6Mk+5B6icKFi9J1uVOIw/b0g0o
d5MyLhZYpX94Xn/elAfADKiWscninHv/vOp5FEvaFxwMUpVdmvjJvu8WgiJmHO0VpG3ZV/Uh9TFY
NMVo/uGxsn71BFMNcbKp2wOEnP88FwPge7rOZneYLRe1hN8ZYgPFd7jpM4tmIrHwxKWgZcbqYswr
Vkl5bSkiM5dM1ipUwMVWk7x9BYgMLrk9DKO1RTvTf/n9nfGLwyQbG7Mujz51zvuYtdSgdytqrz0w
bUBy4C5q5/ZtuKOWz/5wSn7xUSHrpx+aPm244H3vh8l6L9vObw+QOKo3LGP+HW4VtFKGZ/5/fC1q
UPIzvbWl9tOqJmu5DJI+/UHYWXeHTdKDEeLHFzCG6CL+R/L7i77BLxYxPom2CCUi8Mf3nQobW2Te
jHxSBrUrwkcjH6qEuC7ebljUp8pFTAgb5Pcf+stTyf4aub0H4SB89zwniUnsTSraw2xbaotnT28y
cB9RZzKk/f1HrbTCn94QVBpmiEHVD9AmvruTA3DtY7Lg4KQtDunBm2cSnrLU1UtETm9dbr2utyOP
mrzcto7Sxp6dI3OQhflbdVcFgocrw9oTnuJ+Lp9tqeCpdSS3k79UriIVZI3pp0aLVXgbiH6fpCXj
t578d/jqfCWmu14TBFGohLb2JC4784VAMneA1eEvO/JAUZskRWo9eqONp7x0J2Hvc6uavJ2DX9CG
ngHK6atHiJ6dbCQ7mBTrGNq6ldLbpU89PMT5VELWJoCIwScBs6a0zhUTQ+PQj4XqrwWyHqR9cNrj
O5wPJXrOMTD0vmIIXyAbdsOC+NhCuclV4Nf4U0bsRsRSi7Z8UASoIDOojeZodQVktznpbCgCafZc
9Rj8N9MIn+eEUjGR22BkZryfCwBJu4okru4yV2wnSVIJpS4PPVyeIoLCOuMxBblvXlQGQlz6DpUE
U1SJtbjKApDLPjFD88aPh2m7BERYP0gB+O1APF0+3zL1Uw/kpXTDjsCb0L83myogrwO/6niiiJ0Q
7kxhtkedwsDFlQkzapK0wkO9+mSw36/tP9Oww2LTYvp4AopSbqeyYhLfEy1jEc0pxbEKxjv6vPsR
b+4L6RblB4hr5v1A+PsmhtV3NFZXldOGN2M5o/rr91Pq1/e44zbKBY1RLFj/bbfQURGiHEhGdXbU
rLe27D/lBWHTOIjiaMwnZ0+MwBfXMfROgdbmGDr/4PXa3IVu5jFuXhg3aWbZeR0mFyhap8/w/XTk
jowKa199WlpPHJUzYbSaZsQbJQgCoPuG196KsIKDZtbZbUH46Ba5mHURwE67cjTXg90CwmDYhNPi
iIMwrLssg2KSYqE5xaFbbKe8GCkqen8L9AADX4/gAnrmqUULs8kgGPFHcfNt0slU+1xME1GHZoHN
dCAOPSdBA31LgZiEWV/Glb0FxnZfGSkSbx0gvVi6ZTsbwwgJiHSahdL1nuwe+VoH6BngQgYRMD4v
msyhe/OMFuUStNAooGF98JtGnLoyZApHIvsJNy3C9dkPdjQpzrYFakFIa1+I+UNlju2HOouPvnAf
snH+ICY01NqEPY6Q6ENF7gfOu6IKTmr0670yCL5bhPFYhEF87mOHlMekCXZmjpiQBPoFC00IdZ19
w33WoYdrkw7Q+DjxXnT6S7I6fACPKG9nAwNGqyVkmyE7kntdHesqUG9uD5KcqEAiQqJCZcMyb8em
rRfisqg0O8hyTRYShtUEQCFsbp6Xyob8GPkt+whepiwSeTLqj5Jzf91q7rKcTD4M1NYJ//GM62lo
AN0vqFuBgO8mHohdLGwx95fBrBPdfyQRxO/J6bBjVxfAWO3uo2E5ezNPgLwYNsd88OGU/YW+ppBH
pyjtMaqCjsSLucGRcWkY3sAI3Q9Qm+PyFcaZ9qwJ7rFps2OHogEBfFGXkIoq9ZjS1b+1y9x+RF1Y
ZCedY0kXYdZeW/g7900GO5PBJM24NOtNch5j6kn6u6tr2SwvJC/Zv5CxJ94OZkSzzbXInMtp6r0H
VxXxW0hzf9xSBVRsvmNlRsscTE/Mmaq3Du9lTRpJb72SqNpFbNHETVjbcuWv66hP+/kwULE8BrOL
uAAzEjdjOe1gmLfnBUbHNpuwtNmw9V/owjEGyft02Q9q5E5InbD9kCZB+xfa/AJwp4GOvCUqgCi3
oUTKOOBgR9z/IpoWb4DfaB15IIcGBKE9DwfWM2S0mOsiuLICVyzgwxHEH0FjE5S4dAi7fcG+qToS
PsP/HwibeG5jnSy7AJtAsAkTHSPgM90WgRujwZMk63K9Bw19TsI8fTBR9m4avxvtPbnM0niuw5Vh
BCgkTC8SVA5HFDDqWdnTqK+SOE4wyrZB1JhyuWqGILh0U5ff6gDFdPGqP6jBxlhCJdKePZmmN7nu
5SutO3tH40zc4BBrPYI+K1gDzKr3upnAqGN6SG7KUip/VT2IGx6iloeKq0sTvj0XVeje+GkqP3cq
6QjX6KzHHs7KC178mQQQnNdBykk1OncG0G+3d8jI5Gex7jCJ7FlWTX0LBZIzmx3FVK0yZbiiVue2
ZxTjcDNVLz8Ps+w+qJTzuvh++1eDoK7dLNAKiIwirepMTNJ8GMOh/4K+Wdy4S2vojWrC5GbK1hRH
7VXV/GXJiYIm08EmmaHEbQhe8tLitSwjgsQStA9Bi62mhjjKCjXGiOob03qUFsI4go3jJ+mlybUn
xubVS7wiGgikAF5IaAdC7IAiUoyOvUuGAJMwwYZRYozqooNSe4QYPj0FBN6C6I+zoyP5afjCyc0Y
tt6ySQNBBY4ylomF05aYcWMgQkNIEyfKCo1Ushr4D7EKg02S6HKI8kU24wY/vqSNVfcv80zTGp45
JqAEcXcczyWK5mG9y0eCQ5m52OKBVEz17DZYc0Cpc5BoT4r7YOjkJwcrwAOAOfT3stbpzexVtbXp
3br7UCJcug28fnw25VTcg0J1b1aq26XILWLDXcUHFcgQQrwxqA0wcd24PWctyNP51kyM+c1cwGka
kytIS+uC+N6ucvfUmml96Tma39gsxT0l+/QUmkxkFq1AlC0dLfGdgTH3zZe0+bYxLC0MqMJCLAbv
Vddbz2j8mpV8qYxtZnjxvZuy5drIsW/nU6UUaXTpyJ20oMFn6fVc7jTWrPSmLHLwk0QAN7cYWmni
QqngWps9bqaT5zRBvSXJ9q0JDPZMyqwI7qh0+4bk1np2E6kjhansq6fycdzy6LV3rBYLJmsgelvP
rudi2+Vi/IrWdhFcM1xEhpScFo83eX8wdWF1gAUBiy52adyHg8lq5nvq6ySD9m6I0ZKPrS2vB7Qt
H8lCau+sIUhuCCPPDkM4BlHWB86JdQzI2RzwfJO4N7y0mEfNu84IetZ4uHri1MwNJw854hV74ngv
R/h2aEtsn77p4IwMhJ3gFfTQcB0DQz0ogpiP32CwLa/NSwfo8wiTKMluPbeXe1m7/RNuLBSzS/o2
JA1/1Ut0rLGSzmfM3wQMSPhBKEXJTHNI5RPK8Q4W52vDRNON4BfwHA5ONd9biFxvvyG8iUWJn+GK
AFg2mgciX65wb6DeWxVq8dB1kR7D/Lql/4ODRZ2htuIgwetxY+oK/LFfsW5gkTlMZmZcTR5ZXTVi
lweQeVjCp2xMWHSrZYOwicgDS5gnkQ1nNc+Eq/FsXpmJ7gCH+PU5SWtCjW2HEjBk/EcL9RNZv+2p
8GuYuY1yvhCUc24z02JJC/jD6ZH6eJbcToN7gS7OfaHehlRoTs3nUK9zpmYA9mfYpzZufKZlKQWp
ypv5BRlWcm/WuPH9SR69pmyjEJ13ssna5kj+zCf6f9VHgvkWn3cOWyvbgJSWe+xwtv48o0oneAtY
pGESZRgb5k1RuXLfjyODL6wkERWqvgW+QGhRnvcPY4uO3tFhcj+Sy74ZRezfjmaIFZp9DHhFWLuo
0r1nrx/KY5b5zxOI7wPt0pQ6kFJuU2U4v5tMp1dZQOMGPd4pdhbrc2rGek+Im3kYbGuJAvANEaoo
aMgyHWDZ0SpMZpzKFBfuS+4K0kKmZs/jxALc5OxOE68NDysT442kNftlAhN9HVbhgmqhch8Jy8q3
EzXsHuCNuKgg1zyDSPPvZsVVgm4wtXufunDTDR2UKRLpvy6Mmmyo2UN23ebcBlld4pcwphoTtZQo
mN2KUMtJIlRmgLAJF5JORt+joHcTkmrnqThDyUDXT3T3RrgG+Mt8ultM+wXHWLXnUSTBYskp1AQW
x9gfrytXxE9l0VBmuArHn2/myMeH7D4w0VMSeRdc9HO2xi6luxTGHzCDTtxUEEXQMGvcWUuNGHie
G3XlAWWsqdEMbJmuV59lMhFZmTugqfGsIQbsupptKanpPEbM0NQVLMb8Q2W73kFYNOBprUFea5fV
/oVXZroNiXK7nGlms6vzFTF7Y5cX51Bn5j3W33OX+9MxhvKigr64KrnKF329mujdBtYtA56Vmzhc
0vedAaPkR2sywg94ajfscz51TT1uQYUt23bNS8z9Gm2aUoP1YZpRrzW2/9lavK8xjtRXKtbyteyr
hkWrN578Uhh7R42gB4E23M0eFUtJ9A1D73BAioz5H7+HOR2VDUb0TMK0diPlm71/RJGJthBnfXNj
EFy6QtX85ob2zSpYD/KkYQywEuAbS+SvVZXXdyjAqzt08LAxvjGw81TDZutt83MN9fsLQT04C22D
X9iiAjiLLm8eZjiO+kNHxcN1y9jkVKmHsFQZsMRLCf18WennvC3pnS2lhaYwoSF5QtNuP1IfszMF
Lu+ek2Ii2KBohi/9uJKhIXVXbwXEYsCryxC/mn1ufS7gJqBxdYkHwFAcv8LKZhPuxhkqebnAojaE
NKqNvajQRyEq6oeynVgY+nTSDa7EQTV7N9R0NMYp5fZI7ZECB0JH85BCCyGRm/zIV2EJfiaUE6Q6
wMQ4XXBccxvVDrSRSPUc5S4XyKVWkwbfajW4EkGfuXV/kS1iYN9o1spKt1rqLNlTvPKbFyOYABFp
2o+AmMPZOBjzWgIMTEhjROaA5fLUdOvIg8s9QtBf7c/wHn1vizUsflWdwieSjFk4beJEVG/2CG9i
M7YOnH/tOuHr95MpsDURXMV4MkN+b6JM861lIm8CIs0BBFkC+plgYuwja1MA3GP9INCP1Ycyy2n3
oCzI2GAiaD9KmGHhjd2umCriyMXF3A3Ng9AoKriEzFu3Om75fniu6Yd00izyix4VgzpUeAJSnGXA
VJRHb3Qz2kKmV55hkfA0K/tQj3X9UkG2uMMNgh9QysB8hPPbz8eJNnx8g0V2Ql+nTI6RqpyjzoA5
ssubpxqChSbyYss14dml95/OEX0ZzqICkDywSMBRzNi9ZBsOFl5fr/qvWd7n5SEcu5YBRlhlOUHT
GdmhpcnzQ6qCMJdjTf/vrOGN45RuBio6kboyP5leRxOF+OMSflCL45hH3WXDzUuY99e2Gtf0uhrL
M66OBTP9TarIVGzXErL0a5tIMrSBT1ZuAmcuG/PMTLo76mp07qokmC7RMmXPpMbqJw0L6ntb/f9o
EH/QoJJauaq1/tMa/jlu5qv69E8J6t8/8rcEleE9GlSX5wYNasgkn6bt3xJUa53//Jv9YKM59R2C
jECPW3TkmWv8rTl1BP/EtNVkH4L8YWVr/ltz+3ejGrnu/yh4s96PwU3GI+vHAH5AdWr/NBVKB9Kc
iHlzrnzkDM+zdsVpdiyj24iFTLA5rdoWiXhzRnXYWvgAWqx6Cw5CDe74MNp9eylic7Q/iJQuCgG0
XXrR4obEay9bfPEjG85nR7nqw1DAih8SwDkpEcrTNlQkhTPnz5Gge2mtDqOeLeZxPUkyKlY34MjB
gwdGrUc02vR4qZU7vc9wyR39LkfIDXxl3PhyHg4QMGWzkWk+FVs2oW7OeImMDyK+fG+fEsqWHEPX
WkaSS3IYhWPZIyKbi+ILKJf2JkuEYsOvq+kmhlGNbh/UgwmwqpphfeO59CnjO5f9uDVO8oDen391
epyS5zEgJqOlCT+fEqPGXcoGd4LrwgESmhEvLKVQBCrnjrib5i5knH2/5IW6aYHVS1BxqKxSeq7b
GEbRIdedfySbHVBs7jaQccngnW6hHtBVNtxuGuSVU9hPg5SDv7Bbjs1maI+xJbLxUJEd6fiHQNQF
TOYuMxd4MAQv1oQJA6K5dvyFzeR2mJVxcnurGcm+TlrMsTkjvBqCELF79Gxeeokgz7lXBVSuDkkK
JnKRxWq6Lkg8CONdVWZdSOmIlW4vA0mfa1wBtcwr4RAAmbZmA/ggQ2u9Ff3g0GlvR+UPkPoNlUYJ
USB+A9WbTf+F3eGhiVq3V+uNgyAMYLdY9sYE+YmXt6dLdWbiNUrz2pqrfHDAYfQ9Xa5qU2ib3d+H
JE4hn3+csjXC/Mug26FCoU9kZBnffXuK/2/B+8OCJxCY/G69234qszdigDMGZv+Nv/n+Uz8seRYk
GyoXmnuwn/iF/1ny3H+5JpppRKjflkM0OD+sgLRAWedcNGurDPi/V0D7XzApAua5DBAdn3H2/2oF
5DN+1D6YDM7Q/APg8VncXdbbdzNa+sWypUVxXWsn3CmQT+hiHQzqtNy1uvMMMZ9z1kggW8CmPw6N
q57QUeIG7cO6ffnh7P1ikGi9mySuR+OacF6ZIpoI8r31aH/Qz+FnW9uKo7q225qcKYYfVHF+A6kC
gXnDSES740dfSaqQrgoACLd5RwkOqsJ3t0Ho11/CYWA3ivsXCkNZWk+04Nkqz56Iv/Jw0tD//RF/
E57+oKf4dsS4H1bxiECj8l7F4GZ+yrWdh2tnEgnSOEqVJ5aKwNkPPj4i+jpQQQCFkjGNGRuyBch/
mP6qo8DsUAp+SSGDWTSPJAXukIGnH0iFwsfZiYItZZOnt6R1nSsChOEQmiZ067S9IO2D3R9FlXeF
DlZVh99/q58vg+86ps+FgKn7s9oWVFiiDVn21/VAGFaTrG4qt1jTn2RNN0vDaX2QsVV++P3Hvhvp
MhNn/o7nL1yrBv5YD+uHqy/MKUE5kdTXdUCai1Wk43WNnAnpT/r8+096p/j59kkhkhO4+Ly5v1lh
fvwkGknzAl2muQ5wI3xqv0HBUd8A34MrujPbkQ2cY84BgwJH6OpPN80qpP/xpuFb2qu8H7+L57E6
vLvN0RWCuq+r7NpvC/GpykfxqcDeUx7EUvU7ghWATZlc+oMuW21v2qLxv66on5MOZ/dy8rB7bh1N
dMW66a2enE7aTpQGcEmlwWTLNJbKhyzKVPgoHG/52131P5dNP18o3A8sG5h/bJdnddWd/HChTFgJ
tRCxcWVB6/iUdQNVg2UUQ72C8+Y6Oes0K0BeQQGZljbdew2Eni1zev+Ndzfe6RktChGnufqadXiV
mY2m/vn3l9gVP11kXr3cREhxKTV5Oteh/g9H6XVwF7p0cK5yt5VxGEToBRYE5JMT7pm+jCCMWvNO
VSj4NmmKMbWz6gNTLHkoXWlvixLsnywFlEO/1MmLxhN8mnuCS6Vo5RPbvSDCWYlNEixgtskGh+jh
OO/ray0xNACnd3ZJYoU4l5d43caotDoKbyjv7Ty5TeYVqFiOfnvN7P9xsCsDU76iYrAyFA1R544L
4gkd5JcEgBFXYY7uOQU4f7kQLxpuNak+1ZabLjsZBNNQwM3BElka5+KST3+R8jM8jCAmID9Wg7+P
+3Y8ubFtP7YpUXuH2DcIGVnSIv4cOmanNmD/jNex8sG4yp4I3qaGP4TU9gv0Asbf0qmKh4yS1N8o
slnPXdwx5uI8HFY+901L9bhzddfuLWuy1K5EUExukWawRXs6pXBC+RSN2NnJoUtMKCQwWXjV2JoN
Z+5tgsEvP0yVmVIWhRJM6SDYUNK53PdehfDUawhKNKd82Svc3hRJk/nJ7kv91icM2beLPZgAFRJb
JftpyBseDq13c6LGYN81cYpf1mFsyn/d8ALqUFCqSsGC6vPcIHechpPfCAbf7lDGWwcwa3XovALY
/jibd5rtPP3uzmQUzZ007Ik7QQI5Of50iSlhrbbG77XX/L0SQ8S21mW9NiafcO6wYylv/rL/LuLG
7zUdRKCqmAh/b5eDCschPlXfMhNzm7aJ6Rt012fwT9uRa4BaojXpUCwUy7RH4pj34VAWut15hU7M
bVcO7O7T79VlMfs6jeapXMkM32tQ/b0iZRRg7L1vhSo7lLVqbb+VsJZT9ACHvpW2hNqude6kMo/+
JIJ62AWxiSy/wUsBsykkzwh4AKwTqEhUBXtRJ8QJBXgzQHnahbt25Lo1O7Gfkx6orVFVuybJgjd6
3UTeQM21sRq4wRhcA1hK4nPt+INPdlZNcsQyH3s0fODXZEJjfRf3inySsOvrbD+XXjVTO/eV3Ap7
zW/wJ7IzDkiLgfJwWe0XQ1ZMtR3HK1bCf2Ua9C5BPG1GwoRe8ooEzpPThUO5KwCa3y/j4ACeJare
ukh12jPI8VM7HQ7kcMn6gZexcyY52C72o+QImOeCZ94FFvrTbZDPUl9VAYBVBuW17KLYssZz58Ba
i5LYSUYk3oruVub3a4uQod/ylRBnACoBB1BFgN7o7Fvk+R2TjJj6rV0UrRNlTYZqYIxpbRm6k+Ft
jtLd3WI7IXSskvliXJhxCcRF0q3icEPAL7CHl+aEZof4vyJ003VrBYtj5bzU3D6Jg4EcBwvE1ikz
XjuQAdj5M54j+9pCXILEAAqY4TzOJSija/T+DE9qcqOvxFjzSkp6v+AHQtQlzj7OUqv+uKD9Sc/M
o4l667VYsgtrSIZHl+bMJ1QR9IwCi5t3PzIvd3a9t5C7UI3EEEWl0xb9lujl3bdAxFKvwXJ5kquH
Xnj6s+xS56h8jXghKBCA0wCK+T1AUgiH/JaiukwSkHs/COvRwvaNB9ozSIIYsJpPO5q1OcqBybb1
qfaT3r75FvNYm+16c+Y5XSofKlV/S3+YjB6zXTNHU11zYA3bWuuCN1j4THg1d3fFKtlFAdT35jT0
YWyvFv6iuLcD5t+nyc31eDUwnaf4ROhyi9DfY+SvKz66aRbSaia7Ghb6YaSgbaqOAFjN+sRx4ca+
ZgzJt2BOz6lKIUAt27BQPDqyTMgUrTt/bbUzTPmU8G+sqfZQpzet5c5kiTsSzf0p1d00XqGBkf0m
YwIx7SfTN53dDAprXTR4mLZ8IxaQKbTWOnkglQ5xALR9lWUB3F5BiNU0J96n72kxE7CGe2eYzP4i
oczNLxpZF/lDwNvi0EPeuG7DpP2IjNdrYY+kmX1uAkK8LshpJRMeEVqL+8GfnYNE+FFsTb+d/yrK
QtwSE2M2R+IqVfHCBDzpjxXN2bd5Cdc1BNoaNAJ4a84uI6Wv30uvCl8MVMjIytiib3yXZW7uSJLM
kG1dhFWRi0jYeE1Y9jAZbVRqk4yYG8R8lHbNY7IYsROeXOL92q8VW+P5HFjcUju9rti0mA3O6KQQ
efKS0e2FhbLBAxkG+4M3LRh6Su82f+1CFT4aM2X6GUxAZ30ZelRVm4p2lTpl2uZXQc1Oga7rxEtW
fUMKhwHz0n6BtzyAwfPLh1yhjwn8/uhWyNWOi/a4OIUJKOkgmdg0V7U3uZfGgCN2l6IhUBfJrCVY
PtFX6SOVSP+FKRnLCEsnpDrQM5qgVq2ClrfA3D6USWtlHwhXcgJCN6nA5ic5OEQYpS3Kt13qk0N/
NmKpP6cJHYgtuFKvOGVIVO+m3oiXQzdC4N99j13N7CF3bsEDLOK68pAlEtCuTO/KtVK4IvC5NW2v
VHLVdFAzxesWRp/E3fblzppIAo1UaQfdYQla7n54nUSJzjHSlW0seyhUGtLyY/5t1MCbLnzmXq/6
2xoGJQusLUNAmMw4NEJAkDWjDoBuF8p/EnaNSE2LZHCv3LgM1H0bAwzg5c4dvZPMwto9GwdiXzJn
KJpLv5Opc2tPZgmQaWoQdmUoGJOrojOYmlfoBG0CqCpYNGUZc/xdSMeoh7QAVZCR72luoYxHs+f5
xJLGqX/1rSr9v07KHzopjoez/ocC/qfW8cvXfvh/QEyT7F035e+f/Lud4vv/wpnqkZtlAainSuGX
/htiYP8LO0OIORu1EK1lm13Lv9spJnwD0zJB/MIWoNeBfvffDWX/X1a4ulrYJ2DEAHL2v2mneMG7
rRGk49VrD7HPp9nNUdLh/nHTkTC0LOs8SU99RQglOg4BqtOW/QVvfBdZ7sB8tBgd6763DERlzLbN
bAIaZVr6yCDOyHcxDN99h3DrARMHL16nDJ8z4igPhMMlkJXgvF00k2j3o1fh5Z+KVJz6GD7hfszX
FAhG3RrpWyBKYF2F8CIVzqD4ZTUdwXqfa3L9II2jv90k9F6frJq320aJDnurlyMT1s9Wz6BsNfjN
T8ug1iUOaSq4RHxVwPrvEtBu56FZh4hT3Wt08kaptiy77b0g4/eSHyFasDN9dZAknGSxzPuISbo+
dg4hlIue681EtMjL0nXqImef/RjLeeXP9+mtDf6qZSy+fnM4lv3OrjwiBq283Hu+UDXv67l6SFIh
9ig85Dbv+WeycMnIsLKnpqDlkgSDugrceR+octgardlECUE8CRpVd3goaDzfUhA7dzE9EOaUXuda
KONHvnEZGAuwVgAGDKvdHTJtCD04NSKOuaDnPbhsWsFE2obvg2h1XqgI5BGN9qXvojy1xvQmCRY1
RDYYsTLyeTdBNdLuBhHA4l4O4BHJfq2x8wceEKy4Go6hrocnt59zhvbZYu0MZYMWoPavaPfWgush
xsslsI9Dbn7MqLCike+yK+LhOa5nk1F69zQXs7sNSWp47XQ+n61U+niXgjQSBaxXi9FpmSfJPVIq
p46U35RXQV611xRxFae6rFJ/I6vGA7Heeyh8jTgyUl99jLvYvpvbJt8JQEyX8yK/DraTEPI5L95u
nVLeLjrvz1NIDFnukfRJcXyJUTsGPOYhSq6N+M5yhg9J3yDFIaPllHpdDPBqMEt1NzEWbj91SdK/
mrod32BIW3ceuoSLPGmdB7TNzDFEPV6Kvm/BWKqKU6ZRFlyNtvmqgeldG9I2drY2v7p19epr3RBq
JOr2pHJ33JS4EW6YmcIEqro5+EiI7vi4GCM9HRWXO6+N8WsvFQbno+mOIt8zHEbJX9Zav6bJ0rBL
JYJHghhu+4k48w6lBFd5J3xyX7O6V/QOmgVmspmalxIBuQNlFWm8kvatFtbHpSf9B7INQFq8qeR4
ANr0MhluXaiI3YENkn0wE9t7IVj5kQDEr6Y9gitjLCJ3MMrMoyhJrLtJaUZs6hAfFvo4+5iw5tzz
G8gxgBpy3bcZwTuhPkErr3puZhdX/Jj02r7qw35JDkE8dQnDIvmxosc43nfDDPvX7Nn4jPGtGnHy
dm0h8QQ5KuqVNxGKEx5m10kJ5F5Ue2cvdlAdgTZUbHvQihM9YeYMTHpJBMdkNuKqF068850mPaXg
E3etBKnp+YYRWdILXtyOBstmWICr+8YxGfr0UASkOMUeqQkiJhI4NGcimUDnbZKpLD5MwpmjKm/1
BX5T1PcDPNh4tkZKDaAERMKKu5TwWTIiC7XxGCDhsircbd5W7TkvnCVqGJoclNvjXLOq5AoKGwGe
Y74sj21pipMYgu4KLbjxDOc0HcuL0SySqCqZ/WyyBIk2hHeENvKCsThxTZMXNZg7TtMSLzvB/7pA
sthcWWxlGIW7xoQBu2ltM8JG7/inwlMBK1XX3jlh5xAAE0B59STyBGFRIc5ymQ+xgRyLBNmi+Aj6
acTS6OsL4UKPZoF4LQtAiaka0wnpG/JdeAgEWS/qulyS+Q25J4w65fv7VCQISP1Mjocp7v9yEedF
6AKwI6QeiTuNbY6nGNHAtmni7pKciFdeLN4e3yyM2qXVPKUkCLItlFp726rKhr9ssOrlzieb65LJ
f7hXifWQ0Pw+OkZlXmSmL8mUIMih9JnspUt37JEYbCxesLvab+atVRvqaDN1O5mzb1FUF+nJ0+60
8/6LvTNpjttIu/VfuXH3cGRixuJuClXFYhVnUpSoDYISLczzlMCv/54s2dcW258U3evujrDdbZGo
AhI5vO85z6GbcQL2CW+h7vx93wjzaqTve1KVB3fRLAAqI2D3+ti7mHGc+5uoS7+N6TJSCYUWxdmX
uXeWU7ENLLO9bAOJpC6L83YrlHXXyRoaqTKBNvOKXidNnN6kgtTtnFDrcFnzgCNDKo/YAKhejO1J
lWVLIxdxjFMTHxWTzrPL0BdfURKI0fTayWW3Bl84q5eXsdO9cfgZd2M+fylLe9wJuUjACCw3sksu
fYJzDuNcWFvCt26Ih3vgqGARZ2Qi0sL2cU/qRwkhq7+Jl+xhFL1xPyfZneK+HiPlmLyNxU3sIXhW
bo4mTtGQBTQ39e7eQeO9tfMgRik3jQPoCbV8sAHOb+aR+/pASFbsHtdsWMbrpRdxvTNZObuNmSoL
nSPiOvKj7ZkQnx0A6RULYBQ062OZisD4NPemWuhMeNQNU6c3Q0Hbkz4zGOmisHfeIOUCsjd9dDzY
ytt1wuK76fPCvplQjzKsHGkB5yMsdyMAF/+OqF85GzGu7a1JSlKyReO2frSaUX0E5qmO3pDJExhN
3MOLQbbcVHrKDeWST0dBHYupv6i4B1MyHMh2W3eyZMaEaOy+LpmfbdnPgXCGk2ttHNMrH/x1TI+l
gIAGImHnecG8X0w/fuP8i2FpmJ27fvHb/QydfG/pCIVNyZlpQ5WFG5QvpGgmIo6fyUJr0COBhOma
vD/XOexD2q0wT8VKYXiuRwBNrG7rjESqseDcjWWyGzicETVlLiNyaFYusXd61rYNFSEfBpyHh1/H
vR0XGOfkRPv9NF6C+BhPIFmNS6NtXTZ+1HRJKrJskCkOXoiwHtY2xWyC9xD43wrBDQv7Nqdt/NKT
oU5SaCayez/p2gfi0fVRkIYSQjMsW9hv1L4DI3RYZaLIK8gVJ1nBuRxyVrcMH5E4Bnj6A3lVZj6U
Hajny6fVSu292zsX1hChYkyJuF42Pp1Afj6N4F1aE+UpHaJMgl28A6xc3tiLm4EYNqDFhqVLioKd
2uIjmXgZ9Bd0P2E8EgMF2dKu4MTmgwjpDwyfmLzXncVNOtWB/GJ7hI0uniPKDU80ajdFLhbo812e
7OaBOAPKH44ZDgPa/NB2k/IWZ5QvQ5ee0G5wkuvGmZs96Njhah7BEZIA3yxhZfnOfV9Qp9nBlC4u
7AqPSMBDI20UYu22oO3zpiI/+Ryw5/5gLq53iuykckOdT0qTnq3ZNoplHFyXgiglc/E+DSU2giWi
zuPGjr0vjDUOTYWKtzvnvFFBdl+sc/pb7zfdIbVAWpaFGVwX55g4Spzh0JLHwHyaHtPZkDtOmO6n
6Rw0lxOvEe2JRyWAbjhn0Q2k0i06n478QGtHTazSVomcBBJy7AJVEkSnpum0eqTcLTrvrtfJd1k1
KzKwcM3WOhdvaXVEHnxBCoVUTTTevel2rU7TK2uVwjwlYc9wydpDC+a9mTp/r9FJfBzdm8dm1vF8
zOfZt3qQ/VOg0/tiqYP8nCULjvVC1TbVOX+iQY3qMV5PQqcAWjoPcBYkA5orGYEG5eaN9Oxmt+gE
wc7CTUbTaAwJdMPZm+uswdklVywrDPIHBXvxJiCTkD6YtTdEtxuaNkOdQnIheVHTTeZ55olJYtry
AvKyeBPgyYmZz8q7FBpvS05Lmbm7xQY1GuYT6SR12fOud6QmUyiIdgXp3WyghuIrhCZnhV2azLu0
BVNGc3l+c0uV+NTgAnU9mSaGurmz6++tv/+e/391/geZxlH4f5eOfRhek7+LKOiM6h/4U0Uhgt9Q
SvgaNXg+92Or/1NFoTVlrqD9LgV9dfhVfx370ZFp+ZjvcUr/67wv+I8FB9FzaPxSJXgnGPuZgMx/
RxVAhYZyjCmaroQuHrwn7NVtTe7o4i/XQbUaa05pu1mWPeqd4JmtgnWJl5Hq7hTHzal3cJbIZcEp
kLrqbmkRLHa0nk9mU6s7jByEtKRSPST4aO5KVhe09XWhUjDNaOfFOJH/U7p2ND8YJPahkgIU5gf2
hyRSASvlWAKJdeN5IjdCFJFBjqk9lce6y7o+oPcqa/+b1ZCtMR5myExquoy9UZKPF3ngfo80ydvp
kQOvsB+NqvbMXQPG3iYqhNyxE/fStm79HEma4LJIZhvhUj8wqdCiWl2Gh66kHckuKMXJUSYXrWeC
A5srN3qqSjN5WofawoIGRqhYR+MLu/YUd47dARQrk+xe1c7NoLr2cnXQviZ1NL4GNEc4ApcRFGL9
grsis8IAvy8g5gD5sVnRnZlS3CGstDOmrHkWU3syvyu9dPzYTRLn6L0QKc/LluSWeHk0OEcgDRNx
nsX7yG7YSVywWSJubPouJ5MijmSK4SAnXUI9uKRFdNcN6X6UTTak3JjldPnfiuAZi/qrGcEhDvxn
M8LH1z5JsQHV1Q/zwvcf+3NekO5vgbQcF2IdiWDU+/+aF8CTesQyQ/X8eyWQeUSYkM5QsgK4Q7D9
/2cG2/nNQW5qcYAmrdyGgPjvzAw/1gFtdF704s91SEkpUr4Hu6z12o5GP7oE7RU0SEkQHu+7omcx
VnPbf/7bjfkH3dSPSofzxdA4BFr+Q/UTYcm7oqOjbLThA1ElBn6tyq7Np2WYguc8HTp3Q2m2eYnR
wrySA9od/oNLW8yo0CyA873HqqRGLuFAS/v+bEiogo7uA+4f2iPe6Mony1d0+HrRafMBgtD0F2gG
XU79S0mjv7kHsACWBlHfPLj3lzetNK6CrLDui9LIU/SyE80uMYxrc8TTx+UULfNfMF7e8R3/uChD
BXQN7An4Kj/e7qqp4No3gXlPc8J8YtdpXVKlpBFBwByNjcHB9JpqpfwoR9x2CeFgby4brIvCcLkP
LdDvi8aLMf/3hjZqr+tqv0KYomcXOZOQp0kXPLbpinl405MEQpZkQdDGL+gwP6q8vn8NF9avDlsH
7vueq+bPWJ4VLe97ORqMlbGgr1mMHIz8XsmnsxlH5b+krWht0PsnBio40Ed+LhzoJ/p3VY4hiLJz
OnmfyUk+VZgxWCyq5JsgBvOeqEv14NiNvKH0gW+dMJj04ucD9l9fTM+inYiAidw/4b9/VyYiV6CP
KkqNdGwfUv3CLAGitnhq5c3PLyW1juvdd7Uk6BWqdVzwX6C40eINlRCjvGf3rh5IIEAwMaUStBRt
7f6NVDv7lRabfju1p6TxdDvcwBN1l+Vk2/780/zTF7fQkxK0qIE870etaRt10HLmvB+HlpfE9qKi
vjKJEdXinzz4D14Sj2mP95L/emjdfnzOssnwQ1qTed/1A6KVJaEHb8eqPo2eqE9lh//WIqPg1CLf
KKhCo/grp0DF4ZJJfNM6YuNkuJN6iFtHoWwA4HU15IQty4HdU5JMtAUr4PEU4fwKqnyQiLHY//yW
nbs17x6gp1WCMHsciy3QOyJuVsTR6C+BvI+iDO4LTZbucB43aiibl67DaViw5XvBcBtclf6M3TBd
kab0S9AemqXk2JjmdltckImH70lGGLT9TqiHn3/Of5gFofgBmxI2H9YR7z6mocxxIgJX3mOx4oac
bzNHvuZFikhS9ex+NbL1CvrDyHZBd9o+a67AserL91csh9jMRL7093Nj1SdnKJ3XKFD6LxbVgRHQ
xB36+Z7M9jSiEy2mDCjLPC8B6IychrZVLcObVU+MdMEMIAxeghRj/JWtx8T5FvWsGsCcUwjgPU2L
04KQEmZECkrB4wut1AZPP7+NfIP3X4tvwnO2GLkIG2FW/ThoVz8PvBbszH3NKAmDZqEIkxGbdkvA
3jIcKiI8ZjSXE64N0zEKCgcT6QD7IIlTbJH62BEuhMuFZgZFXGjh3bTGxnBI8K7LsJIxLFgjcqJ1
K6w1iDcimY0PmOtiAGigSMggiZfECbHqo/ZFv8qbkfXzSC1MQ//zjKh422+q+7EakpPfl9mVWfr1
DRE+QPz9ukMFB2LG+IQcJr+V9VJ8FXkPDYh9AJCAZaWaslBheyORenGPw5JU2xQVS30UgVNS9bGy
5g5XfF2GKgHYA7epp7CNxLlFguAZzfNYFRn838jzHsnVTMjqpQjrbjpzIhGodOKO3EPk0JjQB9P/
0hpF54c0JoYcewNWV+wQI9ZMs11Sg/wZaZNCBhtgg6ebImBAhtE8wS70bI1xMLTybpM5Q+WEbW/m
pDMlyP3uvLgsiPlB6hRt/YyTFo0dlt2cMeIto67U1Euwa8sE0Qdbg2DnyYGieVk7zmsPjyYNz/pi
toBMxKgb1QOpjPzY4vWIUYhBMUK/R2VF/k5WeFc+7JmRlVkmYI5JHh0pgx+tmDDqa4z6RMQr+rT7
eKlLPHlNqqiIxWlCkTQYvvok8ZGObibiQqRZR/G6jG860+72HTF8nB6bl1mI9ZPs/fRoTsBA8QSY
XxaIK6GTar1SYEZ7jlL15xKc4ycg6s6mhZvxxkBRv8djlGHNQ0u8FSOPJ0yAb13g3iSRE51KyMAi
VZleS6WUD0nGoLqH5NxGKRgqTlrNk+H4aX6aIOXktIarIiifPAwsImAAFEvtbVGEYgfeDAuGBPI4
AHFFJn+X5oz7MKQshf0QW6sBrWELOyZoPhnJ5Fp83Dwjg2JBJeZTzdGbn9VRD3Wec6dpE9QnEfts
hpjBEWD7sxaKFRyeNyXuow/K6HliSzSwKCwLKqbJA45B8DVzRbowKsFVQBGnO9TyO8j3bV5QCfJk
AdbwUNOsNkIhOn87B0hWUIb2PPp8YspO7fh+pOQ9hOvi2q+RMxMbRGdD7Qbyxe7ImnFeFTDR59nE
8NiviX3pji4Tj8085Nklh/QOdY3OqEZ3hreJX7+0Dh+OE0d9YlsXPY/0gLb5QjYXPiIUt8LRf6gu
gqthmJifmc4iui8EDsYoYTVVI8ZM2gOtYuNjCsH/sXrIwvY+vfzXzmSlJuTK4k90YHBuxqplioGC
71/FLQ7XwKvVA10iFvXUYEY9z5Hs4fyryGERJRuyO0S139PF0LcyoN/91Pcj/3j+tHRAMe1ara3u
CBZiAzI6Ka6u814kL5DL3lZl3h3iGA3buPJEJvAKp8Wc5dMkMdibJsqxMeW4YWk8DwgaludBobZZ
9O5xMbn3slz4UrySXClPIISk6G0fMv1POCHQsMUZu0+RT86rX7CKUnTp35qC1fYsO8twsdNdTfvl
4bxRWPMWWZfKCvfVVOzvs77g0bZ8GIUFGwhW4XEvYG5e1q0hbsB8GKFbR+IGZA4aIYYRz+4ME6rq
loWHYKdDH/GJRCbYhNc1FXhH5s1LhJc7DZfcNLpdBD701e1XbYmt3aW+bHsEWpuJn4F2QY1BXbVG
h9D7vMGBmBYA78pwXp8PP5be+lA+1SJIB+x3aBsgZ/DvuaN9jTbKv0pKh0BPz0JzybLDB2wIT143
2gKY7VANRl8Kgwbrpjq/QjJy0ERO1EzYBrHyDNtuvvftuX/DJ8AzaqCjmAP/M4glC3BlO8xttT6q
5NReLuQC+4NpwLp0edLYLGhd8nXqk4XF/IG+Gz0mIyn4tNOYYqydWXEHPTypq8sbEWesTIh9+c3Z
xHbVRhA7XjdzbCSHEok3uzS3YtTSrUTZR1mPDxM5DODBzrlng/SDZzTG3lOW+4Awh1akF5apEZBF
UjivSUktZ6Oaku9/ngTywlIPQAy4KyQ7BVdkA1o0AXnDGldfvpzRc9KJYjs2yOYlk3V9Ql7QHdju
t8heIGUQddlj8mch5z7MbEER1kXPhhZvnmWQnT/wviL9LHdmuhoAIBze+K7r+STnkWgr6I2nOWUK
cCR79B1NMCYfm3yB/i5QEeJOv9YPKCP8jQTCOmoPZScR7wyrCjYDx9F+t7oDmyIEbuyBzDkuHxeR
OaBvMvlkGj5ngCDjGGIrXz7NltZRW+Yipw3zPCKLJQ2aFzdutJ5TzsAV9DdkJWKP3OumTEdCzMX5
wLti33lZpcUrGnNETZm6xQZzq3zC2i6fanDpBGvrXdqKGLf4vmM8L5sLpfsZKCECdBh4fPfVaYKr
yvTBVo1muUWWyklG3zVALCrYZrMs1m2nP07i8i3oG9mvjZZWh1USB1dFDrxErAugQc9a0QT3BdQp
p4+ZjtKcl8u0fWbHpO/oLmIIUOj4KTM+JGnkWiChvPawpA6iQycYC+dBdeQ2htVsU1U1OuG80hFl
1PCng+dKgfwpitG+zNvaqHckUMzFsZxcfroYE7N9lMKcGSJRzo1e9eKSZue5T5mZcVHHkkmerUis
j+RYAQiFLBkT5xvwfS7SB/cpM5kX9MTaxR4rznnsRrFiWcOi2h2Uly5fOpah+/P4tBF1XGQUAohW
Q1p47Y0+Q8QXY3ewHVqfSbx0/h8DopxL/1vjYfYngnHqDsA4AnBlDTpgbERP51FBYiwvRW5G8saF
43AhtVEuc3S1gfZlWoduVRGrPDgVMxGdb/wNrUkRonMyhMip/kLGXDL60g63f4dnAyIuGyEwNxh+
bsD0kDKnJwcncUl6kAUoKSwSLSsMHF9rXzcMmjGrme2tVN4Cp1/vOakzqIWhMRTDzKR9ngHtHM/z
to48bjYSMb18DzB4N5Y389roBQiqWmzBMmymgUkBU+0U7eHsoO6sRv1ps3HgNbNarSWPm0U9AGTu
6GZxVHsO1MLGz4n53hAbUSHMpj0Q5o5RWG469kLr4yT9VB2GcUI8Dbse1fRZfN3R5445NBI6yMpf
M9qFjNbuaXBGNiExGt5nMUMrqxqlvy+N5Tt7NL1HoBblrWk5XxMjIr4ryHoUOq2WCzOzoyTPvsW4
t0F4t5CqXY7U4URq4IbEueUBXgorkqb1hQMlz4AdyuI+5xmSWMhgPNDamVd1YYwZ/LwKrvgmbmtC
XyZVXqZNk11buJZxCdZOecnJXh0q2VRLWDRNdR3VVv0tUAX7BddUTIZsMpGP9+aAlEX1gzi2evI/
ZtCGEZonCXsqYJucYIqquNT2h6eKKttIGEk0G49xZvJ4OlCaVKrQ1K0by4G+RQVw3vjWzISD2Bpt
MNqkbam3dG3igycCeEPKUGuEo25pnA/KecEsi6tUy9tRNxMl1/HxUCpSbDJr9gf0Mvik6ryYRAnz
NtX/Ov+9Zo/J6hI0wS7Ta7g0ADRFfsQIOh8MYxFXzRFwRMOUNzCn1a6Ca0s9rTt4SR1cpUFsXyIj
wUGqnOBZArB4M9fFB2iR25ecwXiulWuyfnYZi9tYxsxWq5uaTxNXDs/zJrhoDVlhwaRhS6eGDDom
dW0juyoxlpXbiF7JEyq05uVMkaoH5r2u5RUaCgZPGhn50aidPZA2PjeeN1YgznbJwXSS9Hd7chHa
O83IG3e2MaDGD65gieodRkuNRHNeSqzr9iXWcOFdcmBTw6HnfIOmZOwu0MKPexAYps9ZZXBeBTlu
T2Q51Ce+MbMSdR5uiZcZLBukZ3KSKF0WFndaXFCKwt2uYCAvG0fJG0In9XRw3jLTkP9GKDid+KAq
xR6cJShMdxnMPVdOnhKYth9U4q5Xib2kH5qRKJueN4TZmdPOumdBJOzCc0thhovdGHcdVBsyKWHz
+zurs9TBjB3j69hYzhvCJywx7Cq/0eTq2W7PiMLYV5kn2egYUjZlFwXFlU86qQjvWBQVRP22Vdbu
oDy2R8dSiHw8lFVx5qYfEQjFj3jyJuRvqP63ee+Ii8V3lpvAaiKSrb38KwhFfpMD4qRnpwwG9Q5a
EyfWAgaXDL1BdIQmBpP7ci4r/Lfn+4sOD4MPNfVPer43v3/pOHa9/r2/88cP/dHfCZzfOOPTp8G/
ScnJ1r/vz76voO/r0PJwfcsJKGP/1fa16PHg/KQhoXHNmhHyZ/eXGve/0e01fV3Z/6seSKWL4hp1
f0pEwnI15P3H+lBhjYZYomS6skry4pLrNe9MfRy27DZbqitsGvbSMGVPREYmI6G6mxx24hMoePdS
A5cei9KP1k3Fx7/uZOZCMezdK5Vhs+WExwEeUyNxqCZbv321puMnG97rTed7bbadzGDcB4Of3nDm
scLcgaTObmWlUyuTPnTYEt8McQl4ETn0XoAuvctzUd0N8zw+BHq+45we588dbLajbXT+uFGQTT+x
3+PIKhKD6oxfBw9F4pcPnTk8u36+XqK6URcYt+M7t3XWByGL7kHFVrS3Aj4+myi1o04zHPMmWPGZ
Wax6rsQLmiAipPbZFk9jmqlXzytb4LV1FG/slfpt2zb9HQ2l5GNb5uMS4nZutlY8mdTSPPnoOW3y
4Cg3202CWtDGEJW66uLZvPLb/gMUjgGfLG28bmNPFso1q1mfKhLoQiHVF3ruHcHzKGwOwpjSqzat
MlhCjdN/Tqt1ZhbhGUJMy8obf56SvTEk65H+NUffZLHibTH5XpgB5/Y3WWSkWpKeHYwivgWFme3p
XgC7TXAs9hSsDoLu8pVKkClXOGpvElm6Phb+eXlEbDgCdA2I23Nz89YnVPuwwDW49loxX5EQshx8
zPevmW3VR+Lhh0dKPwXoo9zId1gGCH7qEvRVZWOP17DHxb6VnoHxp6jusQxZj9Rkhhd89MU3ztji
yeSkhu1RVbdl7xg3FuJZhITDJ+4V2qhWVcEdGqryk9Wl055SFqzuwRS7ucrXi1k4xs6wOvXWzn1/
K4emvspwSpN4NaUtFK4lZvtmBMFXy8rGLmw7icwAhzOCaYWkbQctLrnXmugcrGQLUTtCn1mKmmBe
YLcbdAqvE/WtU0WO9IVtOc2N3eEQHitBMqu5kpfTx3jYpBFg4zOC7KpZbftQxI1/EGzgf8/gzt2J
BnlkmsfrbQ5QrqE0GBlfSZb2S+BdvQw27ewWCu2+M56q1PWYv5LkiHqAXRg6ApJhCudTKkvxsVMZ
5t0gRxFp9+M1y4iDE6BpJ+iV8frSFo2JA7No1AkBZPxE0dC59Vt70/maUjl51V0q+uEBS7e5yx1r
WDbIM0hflbLyNqB6RzA/A/wfDLhevunnio4Gh7DokpNedGkGsrtES9UXG9SJILkj1XLuQT9YPjON
NHcLRL5DFbdiN42ls0O4La49nJfzxTg1DTv6FEB1srS31Pfi2y6xYc+3FN2KtED+y7sNyQbvEicS
FNuPrpsTyIZc29itmUzwoEflcVynCkmk4c1RCKvamfZVs4jbLMJ4EyK7z0vCwPz42ZNUm1jS6wgh
XttGzCRps27Xsn4rKKb7G1wo6trCC7bwaJw032bLZDzHU9+zfZNs5SB6xWrLYQFfNuDC1twrAmQR
dfuNuoclJD92fQTJL27Mrmn3hVujTrkmDcqHbLOxdGiHue+mJkaAHs+LC6NdCUyFj/hTkPB9QDrb
DA+DBTbkAG2It/24NmZvsNXG5qCarT2Z+fzYZSr2v9pxHiVVmCBfm50PJWldrbfzGzLi98Y4Dtnb
4jWNzC/ArnQdCxeCpv/uA36xD7CI1mCh/N+1Xx/T/mtd9emPQo/vP/XHRsB3fzu3ixF/kU3oB38j
hwXmb2xsXVrruMFo2mgNwJ++L+834VtUEGgN2VBl/hZea5u/cRAigRIZCNY0bGP/zs7gfQMuAC9B
diJAD34bk7b+939raiNQSPKRE/P3olNXShzBklPDuiycfoaOEujfbtDd9y3H/6nG8q5Oq6H/f//3
ny6IEQ69h+6/uecox79dMOdbNyZRByfSWP2tnOb0YtVdbLfwkTiiOv5FK/t9v09/Qc92uV/ILIhO
eNdhZK3HzoJs5uTViftKBJS8OReteof5/Odf7X0PjkvxqJEGIEzAs/x+j9XhxY/HXNqnXNfiUw/J
ijOsHFFcM+Z0tVKb9/KMc4su2P780v/wLRlJSInQGSKneW/em1tUo8Lo7FNv0p6u/Ea3452Kgy5l
tF9FsMn36gC+KCNQkreKv9klPuXHQaNqeKSeSu3TXCPqoRRMZQJooqAoNg0ep8aKdlxyLDnE++HS
USznLFRTvlQFxAOBWeMXPft//fr4IH3XpaHruZ79PgSZtYF6dxzZJ3/GUBUGzKV0ZnP+8p9dC20m
AiyGMAPn3YCKsf0VKB3tk9XP9BVsA2r4UKqHUZfXfv5U9X38a9OOBCFw6d+zdee0wNB6r/ggVE8f
Q0f7xK78W2+yLlHI/HfVFeeLIPQ6/51Z6t3DpMFtE6NU2Kc1p4Gd+RNFTd/FfSKpwf1K9fQu++77
V7JMT2d4aQ3b+7RlqAhyWglbOGVmSpHtLKSQkUEVruj65sXXWCHbXXhJtfBkSQbrkjAm6/LnN/Yf
RjDhZUx7Qr+qutjw4wiOTGkCI8mBT/uDebTyCtdmq0skAHAYoRRAy12em9TslnVE0XR+eR2thGIG
+ZUS7Z9Gr0ZL2oQKM1m9lyTkRUA4Zd7w8k7Uj8/1qrlCI0BF81eBcf90KRcjMUoalhbz/YhSjU+p
3WutU+pwe4Mg5pUFH8hU77s8/Z/f5R+neqZv2xZoiMimM7ncvwxfQNbguduGdAx6BevGMDr0JhYN
r3WmYamzXvxfKIXkj1OwvqRmsnPEdXl12I2/W86afCWyTnrBUWDDuoCQSMGv73r0sDBtHlKNgsHL
QVUQswvdhZhXipBdWo1GRVnPT932sOqi2XkG+d7yWVa6KrAyDAgtqW7P/Pwmga364S1H+el6ugrg
YOOG8MLS+ONYRO+b2aq07GNfiHIvViI26tQ19rHsgcjXAjJlHFI0hAcUcthcCHjnl913NFnKHRk8
VKAhl/AgI1gDb6tVDm/KzBm636vbJlqGZEuFiG6MAxuE82fMoeZc/CxcOqzEngxvne6oeQs/t+0z
ojhmM2tfBq1e8WPbAnfNDYQAR/pQnBb0FJGvBs/DmhgZaJ2olQfZg33b9F7SASsIEjcPiy6NLI0o
hmQPG5Nr6EaV25Ns0La+EJyAIeFC26Y51yc1I6SxKaXSuwc/AuMhcI9njU5PbYB+PIyr5IgzaXhD
TdK+eA0nzWMJc+pBctK/M8zBoOfT5HH6WS4Bj8xb4enkm5k+0TOkXcbekLuvYH4Z7WfiyyIDGuWy
0Sv0RAMXbKj5FW60eZhar33o3KG8cGbK314a29Q2+mAiBi5wWGHOXUgDU/iJ3gban4h2haVs9VAg
G3qGgZ1enIVyZwnZuVI9wOPhJEp200Pfx+uzOdFibgLdFjiL7iVH/7e8jE1z41pDsFv7SFqhv3TE
ODcLf8qIFusyiOCEbkpdfl8H7puNKw/ZqF7lKlZq8P4ujHEQPV12iG010HrzPF2wJs8bhQL+Z++Y
6I3JWat3bsKLzNSQ/gUKTCFItqHMSKO0PfNNcMw6r56bczfxeTdY32p/qcJJZ9QczyVlgz5Xf9Hb
E1IxU2khKLG/ebnrBtZFt054/2oR6zis1SdzwEAAs11IgfFDGvt0MDyQ/Bj+coqkBA1YjOWJ0u9z
LyJ+rT8Q2ICpVd010mctGjiTKnhKuuCBtoY6f0M02fXqYTANCQlzXqe6dV5dVDVId6uOSG3YHd1j
bK3mgbBawB5m7Nqfq2mqnvw1Xa6hRhXbtlc1oVcG/T1sR6I7pkWNyaDQkoK+UAo3wFqPW9FHLl26
NSWTwUUfswH+tNwAuyTGy07qBul9EISp09PwR/4QLtW6EKIkHJK2k6Y55gKIYsWYTDYrhq17Wkd+
RaFmLGkcdMM3cmjrS3T9403gQjBC75ThWgAi28zhqru7OJQ6bgLCz09ukXf9vncW9yuOAgmAsaqu
kDx18V4LOudNQG7vloNrdTHVY30TYFGHWLb2yedYK3G8GijtgpHqAj1CdJLLQLSf388uqUrlgJGr
WUlpmesjIG1884r4rc9V0RLj6piEiWFnBTGE5DfM87n6nEEmGLZozPptLjrvQm9Gce8ptE9bLTXc
QSwkyJzNy770IWAzMaEGqEX0MNL6u0TW2lxmHQwdgHbL7xF8/l1ipMb9EtTlpxTAUAgNh5JhBYY/
g/uywTr26g027wcNb8KzyiQcp07uiQriF/kGfWiESyAvIoCEeWfhQHQ9dChDSLfCs5xNh8g3Ji+9
R+1xxU7XP5gWQTXbijQm+BERF7KLICJjDCCGXzc97fmeTAcIVHAd6vFDk7sEA09Vvx9hFdAxFl9h
1NSfgiI1N2kArhNMjbUdCz4HUQNg9CVhUjz4NblybZBDTSx4oh5qxCv6ENUd0u/mDpk9g9pw2ZG9
nuUDBrko/abXEo9d3QzQjYh6ZIMNQYJeOrPt8BZ3ggmpXgP5tIiVISsGFC2dN6I99UcMf7s8TRSN
1boVaMmQ5KwhEsD6JZK2ujt3vryl6A6woliPfSIu0DKYNqiOrtC/TSoyQb/r8VFMsjHTph9DcY4i
U07zyoBmPE0NwZPhCFD5YIOYUoezCKWBucNH8yb0Ezk9uxezbmP2cwmB09KqzZp3Pumb8jMeUb/5
tjSTrSVGA4Y3b+h3VWbPv6NNbaEU54bzEV1fcNklQX8osPIRL6jiFFqCzJIv/TS8ZrRXd46dxmCZ
F6aPTwXMBOMxJezHOvhmgsWZrlnoFmm+S+a5PWSGu+4Xv2o+oGgsPdLq7fkDPJHyAanCN7NYPynT
lrf5YNLAckHHhWbQjTt7bMy3eEjitzVN58d49HhyvPHZrqU/GyBJ8Gai6ABJLpu26L2j61A/3qq5
aEpKr8zjYT7igDwMgRInu62X67bHOOmuYM42HVVl2B08hQylM2oTo5pUtVNyKK5V19m3MMmKW4pv
40NJXlWog4a/2pNRgHlbrS914E6nwW1Wc+NEZupuet9KQ/gs4BTHdQ5IJy2YLoLI2Walbx+RLX6J
GmN+nIc4R08/iusOG/fnfHZzDapKoD5khDlu6GXHNwHNs+sOzsHRCObApc0b969mOjenEjjqrkqp
X0pXGOgvh77sLiRT3p64oXHa4qYwo01qY9raJ3gCnty8aQ5TZa2PTZpEV2IZ1/sBQtgmmOL5ZSwo
Qu+A5tnpUQFCckK/Rmu78aPZz29cRaP7At5uf+CUa1xl3lp/wPBkBpCsxrLSLl+R0x/155uZFf6b
nNr+emya6YJAgeVUZX1ZbJsgiejeS44XCZPbRW7joEJa1iC6iidvugfLiKO4yiKnYVwW3UuuBgsC
TeFcqdRkGrXEEgyEeEzEqZklaXpAOGrzGoAu4UUoqaW/8wvPZkKU8++16Y7RPjDaFU0AfV7bJmnU
Ktz10I9e+tCXsv0wyqV/9ovF3k0KUx5ATNQRpC9tbEH7G5hC5m2tZvbSkM5/8oZQl3VoAFEWRjQM
iq3NrbqbVs4pFGK9LiR3K71FJ64+iG42rgnwQVSZWq219ymae/QWKmff9p4zh7WZAoccGbvfaFiq
j41vDV9nAm/eZndw071o3JFwxkKivsjqgg5G5NO/X7X1e9slqJoP3vA/7J3ZcqRI2m2fiDLm4fIQ
cyhC85DKG0w5MYMDDu7w9P9CVX1OdfXpLuv7/6LNqjNTUigCnG/Ye23xy8t0ej8UyAvjJR/k2VGa
EJa2bTpIOnk3xy5S9E3J0/nOqNCH2aafyG2UUrOny6w1yuIW9qc3Arq7KUcTNZcbTF8ydGvIa9Ol
uGM/HJhxwlj4romqivgFAjcwEDl8ahUDJBe7nqr0+KozQkHc+LNe/99Z6N/NQlln0k3++1no80/9
Mfx5Ier8/hX/WIg6v3kAsp3IwkCzDjSZM/zfhagP5cq2oVBbYLDCtRv/Yw7q+Aw7ff7KxvO2Uq6w
Av3hh7W939ifeqt3wPxjsPpfbEhZhf5lRcrWzWNytNqy2Muvpth/7sPgqhhT17bmSaE7epu47Kj+
5u8hkI/bxTI6ahLACbpuCVxT4XUYxPSFHLPuCVbUU2f2w3mkomIVGSxXUneNE/HkfkL9BQkb5avx
MQYBpxtBLjwkw2S9yD0bBV4TeLPz4Lp5adexQfEdnEBhALmM3MVsybcFDAFgpVxaGIWlFOKKXx8v
EtgLpDcAfkhWIak4ScrCJVIUvxy6P8RM3UsVNpL1EKTlyjpnkfZZlNpJJHdBZroDx7BLCyURfVew
LFkb0pOBIkGCnqNftM6AUexXFxpqR+HSWq23kW6iw0NoB7N3GtH0mAlACgadzwkSbeBcVlBO3Oet
134UTRL+WCUkwXaxB6iO7H1aNmKoPqCpPumlZ28qeQkUF7q1bzAiLcNm9MlmTAprmTYKuOqwR6Ra
TLulLRDBhG1xrFMaOd3ksHV4iEie4TqkMA6993nyXHQ+aca2Nn9KYaLwYY3FtbOb9ljY6rVoc+dQ
SFXEEIHSIwBa9ntdnWZvMBVQ3M9TfgpCfQU+DVZ1HN+GtIZDWg33Dv56hppTBM8w9b9LnSgwDwoG
jjdsbPInS82YSpcoQyXSsMgqzgxNv6HR6ndOUo5PSzgOsFQNosF4Sw0HdpFHW3aggAv2IWk77Age
pyV/9SsbVUkub5ahpYgv09sl6wJCZeQ7SAAkgW1zLJGzboPc2eqlpkGZhX8jhGntkRHfZ2lNwWuX
rwIt9nbsEROW9fQTUZd/xeiX3KuopSYwNbwQMhrjAXVjifXgQC/+yeq5swsH8NqEGgX5LWJf9swX
hqv9NZTK3uGmNk9Bm+f7RvOIG400I1aoC7/lo03Qz+Tl30JO3bPu53knOs94ZIULRaxIfyYU43ee
IZ88meunBr7PwRQ1HVEu8iNuA59JANZsp52hLzTeuJehh2MGLtS+58G+RyDgbrzMiA6Tz8PUK+uT
ZMK0TTg74pIxA0FhOv/WOm67mejRQVgTzxqtnJW2BUo2NHKl7FBDeOYE+dGgjwht/Wwhq4lRV78a
VXJalkbF9SC62JPGmwdBOHZKXZyzzqO0EG7+yxm9/uu4sGe3ZFyU6DkpDTqe0BCXywt5R+ON70vu
+LEHdum4iwGMwm9Im2MX5JFHGpI03hcT0KC51sbRLs3xEaWsCp4qJMb3AAOoX4hMyW8FOQN7p2Vl
mvDIGzZWNRbPA+y8jTQtCFkon+xzM6Y9ekmH3MwtF1bJqErJ7yNyYaRU03RPKIe1mSYuizSaKisO
tZ5/dIJDdZfCfjuPMm+O6K1nFR1AO+d6gyOCHKOOV1vG7aDkL6vrFEp/lYi9r8cx+8UCOOJeU9Ea
Bmx2Qt0SeDOAeuFqQYrgMsGyJrhLWRPVB5VjPsk6w2YY3/KblYo5U+EfELxxSmhlk+GaGjvPIRQG
NQR2BNE5uyRayGcm7jO2Q+pwiIWvAKP0bVUYH9xSb8S3gmRCE7+rO3mWRufeFqZdbhFyFTeNkf9I
hrDf5rbIX3Hs4T6C15Ff7X4GjFePi7NdrNq67+rkpavsMoxZHkUX4Vbt2YoAZQfOdEGVIB4Z2xpP
xEYEH3bt5du0jDrQaxF6KzpDbmP8+/YuaZt1LDGbVz+ZW7CCctimUspbmL0tm/C82bfIbw79etdS
ZfoP9TLBJMYfuDPgyAL3ne6rzAVoOg9HxU4O1CfDNZ4lC+6XxG8elDO/MxP2jqARou+9PTwEeiUm
DyWkGyeUX/y5qAHqmvSnznRymWVsaSQcB8m6kL+S1nV3hSGNm5lt3z6cRmvbmNgOaOZIdkhBk+PC
4zwI59ucCvtuMczpimybhO15DLZ5o23QhyzCJwSXO0kUO1RHl2qNDGOk3wX2Las/EL/QcwbLazRy
ai0g9WPiJ7gSpW5OsnS92Fc9nENLPY4hLUoZtuWudWtELmMbHTuNknTuaPLMac1K1GhUyf38PgvA
gabhyM1oQWcjw7Kje2lhDUehDeclL6It6J5529G0MwvpTig+kFga4pfugpc6D9rdEqlxbw4i3+Dl
Q4LtruTaRmd7MHr6jKXhx1Qu1wqc0I2lQcguyus2lR00d5jyzQvQoXbXmHOxV7k0oT14Pq0HWeed
oAJHkYCFOyUnzyDLIB6ZUMY2uXB3Xud/XRaK2CYMrF1Wyq82RiL0k9hoLMQS2GnVHAucoxeuAQZp
OQmVqix/jX4V7TVTmFTwXYmD5CwrSOdENGslNkMyjv4ySr9BplAbs5L9fYK0epNN1nCr3HDi4W4z
1jTT99byfomo++nKvNpXHgXDpN03mhVcaeXQvVYh32rp3T4GeCV/9aNrw6Ysyq3LIRoHg8ruiVcr
HiKUrycztJfLVErehqCEup+ApJi4uzilprcQp9DGlc5TnvsMCVOUIYUOOdf9vPpmo9nZ1Dbuk9Gt
/T3mC6YmkdHsBzJoL+xjwHHOi7uZnPnbkMG7mmw/YNrKa1BZSYhL1IWMBe0FzuPQ8oYuLMjjjDFH
wxsmePmTLIt3bvtSXqVqwucu8NY4aHN+ojE7oa8Bc1xFmKiwa917Mineg8J/gtBA71Olt67dDkeH
YCjGd1khdt6A/BR9fua+RF6pmOn5xMshTXYXCID4+gIGY+MEoWPpVgmJP0XWJm3tH16jG2878znH
NtyQO7xG8giyjQRG7YVfVTmY76OpvxcikXeL6TA4mLBnHpmvOnde7U87i76PcF5TSEb2GXZOe4qy
OIEcqoVZP3Zh5D0qRmzmhlPToMRgpb4B0lL9Gnr0BOuNmvKZsmlaIXS9f0AZ4nHLwO9sj/0QoVoa
bR7ziNhpvmf6Kmle2CwXX1CGEe6Ykm6sMryeRZvB2k+dH5U/eE8NQuPvFqJnPAgIHkvYWqM+CdWS
Jp2XWUFMlzfr72YV0lu34/C0KMAoCYfndWIQfEDKd7/4zQ0MQRlsJx4H+mgZS8Hl7E/BjwQ9zCaz
h+Aukl7+5oneJaYj97Z9raqdlztiI1qxVNu+g7DfSqd97B0XwMrMW3GrSzuEH5OAUaUNHUGXsW7A
BKSH+a4Jc3DwVg8pM1ByDxwB6SGv6yB73zgUXpHUhy6o8jdOs/KNR9z4pYKp/FQWMmE9EuQn01NU
vEnnn7tmMtAjGgMpfzNZV6+pjST+ZjJIsoiWrD9HBkEIcUZSMZDnKjrbXT/hx9BEdGq3EczLUnPH
ALh/kIuWbyY4uB+eUNMxHNrohkQOeeemWf/SOl7PjHloseyS0bgllXjdzGbd8hr1sm4JWfUG9Zyy
po829EljtF0i4awwWDFPO9BusrxBPcLgOEwq/0Ul4eJ/SdnpLlv8mjxZw9GNuBEJKItZMDAudEvX
v0Vqnr2DsvcNipXxqVoa9p8DRrRr1ej8PYFTuifBGiZwvejqNI6NuQVzl4ax65ZGGA+1qt/MRMMT
5Z8edc3x2tfRE8izhiKsG781ddOuoNZi78slvekbStKqmTqJ/HCqn6FNZkxWAvugwrq8FAjQ93Mt
MT+lkNuEsVRD7PXC2yt0ZQ+V65F07C0JkZvEtO6mwhovdUN0jGsXDYYOxhG2cJL5MWTv0d7pNEPe
FqXa7NhRAVuwKRZqkUVsI+NxtG3Q5ZSbeUj8cRl0yn1qJXHlLKjHuQ2DfjgWUVZHyB3mabmptItB
byisXbUIXKOQTTlHdYiYrx185ygz33uzUd2PkHhTERx7pl7WNxAsydbEHZBe8mnVKXIJ98xCwlRt
fSzx+FPRt3H6yL69TNIAkjRE1qPuJL2A1RmHxfOz7SRn49ypXpx6rskt1qX8IgqPRSBi9l9137rf
zaZEpdfnYATxV4nnoYyS/N1ieripST69Su5H8KTLsir+wvBni0zw6CPdA4AmATl0eR+8LoUyd7nP
6byLhqrco0RYPkwK6xs1E0xS0R+3gTAPwFTG82J38kGwU/uSabd+VMryULXlxAQTtLz1Mgu+o5XV
+FVKwjnZAVAdEK1w0MzINj3xe7fMxRAG8Bpf2DPUO6l1hHnZKnYpzzqK827GLNnL3VgFJ0M007al
cX+UaR7te2ALHx4T6CPGTxEnJScTm78Q2GibHfIUUmzfAjlx8trn4x0y9a2KjOnAvPvOwTj+w2Qs
hYsJI47ECSBsez52FhnTJVbTS0lLq2NkIWrHddPtBdyAXTeX9DdclOBEizzbqQTIYlTxGE+0UX6F
/EosWRTUR4Nt6NZQPEka5TcEGbBR2BimMTNgXe06iVvH2FmMO+ks86NQ2XEEaX/VJasgL20cqNeK
KW+FFeOnEL57ZUvBxE90KR5Zg3t34OAfRbGZcSJulp7lcF/KiYeOmh8yaUa3k07LXYG+9Fj6ubdD
wciBObTtOTet+zCsoR4OrMI2I/ndhIoU26ad0fIKqwtvS3LgN+TclDurYqZWVJHznmJfBvA1sH6o
86x+N8Tw3jnIRrMpPLg4NEyUqdMPQr2HI4lGRDXXCFotGs88njyJirtJKzyqDtOHIPW3/lJ9IDzK
dhOfVmw3+guQ1pssDbdkXv1oiurLULCBxaphtjuiUco2xui0I4vOhpkcJeciR65WDjrBi41RnJrZ
MjdGg91216/hEmxEu0vrFw1XyxAwnS6Djd27+QU3R3nP/ME0t6Orx3A3CXO6HST1Nh5Ze9ut4x8d
DuIUdbg+FwXSLC1C86dqaNEKWUzH2pXjVhmd/VDIgImA6L/LTMszUQNFbGLFPzPX2mbZLE6h8NmV
2PhswIFOD0uZpfs0777Rr1GKzU0+b92lqE/NKCZyMeEtv02SSTXznquDHviVUuo5B8W5CXoZ3GS+
o1BJLxSOkIwTtWDyRsLfs5Abv0ZWd1UW8IassF8bgyOvmFx3L3zwBspzwrdMW3XsdH2zJfp02mD6
856XlhgXbyntG+gnFwwn71KQBTEP2VPvW79YMFL/zVRHTUreTNba72zYqpMzNe6PwWM1aKa9s4UO
8aqRa/wSojaYebOglmjFcJIZWoyMh/36MZyliXkmLZDYiJBYY8Ci+GenqWdAMavHzrKWNq7CJGHs
hB8AWCkrCIr/2qLH0d4BIn30iBzRYz2IjZ1czIlocexWmYSfyz3gm2V/thE3qyVPNa1OsuWjEsGV
OA5xN/kuhbVVGi0p0WXO4sVeqmY3hZU17LAWiFtEkyEAVMFf4Wr6Zaf2o1u0HB5hnp0jUo7Ps8fD
1XLU96QUI1sEoit22h/dOIDOuvUqfV4IyuFWt157HkmbCpF6PNrrLFA0UGOi1Xlk+SxIPUmVl1ve
wfaohNPB5kjwdT+pY9EyXZ+6r0Daz5oLflPlwjyVqXFNooFap/K6XdEFZ2FNco+XIdgRzVOdhcf4
r4vMYQOQvttQmdqbxO0wJEwP2ADZHxBsBLvb20W6eejcVVpfz8GpITMvDrAXHOhdGCAutXGHTfEt
t9zhBkskIaa9nzNud5pDZop0l7e1ddQFzVnvjcOpkanJ5EIC2C29H0Il0QP+E8ZwiQJ42c5fS8Qt
G1vCzmeVm8eEhH5jm2w9qdArt76eVb8pxlb99IZgeuLsQxThe/0GfwhZRR3DKNMqWIEY7rVi3cuc
Jc/tXW+WJaTy5ooFlvCOxXGJUsxVNO6C1GK/V6B1PXc8H61oafdlPosPElXbd8BtTr0tjWX5XhL5
pVF3lMZH69f9XWBWxrHggdfj/iTxPYSmfglKWiSMyAWCxjw994YLYRbawzfqLG6tVJAsV1jhXauc
5LrIbPxu5P6vtLdmwerbGM4dY+iHRbsJqIxANRuRm+ol1N54b9uZu9z2mpVzrIK6PTAFXZO4pCO2
6Ef9vdXmVoBZItdbYec4ivNlFvtcIKRxzcS4tfKerbzHw+BI/OvznHovVAjeU8dWfZ92oGC4D+ad
3w8WzVX4qlY2Bngn+yk1K7EZMmCJ1pB81JolWAEXemMFtk3MA026caNsippL1TBa7eSUoXuIpN6n
ft9uWK3649ltOH9iX5qiOKSJwtKgItxvilkYNU0ND7yhuaG8U63wNojz+9deuB0spTCEDs4m3ITB
w4xvFkWymTkX3vHhRc6tyj3zeeIbkEOFSeFtLNG2cBsnDI0YUMN1RE52dUYxXgKuHjQxQsmD6pr8
sghBzBUPLKzs/ZhSMc1KxpYtV3SyXCshTpn3uvSDr26fkYxbjoU8kiNOvLehO4rWECFZnK5ZEUgK
9JM3CsnwySyFT3idGfJJIFmp7CH94cGJSLdNiq16y0xtfgQSTbaxw422WzqNACQYaLy1zSOaErQW
28kRvxTl9Y4VwcNsUNZjSTbP6Ask0RejOqR50j1oDEZvRUEFvvWgxNKve9Y9fksWs0hYwscBAQkV
b5+292y9pzfDzcezk3XMZfB7hdd+NuRbKVakBA6fgy1AANK8Ds7DgGr9MWIpTWyDlUQ3hpGBcWFH
fpZDOD3ZtsMwVNsjdykoSdbINdQqm5oxy1b4dsFNqVyeWKRAF3iX+igtbpnwS54nYOSrm8KyZ28v
feXxSdeEhMg+LchzHu5Jo3YBf86CLShjqGdzCdIzYtRy0yCw/cW23EKjMFCowR5AycyA6TaLIgJ8
0iLv3kbfa/fK4Kmbti4PMy6pLc1OvjPToTiw0sZazWj0pif67zQpU+4QR5UXYTUNaoTAMi/t0qoX
+NpSc8pijM0M5W4I1Ug4TqTxIJCl3HqzCgFDWOmORDdxUIPpbhyBvwTivZLXsKqdL0xvyTdplXg2
qe8uPc7s/Sip/hlnBkxpjAwhazER80rglGaXgWNkqK+jjL4bk2URdFEnRz/z5NaYF+saTdwaTmFn
EH7hgADvuW+0r09q9qazbwQLIQUJq16o5Fw0UbBh3tyfBxLurkYflBe8jd8QFVq7Cd3lvgjnjxRB
2MZe+UFJWDBWtKDrb7t+fjWAC+9hUhFbB6pnZ3ChH7IJtcvUz0QpDi0zm7ZsSBeNYK1njkZHY5lB
LL2WWtZc+ve8cqHn40M7zr32Ed1Zw3gfBi1zYIvl7BaV1lQ9aqzD2znjYQPruSULYZnKCyBu4pFY
3zBjtag02mxvlSEYpna5JQyaPzeTh8HR852SDXPgqXyNBvuLk3JYe0azy10iE5iUfEQN8rgIQ/1W
ocDfDgYx301gtHvbKt2jcuuDmxaPSyhoFVDgbqLRxECPGcvJcieuiu5NDF1x76fjMTHsI4WVPExw
1L8amjWI7RhfHNMyUWZSIWMUB4E48aDGofRRA714UGP3MLZ2NcdmG/Jot9ZGMKuMu9CJ5g2xTdmp
a4gNQKTxwzWC8draDZHYnP9xzhqMQU/kfgH7PoKl1ZdJCH3qqz8Civ93bf13a2v0tmya//3a+v+b
3PT7F/2xuQ6832zX54/YD6/LaYvF8T+Sm5zfWGa75Mii3wXpuYY6/WNzHf3GtcQq2VzVyLZlsk7+
B8nZJwgbEbaJ8je0bdv3/xsHT2A5fxEQg3IOqD74lrwKluF/UfCHk9+2CKKsY4g4k4B6RJqbHv8Q
XfPcXXLl7HSTfJ0bgpVi5pvZi0mHt3FNp70hzXe8dVo/j6OejYQXJFZC5IsX3mdzKm5w2VbPbTOD
QMCncOoS+ZygUcfUMXYfJudgj/Qj79OXoTeaV1vijxX1imWZ4A798JIGFdnKUnFnCHu/pxlqmx7N
EZxgMbs9NMR+a/wsNQqV0mlr/TMKoigozvngqlvqgV1fE7uY6uKG7BYRHvwpaQDMuKkseCKP7u0o
bcva2llrPBuuJ1aoWDPtBAOpOOgYoA113rnbAMHcrdVrhodlFpJUUoX2zSCnkLelte2jpVV6KQQE
txFhH22x7bS7JFTK2+NfZbk+lN/cemluUoVa2AsXd+v1bvmlJzV351mJuzXwdwFocdSrvWKlYLZZ
6QmLZn5oRS3u2WeZAXEnULkgWBvvcqjYzw5av2QmwsIyByMVdwvC41dcBvDuA18DI1r6haEfQlCM
0cmnWj8A8GLfdZ/xcQb+nOe+C92PEeY1dRccsnc3BUboR4BQNPUn73Jp8V5Al7Ceo9KjVf4EYKW5
RJRXiXWmKJ0KZWDfgpUZHIdGGfEdFZ6DwobZIWU5j/uMQTzcmg6UxKc34XeE0Od/IsBDUpjQUvpx
N37SW7KaryENpwwuotHinXAPhICepHct3JDnkDfCAJOTi6i3IrLI2n7yLtgGwfb6jO6G7IpTug+J
jOLShPtlWyuqrF5duCpoxzUOOYL0k4GQELpCLIxeiBoFr/ICIGmV7s41UAmcV8i9C3fhFwrWN4Vx
LFR9WS6ARVjW8AKU1TH7hGqLhL6eEvFeqRq6R5pMqBu9uXeKbaiDyt3yWPPt22SqSJIdZGKmJykm
pNFkncsfnwynvFwTQ/8g+7QdQKyKeS5cLkR8xCD6jHuAXIbNCg/x118enBu6d6ThvIO90vzJJ97C
9WuQtmhYUbQPckUnjcbGNQS/RDLa5n2YT/7l8yf6wcq9BX3lnFRlcW12eEZJXCKJ9FUx/wk3+HDQ
YLjKnkhN7C33w5wZdUJ/Av7im1gyQH+ArGMXCSotLzz3IS0gupdOl7Wn3Mn7YZf4I5yRzs75/qlT
rZyvFU6cMVZ+owyZjdfPVxlCSE+PiNdYxUM85sV6wucqM9DW3kY9oWikZQzAcwZf8TkjTOiWJ6lW
XlxbrR+pzfqS96RY5/kS8e9NtJpS5r7l/0dzDoKNEopJrLHS9Mr2k8yzWr0CkuuS+BMX59amReRb
J6pfDDW5IgvfWK8pax3Kpx6kqkPL0gbHh1VrzNui1BsdlFKRsW2jxFt89Wh+2lMIyn13uNKYT5Kk
EnKdNrUVY+IhayckC0J44Rx7ttExNrNXa1bdsDqa+yG49VeESRHB+YFVwqDWwUwHM26WEDtWlxNN
x0DdhfD+aeIqPhQMuvcLdG8kPan3MOZy+F4YDik1FQ+d1yqq9FPos3YJ7J4L2+5Vzy/DG3DBBGPw
27FqdJDoeM2wYowI9PGihn6ft4xBlcYhyVI5Cr536LSdndW0sGFA2KDNt4eVK5PiGXRIxiziWWcJ
2uGAE2Ts2okfWKs7RrjuDpiBne4M6agYThDdQ9274gTKxDm0VZhlG2zd6cNK93msoMw18VRWBOwE
ZWa/UNEFyED7+acb1M456WV+LKbQ+kHa9vIapsCc9yZH4KVjqvDT6bR6Hj1vPokaGQcOF3bBufEC
vad/zWx32DZdyWihIloMAhTbGPR/1cXSSDeIwGj2ZljPuyY1l58rNoI7QFXDTYiTo2BviuGAlihx
3jGzMMvAj9GxXwus07j05RVQPiGtQONAT2pJvGoO9efipd1t75MU5HlR5u6WsJ9IEJu7+UzvEN5W
yni0asPWOxAcDuLGcBos+GGc5g/Lmkc2EUwmJxLK2PqTVdaV4qrW/LJyTTJrpp7ThGyzBrf8+Eh7
QomrQAzIzxg01APORZQUkC8J+utXlVX9U6Xc+8ybukcMO2msQAg8EuMcPDUBhWnFGje860A7Hwk7
EfRDmfmFBF9945LXtqS2/zZiQD8Qxdj2B081bcT9ISrUuL1eb3x1hAQLDVDY91hVkE6wHvEwh5AW
p9bcOMTV0nxA2tAyiA/MHdYkKx4KIAxMfmUmdpUyWQqRJq6+JkLX1YbFADF1JsDG+jh3kM42huVW
uwkDzSbUpny2UZ+95zaTKh6FpN+NhUvnahriNPkOV7Vyiq+ax/uNqsbxVq4xeowUrmIgwSEG4Sb8
TdAk8kJkM7wRN7Kf5shwb7BQWA+l5ctfk6v7r/NncJ/+DPHLPwP9ZL+UOD1KZjBd/wXObPKAzhZN
1JoFSClIPS6x4VQAD6bA78/j4Bh3fS/93fAZKDgH9c9KKgCKS05v682Mf3M5veMkS7Yp7Nt7YFDe
nR7xnsTlZ2whaBhxGxhJecXjYjcEuZnGg0v84zZwR7Xj7SIa2PX1mR6x+ZqPxId5rXhJRmFiIelf
5ZqiyDTXw6hlvlt2eirIMrwYs+d+UYrmiHsOjK2VDNYuMbLsZkjd9M4J2/E6Bv0xHBl+lAEujMy0
UIAFrdDuRWXS5TckqIgBlEMSuLBH5g+zAauNS8UkKLJWYXsEJvWW0KPHKaHmcW+3LtsMuY7s6PUs
wFKchcLdZdqPeFJErJBTt/Nj4oyIqsQGT1QOGzbnAVOZfw8vTT61PR6LuG+mlt+HdJxy0XsjIAez
7RlCs8h98c2O9rCnvbPW3EwGPR40mbp+Qv9ErGaxJmzaSNS3CDWLYSdWcRvtt8dWjSHFfa17Z4+R
aX4219TOeXDMN9LqOKD8tL1yAk3HXA/5sJV19OBIczqIZsTJIm1X3EDL6R4zj+we7Dwkho6f4aHZ
miM6romiKB3MbZ/4p1AW4aUt0/nF/Mwg9erxNRuzL6yWmfJ5VkhBoaf0ZUKKwQxIs9nvBufsr+Gm
mjBFmsCM+L3R53OQfaFwhdUmOpUwGH2Cldao1OkzNVVoAlSZ7vB0RJyfxuzCq4NA8vHKOsqIJ6H7
p6Rog/2gu6TY8ThUx7AY8m23EjYYpMem7q3HDFERVNYic7cLCs+b1p1dB+01QV+6JzxI2TY5QnyN
vgaf6UIB582PoiNyKPwMH/rMIcrWSCIRgDqM+gjXxmdg0RpdVK0hRstnnlG1RhuxrRCsniZUMmM4
XhX+9G0yE3JK7Pe0LdeAJKg20+1CFpXzwvOtvMqmcjJ4gmRH3RdE2m+G0msfEeuk/iNLO2fNi41W
1QcBpCR/ud9KyzbTPfNfhv2TSS1Y+lZ5l/KQTadKX5iADzukjhGBU0PIZIEy4GoDouPkxdvwhVUM
a+nFYYqVuNF7So7V40KIPb6uNNt3sH7I8/S8264hBDNmD2Rs0WMxZWsreaOtbj6ETa7vLU8Oz5mq
GTN2NyJc9LaLbHgnQzt89zktD5Ps+rM1eQm44/CVQk3tA8LypqB3H4ppRnrkTYBS94UmY5exzqKs
fR4tC9F5bs96r8ViUMS17S+Po2OKb7qs4Y9x5FXIflH6Qihn/9E4yXIpEYCinkIDcW9E83JnZEuf
s0bFpvGNScWzGOemDFgPj25iH2qDw43oaTxhmRM8tlb1JpxKZzd4I4Lk4jTmh1SRuGoYKzBhuBZO
pWI4GS/FXBJ7X2QMEm04VG95zX/1Ku7ZmN5jniLoGiAKftUNQoe3JUOh6Tp9mAb3qS26e55+J1nz
BFXHP3Xyf8uaAL1lOh5DFmihvmu5rr+6hf/EmkiRfM12Sl0bYJw5KYdO1Msz+3kBmP0j6q2/A0B4
/2yvXn+g61ghHno8yC6lwiox/9MPhIA1k1A0tMem7mEmZ5TuAwfzR2lIojDsdvyeVXAjbtMpHJ1T
3/voEnDTQce9okKpOPm4sXd+18AuBqQJ7xCLkjj3NjDWKcMVOpUtBaC7NAllW+2zwUlNJ6Khd+Xy
ZOMtIi1Nl6S5jSNlJmKAj9ablHyCMYSYepGWpdgF4RB3vy70EyUDQU1jlyZQaXMnpRcpOTGecfPA
98ZM8YNLpvlFMnDz5ERMLWPZrevez2AWs3a1vqT0RsZ6dpo0WBa5ucBix2EfwSfEwLlyXmf+YX/n
tsLyD31m4TMdrLB9/+yFP9l+//lDX6cd/w+asH4Ggee7TGqQB5sMZ/7yoZdUyIk/sGzy5tXd7uUo
0ePRApX3NxCB9Rv9yw+KfDwDzD4c+69XF2Q0F/EmP+iT/MtwAqWNbDo+H+4992PIVzxs2oIqQ4qF
av0//5r/+tND01kJEfgfWF38i9OdQKiA3Rx6rkLYz75S4TYnAID6ES9fqw1+qi8DmgDjE5r6n3+4
9c8EkPVNJq/Mhj5jW4ET/cvvrgqPJNikb4+/26cnlQKDDsqOUJlioG12LZ9fflp520C8qFHNvhlX
+U8aVKsx2Xr+fEH/O978m/EmoWbgAv79dPP/VH/FFP7+FX+MNrHb/IbhhY1AGDgmByRX2e+jTbZ6
v6FrZWzJKYaCbOUX/jHZDKzfyLPgn3NveY73GV30x2TT469w+fC3tLQuQ7L/ik20Rlr96Q5bX47F
WIdrxeJqMwmo/+fjNAymua5H0/2ZmYsofhFHlTgmQ36abrmVsrDnV4JOcrkfZqfCWznMnvddJ5Vo
LrhVWoBdwiC+kujU0GDr0EQJMZ8Ib8pMv/RmbRTzhibWX/yYENJ0MhCfTp07bZxqnJGIw1ge7DsL
Az1mt9RkpfSSyZUcXgFfZiPlghmwefyNphcenAEJh0cGbuFF/Qb5oBEm+2YqVsUxdWjCOvVPH+T9
7wfNn0FKf0WpoMSMnFV9wP/IsEOv+c/vDvoyC5jq4v0Ug5qgpf4Pe2eyXLeOrel3qTlPsAWJQU12
r16yZbmZMGTZZk+CPcGnvx9kn0pLrpAj5zciIzOclrW5SRBY619/UyVhWmK953tecSUTIABruzhZ
Xf1oRZfpe9+EPHUU+GPH96mdOVk+vH1JrrGq+M+WCOczBEMjXwUsHHxbvrYhMohG1fRd8o3tNiiu
0Eskxfnqj2i2j6klspkoujAjCgAvfRWN5IIspF8wmFdN8dhA1WwpjkektOcgkr2d7tc4WaHOlQuP
Yj9AiV8f0k7E1rIXWOmL63UtYMvvK+n31PtM/kYo2W9/qZfniR/a3GQ2PAIaA6RrvAsvb3OcFshy
US9/t2eUEe8D2vTmXUUC9Xr79gfxRv1+8/ggzwt85G50A9y86JUPCGSVVuIwGX/zeNqOt1fYffv2
xrUxIl28MPdv5r4J0FVSY5TWsFVOEk7viiyo8x9vX8nLMsZ8Zeoml6EW1RMEezNA+b2McbxE23LJ
xbcJEYW4DuCnD8zKKwtdxDkAHOzDv9zk15+I8QnHGLo7IFjME54X1m+FU03JM2fukH4uCGCuzrMK
husHzO/c7tLth79Ygr1+ol4I4kWd5rNGkQ++rtKYYBJzovr+ywQgtj4EedgxdsTfQjOMe/tOuq+j
yngVkOdiCxYyCvK8194+CTTiEm6r+6HGzzraxSNgBGyv3Mt0cJHl86i8DUup4n9CSw+UyKir5QOo
cYC7umGSglVWrmfeDDVTjjc7Z/X96d7OEiv4lIZpop8wT0lZEP5i2TyZiJFKBugUiVEa0kXMT09Y
LvHlrIKRFYEYOJe0G8iViFQ2kQOC3J4x9890ecCVIfGv3r4Jr+43d5gKwbNdTKCBO+XrexBgSyMr
gQHzWOUpW0DcJNYEe3xuyvXh7Y8yA7ffXyLzTDEYEWxlAr+TPwyAoJX0rXL8+D7ym+fPGsGgr1El
FnxV+qWQwfXPVV1y/HEXIOsvrcKR+vlP3QTpEkuk2ebmBn4YkbyQO6Vq9M6tiNaZz6wiH631so9V
itgzU1UxHwkn6Xlh6XZibDoJjhimA2kCBZP62tV0cDhy5q6JIo/slb+bGhLCAWyDnE8B9GO/g2ls
Pnhy8JuBBxCk5knmTpfwj8OpNc996DKXva6fc5frHp/Xbk4aLTtCTC4yv1A7kDuav5W5Lx8fWl3G
i65tJpgBToEMGF/uBi3fAJt6FT+Vkxd+yjtG+gc3c4OTKCLlGxfV4UBJJy80NPt4p/y4PlVMNB6m
JGOAUUdjfYSk5mHDqqN+I9Kh/RB7i9djPtFP6TaNJveE0uiuqkP7yThJIFzpSGrYhrBCb+iUm4sU
5+srG9MHo9hMp2JngTd+XMNITcDJlKMkXdCckYEUIORbraHFlXhJ520vu1tfwBU9+CRDXIW6m2Aa
6nbvSK4w7UsfP3Y3I6lZDUG0a4q5yreDU36xwiYAP3y26V9b29l5qgvv3SaaH1WKpmYTdyI9852k
74+w+hhKht74kHleSoVhW34NmSPAYn3EYwh/5O698Pv+e+nG4ylfxvxQO75WzLp6wQBiljg/oIuZ
zmnu93TZuJBEaZ5/HDG9g/QfjwV0oq65X2HFISqkY4RzjMeMLew7f9D2V1cP/RcsRkjVHQPmGouo
Loqwz/Zwc7K/WVa9eMdYENR8bGYBs0DjTfn6oGqcBGI8lORvPK/llpynutiLsmEiKzpb/KWmePlC
//wwQvgodRB/Sz7y5eqjk6pDwKX6G0OVitN3se+dWrk9+FhxNfmeYVMlTXU35jCP/1Ji/bHyn78m
p6DjM4v+o/4cg142hd9V31r0XUS/lUyLDpUHXecvx8QrD7Dnb+m7Ls4zUqJMl69NBRfEYu4Upuk3
Z0YkTXYKx8WmwY4TVDMtw3e1W8XGvsxSRCQHEsfpCXHJkRRhsVtIjmEYng3ihiGFPK8tNG+ct+hb
J2w0iHPuXbiWdUVwy+D4dzj+1T8qsu4va2WFd5Or3Y8Sb2SA9MaxAVgL4GIsvLBJDitxK6CsI5fF
9+pkd1J/g/w6bAF/uoOTBPajjSXGduX5nb+9k78qb7klpgxgMsh9YUTpvi4JHAuU1I/0+s0fzc2H
qpMevSYvT8u6PNaQiz57eC7vRjfRhDpglHjyQYbr3duXEbwsabkMEnVt5KWU2ZRkGHu/XH9OEVdL
kKTht2RcS0zNajgFS4Tyb9dn5TowbADBDasBsRvzm4rBf1OdmmyRV5MS07Apw8S6WZ3EP0HrrxGu
xPJLBT0u2HaFdZWRMH+pPX2svcq7d1ZV3jQWDw2GF2zB7TosxdWMAibehkoaeM2bwGaRIWuRZ9de
SGADM4HglCWNuoEEXQ7klvQjBL50/GAHbnFn1REHhFic+eC5wwxdEn+X+7mUKc5tLelLEwxwCYya
JKUZoeYpk5Slfu8zK73MUu1/dGBRgl4XBVzit2+uuXf/aRd+3lsfBkzIIUUH+tp6crRjyXMPYwJ1
/ODaIsTvgbh7TQYChKlrZ67Zl9/+xFfAxfNHUhswSHKw2adHNdvNb4WmY7tlV3F0fsezyj9fMQ3B
gnvU1oVUK6R2lJTs9KQBflOeXT7AGB8us0zad9YkvcPb1/Js7Pfy6xuyHOoEDBPocV+X2d1cBX2U
1PX3ZPExFxIgKl8aCB/TDkEhaXnomTnnqwYSB2Ehqd7lqIlO+I1nOySMeI1BnQFW7BoR4pVeTuWW
OLtlX1t9eoXCoz+1HqwXMaZ4LpE27m+g17pIhiFHPOegV+OmA4nbRqShqKPFbTnkxWBdSeGYoPQ5
ZL5s3Po09l81zL1MHRIGRdAZnAype9Myyrc8HGY3ZVviyT2hidpPfl4+BFOi99Qi/fvBRfmbVqUH
4y2s8G0RjOTWrcjs/taTWW2x5poGtdQyxLBEyzLZksuhmBDIHm+eDFbJlvvXOGeoDubuaBPy8RFV
VPZpZPD0w8+wEUWAn6PGe/vpvNz76YGgaGGTGTCat9mXX+/IlpNQAZSh91SObUf512plitYpWmM9
/+WzXr4Hpt9iIfqO9GjBwatD9+WihMddFoDy7reFciLzv7tExadIOZ4rw6RpTdNXajGCDf+3X5Ku
lngKwRoMgIFevQ0ktvUdeTH902JLBNnIcMpoehcjiaNafvujnNctHjg0jqO49AKPAye9LiN5yk6B
PUD1jZorqEIqvrj+ULoDqMl2IHwwUTeLXGO7umyyrhb2PpjSYn3I+1BR2pKcgKRwYzNPk3d5LjCY
Qexcu+VlQeJmpE/j7PvV35xZ/3gwHP0BXQtuHY79pzs2NSIOEa5dPxH62nEVZIQX+Y/J0dTt7POC
ZiLGk2P4Wz3w7IL9n63BrD58AQW4KvuUD4HNXNhv21RsOfaiusD6ugaWg+Me/MMM9yXq3bSzt44H
2bxE6uAX4SP5xFB5oPN2He1eRaTudJ9V60y7R77ROnxN0M7Jg0eOhr4ICKKipXn70fJevNjI/ZAL
DIPn14RzMoLz+PJyg2RWXTV2zdc0ojGgcUHXs95S2prGetUYQE60APCvry0vznib+tr3gadqgfAR
uVzh08WyAKv8B9C9aX1+tU+T4zf5j5+QkB8r8I5gGRPxqU8krnrbqYK6M2wmpHQ8nZq5PM1T7SGC
iTcE2hnQiM0QwcnO1UsZ3cWpGpbPq+a9h6u2rKjFd26em26YMF/R5gfXb6F8b9p0ZpaHyi6vvot5
dFAGeUiw1ltefxl8qjOMNh46qNy0Z47KJSM3px6dT1CmVQ6Xn3n4+rAOXkjr3bVietfn/D/zJq3h
vRCxQEQZz8xNl5mPxisLr7ht7inL9HLogPkyDcY36MIIuhV1sPnV9AkHESFdpwj7ShyDaUmHuwGd
CPCabpHfDNueESx7b55IPtpC/MKPr1Dj+TQr0bTCHiFL7ec2yoLpBDLQZlelT27XcXb6pb7Ap0OP
5+MyLqylJQLh17uM4G99AafF9NN2PBgUr40wXewQSbQDxWWDrhnpza8vEOTQwel8sWSn5bVRpXBD
A5tO+KJfErOJlRwEVrVvMdTkf7KQvGlCSRTamn9/R6taTGa9LGZet2XJNUhJvHQNTOMLdMJHLwrv
2XPtNXyn5Odd9TGj5M4FkRr5gXkekPswDRkBVZxUmk/0rBAcWSsS+sjL0yHeezs2erNcGjmAo3lF
U7No8ljk1bsamnsYHlBnmuWigtzlnZpqKVk1iYtljN56C0qXHxxNThwehmTA3v7c8pdMP7XVgl/Q
tlnwM2XuycboxO+jEv94YIBwBNc5YwQ/0fMnK8FqBmZYPP5Ow4w1XyKX5PtetV481cm+sTrz3EN3
YhfYdyuqfxTwWFhzJZ3X+vwpiXB1m85lD3ck3zW68XkVaIoi/mQlA9l8hq4xcEn4iZgPmsfcXAu8
AzCELTRnXkGN/zYrxVuF8E8T+IqhEmIzaJDkmIiU7LrH4huMY/T5w1Z6OuSycl+ae9xOFXdwXOaR
27lCluQ3lYDS/ikf0DoR6mILs0QN2D/dq6jmv1sHGSyqwJw++BowmwSzvT9nvOe606vZPFLogY95
63Xmlfal+aWd7Ts8iaAHycbXUjnedB/insVdgDGsen2aFrvPq6sJp1h+YdtBT0YSm/QGEFvQinXD
ThVydYITABvEx11u38s0yOS0AzYMzc6Ulmm+HoRtHUgIS5R3GAqd+DaWVTBHd8lkq/U20Hph+QMS
0T7uJTYFuqZQmBtU9AFT/A6OzUDSHqUdgN9N45D2COk2H80TxmpU49qEy0U/WWdZj3s+RqtdCy8X
TKXvrfmiiPuQa8QenWcDoQvHrce6dzC13tZxrpPmPT7VsV9fN1gHwMoWdubTq7ERs93ssfrLNdlt
amwkYh8mCcu0iV3MiU4xWTgBwThRAUolnvA6MQGSbLaa7yzJCVqpvLt0SVNUz006OuH1sMjeLB68
VsxKRNxEuVjo2KxLe1x61lDsZW2RXCCrWfm71p3GjrTzwGOr7FuCmtHwFDyPerPYljO219jNumy5
JKtgVLMHEDHwVqOrmd8lW9vsgpirSlauneGVMR3sQSG0ROIPxoexTRebfamwp2q5I6HRYNQpZCK2
J+UvgvuHgp3dYeIu8i447tCzoKa288DIePotCGykE1Z6VPYrF54uEMrF1ncwRVUHtkuOo0krAxlW
WEDy5kV+aQ7ZYRhbluOCsWdDTGXUafYHHaWWf7PYuiPdjy0KoFW1Q81XIt686TaYdZkSy0iE9FMV
tcxHfk1G2PXNzZkpqBt5RLgekeKbpPkMHWPM1xUle4Sx2a6N5zre+zY+FO9pD/ny6KRLdvtJgxoq
CKXIoaYDcd4hL3Y+rgD8CK9Hcwd/Lesqm83fEUTtsXBX9CdcOW2E2e57CwIvmYOsSm/vhZ1hcFCJ
Jjbvp5VkBmDG8jdEN5gSW33tZmy7u14WWD2jEHW0+ELgL+REu1rKexo7ic6v6zCSPhc1QuaDaKZR
PamKM+aiSyq0m0jlQ2/b1Cprv2TsueuhCOum/EYLsXZ00igwH+fVKeebVSLq2cBYHQjO9YJZ4VpA
xihB3q3vwbI/wNSPpuuuRb5pCIt25VySl4sfRBwNGAu0PKOOTX6J2jXnFJ46H4MzPAdMSb92MxCC
H+rSlRvVAcN/Zu49+u9FSVJVAtjhF8YwrXR13GwUwdyIJBodJwMOZJxk5TZcy3lddxJEwO4OsbsC
2i+8HEQjDTTwtu2owyTDBGIuBdp6n6Duajj4mNCf91qP0caD1e9sNUAE3jYiGXq5wzbcmPzBjeq2
SVAmJ0QMw65t7Hm9iGVt20dndlL3AMXSwR15wAUbcS0IqHWriqbyP4x9i5/C0VahVu1eNvay3C/D
gj2ThV+09c63/H59GMhqhHPUCdF9WEPiQmDWDiLs1BFFarIuyM5DJXZyAf44xtlA+OSK4A5DMQnr
2AUu6J4d4Jwqj+pvqYtX0wJ/ctDtd5kH3oikIlRNuHG9Phjs4xDXLUDrWNhBKY5xZRXiGh8BqyiO
kwDXK8mfg700YKbTRMXoMu8IMAYSe+ENnmUy6Pky+e2v6tvWZSycd+QRNxDNZ1yIOJZU5VUq+IBe
Til/p+K5i8m5tm0gjJOewoBqLLZnXphu0abWJEoRgtyx85bJHCuSjYSXu41M+dhxgPM6pL4wO1wV
2KbCzCyNTuaQ63IGNOGLqTm6WNvEoiQN0hZzpqsgrXJOGXCexF2PmLDzO7GKbkz1R9ij6RxCGmGu
VvtTVcrj2FaZ+ASDm7ihowMwV8hjYg1MP9XYBmyTQd9T2UeFxV06+m5AFQxcYapohPKKvSyPMnNo
xNYcI4X0yFIjhcupxeqdpO+WlES1y4jKOqvGCjrGhroEqj3kxKozG2IFNh0e5sjzKU3wyGKicFB1
aE5OjNrNcKIDBuOzxxA6y/p+8gOSBbZNLBd+mZ036CU2PZRirr+XudknC2ANfsTNHckV1bHqne4R
MNfUqxIdxYpkaOzE1xmEqTmQ8xfWl4gpJo5FbC5NLVWr0JQs8AzNPRqaWgzOj9HqdSF36B3ANzec
h0wyMRZAl4R4EDSM288erk2J9DyAFn1lTqlfJxhJNNzHokHZPWyFnM3VO15scSNx5c1lc9QZ7jo/
yhHOHDA85wpXMPYWLlSnf+/E2vIKbRjerVSkYZ3yG5tqQLWxK5xaR+isUAtzyzKbOuBdUC0Mhkpy
44rzn4+RA9NxHmj/xuE+auOFb+xhs8wzGvspROhaJ8WE89ZKqk4sP08FXvPFKVUiqWaGDoGY7teQ
oRtazlWZcXjXoYxJz5Rdm6LCHkghnkkW1qaRj0TLYmGIKJxlm812h1k7An+qlMSNTTU/NaoDRETI
30/RLYp1t8kuRRzaXA+uL+Y98LzOTMumgiLzvux984oQWWZG8ASb8gPx5JtCzSlpjbPWMQvMi8es
dY+tG+LXjcLn+XRNpynh0BybmUJ163mKKlB4cKlO0yDMeoyRzFBZ29yB/Afs+5o/8P+bn6Yq6dbb
uYxCjksHwynOsDTFBAOKhxgTU8x7ylztz9ejGBCf3pfj3PBQu56Nr7pk7jQlX6ZoTsjPJSUFc2X0
36wFA55RE+QHv/PN2i1rV9ZXFUT8adglJWmSUD1hHXsUtXOjebajNVV8Vr12fAXbKIEAKxxTWksE
ENO7JJRZ9zh1EPhxnyxGhf8RvaXvXfqzMxQ1hl4u64zIWdME5gom8r3tYEXKa+QDR4K8jzznQQer
vvAg5OoLkkT0goe167XF45Q6Czcl/ln59Ik9melgE3V8W/BnuMj7Xx1xtNaSwmBJEpvuC3svM6BM
6Fm6Pb6t1vKE9yLmoWRO2vbWSwluiYCFu6S3TiQBeeM9ziweCiRrdrj/VipN0w1+b6qwbnFMk8+M
xhTyCV7r033cxwlPbaigmGB8HlkruQgdppzUKDJo1gfuutlxV6el5z1rQ1VDS6R/YDmJgI+HbBCv
ZqtU7MnipMJgGdJ9jeUhFY0TgYU+6SKijvr56tVTaUqr0qqMXZxuyadqd8M0IdKCdD8b/AgzfjPd
h7cZzfWNDXOxbrkhAMDY8Epr4EbOTmhecbrlRF0RPehTvOo5T47k7i3jHVHNa38WjYtTYtXl0lNw
sGEjmNAEDpiOHARulPwa6Q8de1Xe1qYSdWuXXZwEieeukax1zPjPWtIY2KQo+Eex7UGu3HKPNtx0
gT8bizJezUU3K949GLC1QjMBGaKVjtefopyFTpNks/rntK55pJkzmksfa2SM1X5Jx3gY9taCjcdV
qABH+EFsItZb5CJmwxp4jBZzs6LPshpVWtavcJVS3EMfvQb7M7knn9DsHBLfXu5h5RRmVb6NGv1/
MCMYjPhqQjFjovgaYI0WRqmxLOevSzyYPtNYxKXBzvIRiMhNzzyKR/r2R77GdIGpItpTuKG+40YU
Ti9hKq3qOrIHMXwNxGz4ZD+XRhnhH/W3b/fnR4UOkw0UwVDYIMu9QlbdNFHrBDrxFcd7sz81wmd0
c7GwWbN3vf21ntHA39FCB+g4dLyAQYon/uTJ9bbDPKAsvK+LV400MmNaoWjeBoOf8hqmjBE5C1fR
sGmMtR/0gChT2UaYqQ0YelyDQhiulaTlNXvPz535FxurhoFgSqQw6DkTcL2a+dPbl//HrWKoayZs
jJRpx13b/P1vWOdCeOjAsCF4HDIcP3HQsjvTFnK40kK9/VF/rDkPYFhCToOb5vrRa7ybMipzMUFS
j4gtvFGfYh3l84OzInh1adKT+a9L7jWpy+HB4CHnBnwmQ8zXQWMdIo8oAb9/RKBr9qhh4WW7HTN2
9neJix5J72JJvU8xofkzBIHQ7m7Y7argLzyO17cZHic6E0Ba2+d1c16vyBmp2jTLxPsCJkHriI0Y
KFXEcJ0d8L+7yy40Eb4tZBo+DXDsFXiNzWsbeU7ufEHjFiLkUKVpzbOcTu1E7qypGt/+wFckq9AN
IOYxpIfvA+cQ+OjlCkJ6s7KZ6O5LV8NcS/cdBGy2OTZFzXONO+gzDgNkUuzlNizwaNH7ty/AmNf/
NslkbAPtyDVyA+gQBHd7r3cWHBtLR4X1lzaFpVLvYdetxR7UI5X58WfZMnWpKY2hrpv9+xcobhEQ
SXtRwVDhXJh/3pwqDwzEA/SveYsb0kDpFlbM3DkS+mJuon4XeYMVkczrFAO7dTgH5rCc9Nggo0pj
mxcfDgEcqXw3hCPgkTN3Cx7OKJrrfB9RzLsDfP8Jf2EoL5aprfoJz1eNxNsN6WJ64p94ZkJl1DZh
j1iDs1h1issKfwL0PaU9uyYheaZoyqPhueJzHVMsx3mF7fTGJuSE+x8leQcy6U4L8Sh4QhfAsm/f
/tevNfue69siIA4FwsAfS3uks0hxI9Gfm7T1qFkTNZgWSK6DqQB+QdZvf6TZv3/fcs1WK59nNBHs
ZBQHL5ccgzKNFCKaP8tEGIxxzKQoriADuoV1bfdYt5KBUmKDrMiGJgcAELaszNW8fRl/siRwn5CM
qBgUoR764xT1XHCHYpmL72TK20TYzDL/Cqaq6dEZLPMNwm9rb+xva+urJjQYe3oxqepvl/GSqf08
VkcCAbnPg7mK1ubVccdcoq96cri+x5XQI16SjI3FOqblZVaKAeuUSd7jMTceSEiI90rGy+c06ibF
NJv0oL/ck5dTu58XYxQ4zDZdJpuvGbtrNc5TsxT59yS0xftWOP07t8SaLKSMuoC9M15jjz6cK7+u
zsrFc5CahXRzYTkst1mYRhCS63nC9270fsCcb4NN1GbF+79c5csVZK5SMF0OGPDBmebwe3XLpgrL
Jdn643dqzDb5wOsa9BgkE9M29pgPumIq6OD6VRB80AXNjxQDCXIY8Pqdj+jS+4dAlsmlHc7FBzwM
R/oRuCqHLu9KbneSh4ReA678fND/q7O41+r7//0/j9+qrN4RS9NlT8PvWSaYerLpvKGz6DJeqMc/
/8m/Qgtb/oOEIfCMVQtStMD7V2hhOY7/D2cXU3hshyNpC86Ofz1kwn9s869Ad9na+Buu4V8PGZQW
LpbM/DozoiYI878IP2Hnf7GdBTY1Eddlsldsrocq8uV2VrUhzp+FmC+xkAD9hkQ8g7gAsgaisS9w
8YzcChyUZMbxSExJWdkfB/hyDpxXVfX3LpaKawfIDAsYFWjeqTnfhhMB7NF7vMAZ/GLdjvMo/ipq
xgX54HszMrK6lpoEj3mmGYFV6lbTWTeyTU79Zh3GelBXdanzeodFLsRRGan6Mojz5Rzay2SfYTin
rzRhbfcMcNU5dd0nq2+m49xMYbK1F7mTQa4uc4M2VXAunU0QFO59KrK13mbpSKAlIxu0SWxEcj8z
BJ53ZbcawXsplndrQSSkrVyYJbA0p6vMTumX3dRwqKAJ4/MhPTzzjvUylUeQwzLCdaHJzkSVtOG1
pOFmpqnt7NhaFil0QunhOHQFKQeWQRvSyi9OCu7qIV+7kAYa8Hzc1L7J/MOFZLpxsc/5zJgFdFMA
WB/hVw67tO+h2yRKu8uWodBKPUA2Zh6006eh8/VDvDYAGl3SYiJFg7VAtu4Cvqgf26P7CWilvZwD
pzz2ruj2vlNMe6LOWlTbToe2v3EIFvHDeW+DLCk8vTG9FkxPHmSul0vYYwREUca1wyHtOxtJPEt9
h72Gtu8wU967g1VXR2/Ar0E0wUJBghXqJuvz3NoGUzWFIFF+1+xQK8LXFVN1apsYD8VkGqODO8/z
fh5IGCADc2Lw7Q42NzpRmKGZ9uZHGGf244qrzqEIeBsPRZx1e7v29WNFtrF7kF0VHMdmUe+duksv
QKDLTwzRxSa2YVXjG50Mp3JKE3vnduFNVekO7iCHUcfMsN0q6jcWjbM4E8EhJY7T+NfvwZbkDYJr
dSSQAyC79RNydDCU25AoUjAf8EgGC9Kx/GbnVnOGp7yLkjUkFA8npS+8DR38Z9DPr7BEsOrT/TAV
x2Ro3XvyWsezuavCA7pdooBkHffvI396spnF7SZNYRYzs8ASuNTZGVNNj5APFORym4jIuawExGVE
4dHnSHjukdm8iBmIrlghBZNLDis50d6uj9v7gJHVdQvv/GuJ/c5ubBP9QLBFdYrX2Fj6WDYZD5hq
M1ZTVn+jm6W+boM8nwkMzHNju5YhYO8LA7jFzQeRYNM9W7I+q3Hi+zi0ZYXJ4xCX7wofE3rmaAqF
cwVUG7EOwxgbh8Av7Dtg8XGrGT7IQ1P7LrhqAIROcE1EkkYwqJuuiuUB58Pye+0U+qyVfYMPf4tl
x6LlBm+Hp5zp5s7T87wNooyhciklxbH7CEbyEdPZAI/TBEKonNywK3YtLL4EMyzVpmoUtzNxjHhg
bIpAjLr731Pxez1kg/7rqRhQCL51KhbMo1+mgiE05t/8OhYj+Y/wYZ8JKX06OI64/3csSv8fKJFS
CJd2FT2ZpOX691gURIkJUCNkqHCDcT37z7Ho/cMBxk9HICI/o8T+i3MR0dPLc5Fegv8geggdMpW5
UtP3/YZNMLx0WdajfxaUUbRFmcaMsR6m4xqny3mZtMFpxbJTb5t51t+CpscrpvBbjhSE1u+aZsTN
tFfWI9mR9lWBygy0PPbuBS9Wwokg6l3S++F1SvTHO419/T1DmxJPY5KoKvqKL42KI9SG+KHBMCAf
o2+/0qblJ8SF+BsgH1o6kDK1PtmKAOIsTgimiElCeE+nWZzLuiRsIfTK4+hh57UM9VUTuNA2yrja
WXmVYkPQz2d1VmHOhdLc27lWEp5X7agIJimXG5zT8ZYoI3mp+2TKgXwX9w4YX15Dt7CvHJ3ZV5CX
LayLG6890J+UR6YrySdHZvLasYpbZxHjFWnr96utmeQJJqJ160trY4Md/4DqizdspQkFc+DybTtk
X7eSIShW6iEzaD9Y8KhgpzwGpa2+zZzRB6/zoB9leFARGVN8aP1c4E9a+lh+Vkt+kv0w7GZ/rnZ2
qB2UHO74sYmy+GYY0/luaLL1iamO/lR3o3eHOZA+eTrvroWXL3cQ8rItMqbs0MYEWdqLaL9W3rjs
oOCEBzWV0zF0Cr5GQoiKX9TlidxHItUKf/xmSW+D9S6MIKku3BrrNzOVGTOm1oXd1Lue6BYy3qsz
K7LOyiIsdknbrB992GHHtp2CH4nELanH6OJiEP58FLaMz8i1rW5Bp1ZONysvzoEzYuI+EIFcKKga
DwkBPZ/DVlR7aiF1jgXb/F5Nc3svYz+7WhGHXM09dnObsfOyj/Hg95f5aJfv/cZXxwpmNjEGzJNP
wVLijVSUnneHNUJ2lSQ+wahhiBeFpbCHhX/vcJANLRrznmQkAfh8SyJNeI4WQMTbfPXLp3FZ1HUs
RHnSy+hdCGCfY6VE9nmMwuxTq1KHoZYK7ipYBqcl1cs18wbvwp0DNOxjk9wMftPf56sn8Znvy7PK
Gs8UdsKE/NRBdO22yv1cA/9ctYlfnGWIsk4Y4uKQTYpNCSc+DW5KNV+46YyTDd5rJwvLV7jPwyPA
Gwk8eimcvavi8LH1MJZul+oMQhyJuFA1zhpoNAfYlVjNh7X74PnFk549XBKtxHc/h1F930weNJZe
aSyxa/uuSQUeV7hlWeeBBXpKMRjZ1+mEcmY7W6J97OMuvw2TooVZ4HnyKYuj9FhP/KNkzcoP+OFX
yI0hudmAMhd5wkOcPY/ycSyxOPbL6n3o9cNX2u2pIx/buWf4ecYJJs6buT0CZDMOEyFRYVmZF3eg
IuW7IC5PAm/jcxGv9ZlfVFjqqLHYjGyWn4dGEm8XVPFBZ167o+FdNjHW+O9Uj8B6XXBi8grI/2uq
CVlWQfEJZsPyIUQjcqeIPN7yQKFvd2mBHb5w1K3VLYe5FHg3d4wktlIegiGvjnE/21eg8KR3lXdT
HE+fLIPFFMJz7nI78U41/C/ilGd63NqeuidvwGE8hlk120tIhsS87MkpGy2KLy/6NITwjDbKXkuM
+kKTwYRdzQ3peMXRWoaVmkoH4babMBzaRigKse3TuOKukMfXZhwjXIinDwSL4jRcFuhmSmpjtjm0
GxupOvuC6ldd4W9p7x3H+pS7BapLrGG9PdEtIQwfyFsSNvK2tLKPRTTbZyXgzp66st24edF8LUUK
G6NJ5V1QReKs74MFd2ZGPndYCBe7MCS8gf7nUeThcsxp9W7t3iS4wVGwr6eosbdRXK2QCKJS7Bku
ygfJqXG9+mn6sYuIJiAp7AtAljhxIq5bPJbJJUh88l1h21/2OUFLpIDIy2r0u9shj9urHGrDgxVn
5TW9gdoTD5wcHNlgEu9izRX0rfcRkZt7InvF2xPk0hzSJXe/r2GCL08g1aPvteZwGVf/Uwrt+gPE
FOzORFZAIs5lchzh5EF/SYhTcuL01nHgis30z5spaZf39sitr9Ng3Wk9qH2/uNFF5NOJoVNq0ht0
zDMLjYIcfy4k28rG908n3njEPGcwtCz1oRzjYwardg+DhrinyfP3aoJwR/qSvebMXWt/EyTLQeBQ
d+3gS3cumax/Ibaz2M1wqiGycdxmvOIXPXDJiUkNpKCi7eTnQohsV9Wz/amMu/jEzgTNfnB32hXB
7Trm1pOCnH2uhsg6QF3sb9DPl2eBb8UH4Sf9XYkd9AfGBPHBsVv7fTplNh8XxmQNaIuwPhqG6063
X2uMyZ7sdWT7Z5C1Qvpb/OS4eLODw1DkbdzeugjwdEMgVP8Pe+fRHbmRZtFfBB2YgIktgLRMerJo
NjgkqwgPBLz59XOzTLekOSON9tpUt6QimcwEAp957742nVnI1BPSoLOIWE850VL99tw98OzPsvhh
sClE/GxoCjKzLNnfNnFT7GuYnqk/K5egqbVrGe25kdd8ylblh7EgQk7Mk3ZKTRB6ECdvyLzP9709
vNitDS+IVB2MisM0vOe984LM9k2Phk80RC9ePd9Baac3WCccilZTHtrKXTZIuR7MJlZHlbguid+5
+SVnoPhhSWd+Yl/74o2Vo3Gpp4jl86Ni1akPR9V0zdjv6Kib1bmk1KpieCikHtqbFD2q2JzNyqfZ
tN1wmObBu2n6ZkHg7USfQ7pYHj3bxAenLSiLttpIMGhU67thoerZlYmqL1OkwvWL4gCl9joLOOco
B9e0xOXR0/I2PEunQ4q8/MKIl+oIyNx9sRe7ecV4FGc3Ef66C+BWRvswJGsS7YoVGGcVzN20IimK
ezv76iVzpz3a6DTsjZFAoPVrLc1rFtfk+VXfk/1kXW1Hp3siFQzu0RwXoU7v7/exeJo1c9o7qXIJ
fOyHK/7mvJWFSzkJgjRtxWmQBP8gDCS6Ko95ymjuqO2pRR6rNSk2CXPfI08Q7T7R0vgEiZSYscpY
ruhlwRLyaR7Xnm4tSac3kcvl2Eqimzq4kDujmglKG87llrWagy9tq71I0wNzQjbwSzjWUY/4ESsF
hAxUO7CLUAcL0gnhn2WNFh9WQLvkXkXRsS3N9EhYx8kxigJVmqHgf8KoX2K3eR0sB5UQ6V+7tBlT
AlHgYWqxTnOdFjWROELh8EnQw/ZogAIk/N5+YLSCR9csd6TI6p9iQNAaKGww5BFK1kdfHa9yvKdO
HxjOfgzCbXL7MWrE2X3IciIFdPW9Nfl3tPk3TZyL2vuvmjiAYnX79rX+/Wzzx9f8Z7ZpMtukEOHy
cQymkvR3PyAyuFQYe9I1gbRAF849zJD7ZxMnDDo1k4Wdw/Cb5c3vZ5vOb9hgTcnKAsc5/iv5T4ab
34UE/13V2DoLOQ9otIS1zcaYVckfezidUwIPwqpdMKZocMIwLfKW4bkdpajaY6ZDJGmg9HsYrneU
RUQjnSxZlNMmBitiu71v14tQ8VHIyMuty0ozWX8SS94zS4IO5xVtSm46WXFztCMVxk5TgKHTyPG6
8m/xe0cN6w+BHZPSnHzTeCiHOTkZxKMta+5Pnqvh1NF4nKK4r8ojZrEzHRdqKYLwhgpKfwEYz1Ku
hvOvlvusYcxjoUVmaX7L0TQk8jpNe4ZnUmAVLD2E8ACWK4TWxYDQY/HdBdwkGtK68dS/d83/b/TB
xo0L6f+efRyKIq3qtPv9bcNNcP6iX8MPl2xzNLvf5/cuvAr+08/7RhpMOFAMcFP9uG24pX7dN+b3
4QeUdzxXfD/x30R0wtIlPg0PnNOPYYr5T+4bACx/HH4IpCuoJQA+4IDjPjxnr/9++JE6KUJso0uO
c2O4lN+KB5SdLc6Falyto6Fi+iuGTN6TlEGb02PWiQJ99OyZsUZfN/sWp3wUeHXhHNfVFQAixxpZ
Yq/r8+1giVLs6PMX7TZHLvoE9A6C+qhwLfAQKsAejGY3noBxe4S40ZCbeGH1FRZ7PTgniQWQfnlq
V8LSV6CZVVaDS8ew2SJ6zeYE6m8dHTs4HaMviAh6Z4btfngg+sLek/EmJnkTh9xZHRUsSDds2nqE
WCcJhSbs4JVcTuDl/HIc7rrC1GA0gsXxl2LUEXGz77xXWbbcgujur9rYxPedobfauHPNLiPz5tgm
w1onFNHJ1F1hq3HHt4c6sdbLPp4ceTRVm14YibebU5Owq6RO661d2U5gdgmJrz1JlEY42xGwz941
n4B3mn6KYfPeMGcHrY54jcdFXXM2ybBaLetmMLP2MHJUhYlh3iTO2oV25bgbbUkdqkStuLFcrbiy
qunO1pHb2QUgbwgzbvLhUCXvBD4HJrYVdVJZFmFKwXY3tpbL24504hKon7hCbmbx2oZ1OOnTpjHr
+irC+feZjY7cjrlYtp2dekHcuqxcHflhRxHjEga9gaMlDcJn/qA1eJJCI2KP7jVQhX0Exw3aOpXV
fdZ21p01y/nCUu50gymmIYYlec9MFDSke03hGs8XsKWW0B7IYHZMsuhahxaVhW95X7Q5S6W86K5M
QiyDnnckiGR+2yJAudJI0gtS7tjHHOOfLzpzvlpYW4dqts2NAWUk1JDPhUQPxw/YlzCGF14DDT8D
kMy3zTJ6daWMC2J19OOiD2A95uk6HkRxy6oLU9AyR/LOTW1165kCcnsbZZGv4nW9Eufs4kyNGm79
ud6t2lDd6SZXtOsM/cnMBajiwvRVa4mtwWV/Wc/W+jISxJCC3O6To8gSA7JKXjS+ZY0ibLC67Qby
I7daM1w4luyOeuJcInlsXOJyCBZuappyLyNh3KqQIqPMJv5k1tkoDNFZ+Lz2XzStYJGz3nkpOTGR
eyFGOftoVp4XvGE3idVea33xxVhaNmmFuCMIodhUnvroIL4eyqz+slgJzxizey1dts5nUclCEqB5
QQ44DqXzJ7V81eKIAESDXBQ4aU9iAL86LjLaq2nULieKig1k4xgDlnjhMOyuTcZ4W60jUarIY/uw
NJ34IjDzBHPmdvhwWh3POXFgmXZ0owQMS2q+0IA1m8Et213hNuYh66iI0xP5TiRow1xfqvSK9Qrk
fajEWivKkEkh45ZJpdt8yuZAgAK/8yKruFWeHR/GjLeZR7N1kLQ2t9hZ1l3VM/dQSGB2yC2cS9GO
R5IBpkPLApKu0+im20n0XwaswQTILDYhzEZScYPVnZj0+yrTztHUjUEC3M0STVbJus2+KlvvvW5q
e+M4q2SNSZSXAIVNOZBGNzQ/6bWddG+VUAygUVv7a2q8OWok7A4bcP/aMTDdneubsFWFeREXVbnV
TZtLWidYcSxBbBMXWdwsHLt+Mp8LAqxIdeBWy+s60Dwyn4mCceAaTJd5eUVczFyaTLjmvmnn+wqz
gx9TklxjKRIwImQxqJuYxc3BIp+y2ylm98ov7FH3uzWrDyofMcikVV+EtarkXZ+5nwq/SgCE19hO
iVewDfIMyi3N6aFbORVwg0Ck1ENxUA82aVUqdbStAedt6xHQhf21mbnFKzUVM0BliKSGwMNR9ccS
Z9XAs0VrPnINRRXWL2abaF+ZAFwzxakJn8bus88HIo9Os2id25kH9r3VRtwi+cSld2j70X7uiEw7
Jmu5ADddLfu95+onIo5FWRLAM3WFPznKvWsKzYNZjLD9WGPmPDZLpG17mVXEbzb9gaFafJ0UQ3Hv
aZBo2BBr7i7JMWMEcp2SF+WJbjOaotwbaZy8QS/VQeh7bUYY1NKLU2yBo/VdoVy64wnBzqg87g9r
HKHBzCszOI72T9Jc9cm3hEly69h1kBnMRj/rWtgDrGBxyAi3B4vh9LwOZPBazVvT6ukLz+S4YtA+
XHbWWl5Hoy0/dVTCRDqRWHKHjmt8AnG3XpW6ewBVUXxD5+4QZC1tBkGJ1Qzs6MZiE0uRHvCwHEpO
26CjfljChQA+ko8j3kUQaon3ZRgX+0RedPFVy7DrH8vBNKE+EQF7S/vmfOE5Quz8vMbbYVlMLcBi
q6LAyA0wFYxC5o8c4IbgMCLBQubVeDO7DRmR5ZJoN2nmAIcy0Xi9ZEuUX0HkwcU4MtkmyFOW6wHB
Vf5V9E1+p6bqHmz7ZJKQV0WH3IBKauQJN6uq++Z6bawmCrqJwHuGMWnEkAR936VCAvtiExD3jXFt
8+pBWttWWiZbX4tlLHEFEbnbGtl4U9mcN76Fs/RD6AuLU7SHkW9pXkfm8KJgDmuTepXxXJGWs0bM
sg2yE8IszZrFJw82e6LlFsL3aqu/y0SEk0WbrebqPDc/cM+l2W4wdbXgD2I8xCuXGzx5+ksk+0hs
qlTP55DcMVbehUjvIqn0XYMdN6iGocrwZ7MQ4XjOPN+m0WDiZsKZmfrmaCQ9SauKeesyDl2I3tRB
+aRW3N6t2DQ6qfdOZvYbO6kke5hO3RpD17O/sOUJxd8AXj6q+3B2M3XoXIGmHp1I+5K333f98dAZ
AeaW+jlfTFVteiEBgStalm8OBdQlvivYRabzjmBSPrpJVb7VcVczOANfEnLEE+O8ADnWgknmnIg2
Dq1DirLtUq7CfR3tttirRCGKN2N7RcxmLdY7XJDkoo8M64vsUbX6XmmRrcVYmkFkbdZ7EMX835xu
zMNfnpAEnUfNGBDCZ7yNrIsDVdnqNRZRf2vLXlZBNptEtGPiizaxPg1cS3p3Zmq7xlfZoE3eoHKL
taNXZ9Fzim/8cWFA24FYSOaLoRuWHZ5vLQnXFvwuKOX8kMX5DdNA1iCVewUMIayTcgxGT9tMHgAr
6BLyVvRSvxpcEYexpCVFTKLMa6egNvQAPe4a+lK0Bu0o3iULIWK+axV/Qf7gLn6GZZbZIYkhZLF1
qb5DGRYTX2uum8lc2SNlrK5WQcDcqqxiO+j6cAIhtnEGMi2IEhiIkRwc9xtMIQL+xq4ikIhe8xFq
TPTuiDqCWMcAzefTXLuAXPbhMjFnghMos6ClRzaz2ZRYPwElSGRflS7B67fnP5SWFBwt1nRZR03y
VERYQ0lyTEgUsDX6g2g4tWpGgWDkjneRtyX6Bp0aEefI0SN1tNtWbTNgYpW001gp8ufOwx7lJ9EE
oiZJ7R41oWI32kTrepFrhjpOsMBP/IbFyRRp+hGt8GEBLvX7UjW4XqRVHZoCJyZWiCcF2mYIUPC3
b7HVuDdogLRvhp62P7TX/86W/m62xA7+r5pkvL3Vt48+/Rj+oLaDIvvfNhnc8Fn8RrdrknDGdIkd
/c822bV+Q/vt6vBzaIdpoZG1/bdN1jF6mCiKfgkBfknnhP4bXbUD29Rmr4/qwPgnbbL4k/abH4LI
XZo6fgLDpVn+M6jMNhf6cZyn+7qKz0lkKTNbDFeB3ffPi5O/ewDXfFWv/aYaZpKheYb587zkR8/I
VaD33oM3evkRb3N+OXPZjpQKyMEcVp4tCUC6xmA/Q/izDAKpDbst1HOlHjKJJ9UZq/hWSY2lvjMg
bpfmrWJgFKJVw+BJ1NbGaNzZjw1+JgPZMcioEgKd3UUI9ud5LCTLhZSgU1VjgLCzd0dTelhAlvdz
g1k7Urr2oMb22QBmjiJ9tPwMXfqmjNwvQDLvMst4H4nm4GvVc1Gnn4xnLX+u3ZQAM/OW/rbDAsXv
46i53+ht8+wAo/F7+kxURPx6VYxCfKaYCymYIOJ7h7jCu0TemgpGIiXivgSUmeWf6KqJ6XR4K3G4
daHe8E0LpgUs4uNHfgXeBt07lGnXhVHL3xp1XgMwSfaIEfXHgKdxn4lWETXFcN7hOA1oWG85fwkG
5St5BHt+KgfyV83zknbhLVCFxYOwN9bbuC5uJc3/puj4kQWeGJqchpc/WeZmaHhBlnLyEOHtY97R
RZFBzeqxrj6Xqqn30CvMwI4WGgUeizFO8vgjKmiB+1Y+SJ09NT0aBnyQL+gCQTCI3vNwLPNoajPZ
PURelJ8ayaadNn7dqlVf95PHu2eRaBpOtnvwDO3h+0WSNgs7bNF0IbAcPST5+7YcPby7unyYUFkE
jBUI1dDt2zHlRcUZ+U9soZmK4psM67icj67sTcRg56uo5+8iQb1KOwNFVd2ZG3eEG+dEzszbxIWF
WhPmEKkYXM+feA7ZbKFa9YspfQd2xWe/8k9ZBDluNLQqnHoPiBF206Ak1wPVIQt301Xrpd50MsBS
9/z98y5pOoD6cFn1E78vKAR5Nhjy0Tc8BgbHK466EX9yk3NVMzOFlcnV6ZEtBcaFr0KjtjwWCf/o
eNm7ZfBCuPNY1CkIJgNvFyLHh2Xlk58a7hPXnaIjEVzrZcK6G9ZS90xslYKJwifsDVxMHnfj9zej
UtwUk8ZfVXn5XtaTuYl0tznSBNtEanHRknAWHReECndll6nARAnrT+0CVBxL8xYIBDnVmI9D4rN4
S/WR1xAnxFN12rxDvgO2oInSgLbV3OQuNyUyBCIcs4o9Ts1VVvEf56nKLz2TG5VcYT30RrZE7LuK
DRGJn3oxprdjQgN6vr0s8BF73RjMzSwQqA5IQv16QGlCFlMXCpycxzjRq93M45252fk2zCHCff9s
AcKdfZPViczF8xHCJVCpRjJY4735fpWvbr5u8Q7LHSvpfLPg0d6iHC1CQA2K4Dne9/MVzi1+m5JZ
sbMWjjE5cn+LVa777x9zP0xnlAeXEbqlfjNmRvQGC03b2wm/KjZFVpCDoe0jaXF62ek7S0E+AiP/
RFsBU9bi7tFBiwel1cvArIzoqLdDdXJTfb6ySYj3puwdfAUDe6K2T1Fu5huWb8jlV13bxzb3aY2q
9LS4idy6DhdZVVrVSeskPx1oCWdviciNw8Gg3kxnscMn17Gtm/lmxkQkdGcRPtUzFmxbm1xss2sP
k4PJz61GLyRXWN/rYLs3GqT6gCByDreJj+67wZ8wv9sEwxpO2GrZqZ7DBD80+d2IFoNo5CXAnuIu
AqCwZ67PH25h/TibTDkztTrftGPqjOhUtAe+d3Jjt1wSrS1uzSVbdqDS6QDQfvDYoRUCEqUQWaZ8
fjUhuQyyqtPsiJm6M/9k2cFbs3AHfH+vHUkUe84M5YbwDLkVFQpfMfddqOF/8mG4NfQNWnRjsioO
8RYWOy9qPhuXf10OGQglytU45TwRWpFujbb98IAqbyrIekHduF/KWtSbXEtutGm4cs/0WGvy4uOS
zuTQabRuZA2jLN5AAa9J25415wyCX19zuyCH16EiYAxKVrnmQ0jJ3k26/fCM4rIx3ZsPdpwXIf4c
lV0SbzQcsb3zEVp6RJMWxeSRbTIdcSlj1/4mIYwqQo9nFMi88Ikj3F7ynlnCIgk/RIqhjMChMjyq
aHjT+rr+2snxQ6TkAhJyNeefXmNphAjgc6Y85vif9n3V1ltZ5nBVgMY1VqCylns+E6MWxjyKQtPw
okuoCKu2LRjJdlckz3suolrRlXt4F732DG5oDJKB8KJTlEgLT3RbGE7QLHmTXtkjOLdNbFaRdlcN
lA8wXx5+V4rd/NiQ/T5ggJLrdxan73UNXE6P9FpsMkiEztrI32kfyVgyV1G3w95Nl2UHl/ITSpnH
EeQ9QBgCUcWqjOHN39pZ/2jf+flzBSogEyufa+l/gsnJRZjQJ9SwN6bvhx33oJXmX6sJNwtxAZ9/
/Vv+0Tv286dhxUFnapCo8GeY8TrFmmBCMOyLhQvkXAlIpjabGFFX+P0n/dsE/E0TgHvlL1XC4bfi
bXprv/1+U/bja34uyghg1tnbWuy8GD79KPN/dQA2zQHJuqy8jJ9L5F8iYfkbly7dAVRNWgTr3Db8
8s54RJsg6NUdWJTY1nTrnzQAeK3/dKOcbYCIjoVunNd1qCr/eKPkGTWRscpmvzhL8oxNo1JMWCzs
HPOKcG5227Lfqma5KWpznQJWUFTgLqGLkQ5xdUyZ16zWajxH6VDS5VY5sZNSn77NvaOdn+7M8SO6
7yLubyq86j4emVehtdyKCPm3VYwrY7H0eEN6I3tp3sR0H1GT3Wc9D7wZldxVkdlIRDxyz/cu1D1x
dmi2R8fQc0oCHu6aW8BHSVq2C9JpL2a4QUCUWPVos53tJl4coUbsWQ7umkYHaHT9XSVjcURm/Jq5
jfacFiXPn6ZiLNHM1Q5FS7xR5wZFeZ26XmcOiXLubplDfrW1nF8S9JMPvOiWez3fSpmzPbEtzc+o
/neAej5ZhaSTr8sebgzM/I2tsHyYTQ9XbOWnJ6N561iz7qduf8mqEVKYSZFheORTD5cGeCTm3dU9
+3bjNPMQQPxXjYjspvMfEEaX8iQ89YzzHAqW0c9H6qdXCuzDWVPmn4Ww+ZK/Nja1n1vX96AV1xcy
QPRQwXcP4d4PTFEo6uAnBFyCD7MVbSIXs0keOeeXwK7L5lvLZrZ24HL0ayvXGBcz2bqPO1l8qWnm
vgD8oyY6V/5NHFlbfKYzIlvQ9YlefnarutEdsQJp1I49UIS3WqBRUviKmHtEphVYqmB8ZKqbYoIR
562e79lMNhfIHc8i9x6cLq13xE+BE+oWdDtR7m5WvIh72TjeBr/SY7EqrUGeOj0y/ELgQHaLS4nS
lbemjIYPTceyGTB9tW57s7CuSNJmCzVBraQ5SZp1QyTuvaUZ84Zsifacb2axK+2xcXhRRehtApyE
O8fPIEgyadaYeJVzI3dtYyFRi5VhUCAsNTEHtuf3HjHmV6YxDxcx8kmIXq1mP7pwLi5E6eivgl88
7JaeQi/NTMZjvJf11vDaiCksU8ILgHR2f6jRWOLzyvrlU6vsVdt5LDyiz0W602VhtnjdY6gYVIDs
Un0e+AgxM+OHtfPfg/5vDnoY1uZfnvQX/9sN8uNLfh70eD5sT5IvoJPdRmKhwTznP0oiREY2BEDy
znBLfjdQ/hr1cN7+OtnPyiFImtQO0JsNJn3/6GQXfypFzsFqUAx4fjm2hcPizyc7efdekcWzQwKL
OmejOq4xhY7BfqA5E6EU96rLgHXAV4R2N7qqCR4H7G7rdNQh+Fdh3Bd1A3kUIYJjtfNGW0nXRHd6
zoEJBmukYXAbbsOrPCEOy90S+lcSfN9D10xmfzHdSdBgsC2LtyTGl85ppLX/yGOsDCJ1WZuYGkbf
xHG3hZCS9XsTh8pcl3vNWzn6QDlR6zeSxg69sjQzMraNttNPFRQbmxxMnfGyyyne7eGBDM1NhlDo
vm1ATnXFahHq3MFmDFoGKurC4R4/c+/ks0a6QM2PWJx1M4PFS3dshHXoOgt5zVadetcA3J2XhsY6
1GQ9vaZQwW9Wu3e39bBQoINC6P1sNGdCDqyEFqWvNbXL17I4AMdMXp3Obp7NzjJrMglS+VFL76OY
lytPb7GkIZhfDvwRXY6DY12juNL3yL+MTZ+dzQM0xfwdSzZkQlREgJB3DrZzikcWwMqVJQ0wOMZC
RDwsJwMMbqWtJU3O0H2ZgQYfzHaZduhVllvZmctRk1nT+ktKyDSjbi3dJ0WWfuV6sG+zfBzxzRFZ
dJ2UFVIO22n3XT0bpynqq4dkdWEceUN9U7O8CMY5Tgi+9HrzUtij+aSBKRK+05jWdS3iIZSqwPyI
b/wAcHe9KHqbRUE60KoYZjVsNJ55zMyieWvxQN7jeJnrcxTz+qotpdqSvaLtkAmvB5GYGIJK0z0k
DFjucd5EV4PW1KdaQ3q2EyjCCCRendEwtvMId9Chrv75v2y5xZhcarapFGqJH9q45qdSTsFzqI4l
Cv+iDt0fYjq0K3eeZqCM98epQDO7YfRo6B//ls7/L4MdBS/V5l+ozL6+JX9QZho/vuKXNNNAZQlW
hYOG8tk5n4f/OVAN9zfzTC4W56iks4Xu13GKZBPJF4NsGC72OYTvP8crmk1EntLhdGXdd66q/8nx
SuH5x8IZW51Oe+fAULAMYWCQ+VPhbEQN07iIhLFEaIcYO0pzgdJ8MTeaZyxEFvgzwShWdQRP7xT3
a6ps+Y5o7VvCyOZeuLmFN7jGT+cY81PuaukFMjbOlAI3Bcob9MNspldCXDApExR+pxVmTHUVwxt8
1Ksm0nwSiQuLpByJhHMcUdtfuWYiG2xRhbdNu6Q6gGmwAhftfVAuRhwSsCvCswNxm6QGs7xMDrc5
RRnLb32KToWl1KkbzH63OGNzNGGofgVg+irK3vsqZKe/AI9zQXKm6rUtcz0Ahe8cHKt7s9rM4Pf1
koWS02ShuS7JvNdVLUAEe9oVCpJoxk8ybhMegG0UtNTYYxu4ajDKETpk0Q++yaSQlN/EfBoxbIvB
UqGRzkyW00S/W7qqvuuHBj99rz8VdiofZ/ar1wRgWUg55NM8e85m1EHwWWN5KzKt2YuhNa/asmwP
g2ch7ssQtwK8nw62k6SXQFnf4ETayDYqrCVMwC+aEm5lUWvje5e70WGJbMK3KwNFQYFde8084xut
mtcATW7rvTTTb8Ngths5pfOzzTHC5D3NSLVWHtyzsvBeTXPIN7YLS3b26qcyLZ8aksouQQvA0k2m
8SXqmSpZFrlJIk/dwFZnUxSjvpH9QDnaBsMDiZlqncXZCp6ow/mKfGzGztmC5Ma7wuo9h606NKmP
sQGrAksPVP0c7Tt9tJDJQ0Sgl3NyI74T6AhulqVbr6Mp0YNkFc0psfAT+YwbbX6KVW8ocMQO5WS7
+Jiw03uGgcXJLtVyShbHujw/hrdQUKabqW3abdV180eP4QsKpY5KbMg19Un2BVqYGA3RrsQwc2rX
KN2Tu9ydegr9Gl/SFINaLbSA/GoiQYy+Qps4KPfCUDJBgtO7+tUECtJ3Wom7qIX8WQWNM5LK7nXD
Fwpmahb0AibJ6HmzBDPbktCME7LJEtMOco1wTL8uTXkxloilgGyTwhOMTd1uIWae0oYXhfFQHfG5
dI/o/eDujYywPuthrTeeV0imRrlzIsLgK3GBOvD2hJxuPNgOjaSGaxIBCLIEZZ2xxbp8AoYNh7J1
L1RUpTclYuxtEdv6+8hUjrQxw/nIWfEe17kkMcwZE2d37g/IL+mnZ1kL60bLIzekloOyyrgzRgY4
LRf1pIk+8LyoPnoOcHj0Y6y9l8Fcb1yb8ePasO13nLkKcaabhw771x3qQobGxTR8sRO7JuG9Stiw
RzmFkozTC01Zi2+X0isDT/IrObBwCWksJPAWd0Ki1Y4LMs8x2809VrQUpNjjODcsQKbG2CaUvmHC
JslvexFdQrptbxynQSPptQ8pbNc7aQ37trLW62lAOFXP7hHlK61wVpjzAZ0Kae6TU99kpaltDHRn
rASVt9zjgVSXkDPMBxOBwmuqG02oOTnJx1M7HbwlTaJDxSqHVrahL4Uxbs1KvyxdDYZCPd3GomlP
C6E4AYenftWhIglqu0KbUKaUOHojw9jC/rY2xlcDBtyVEk11wBlmHspuIK/B6MpgJpiLXL8o3rUm
YIcoVQ+aq5aIQtbq71eZLN9KJJRM9d1lv2SluMXdR7HWYqqhX4QlbKR2vnOHWYXEffS+bq79BaiO
+bEqdLFtVBUHDo3ipT6THFPXHEQyTqYwQr7/YtV6sl9QigXaXMhNKzDGhVlnOy88BNc99TG7fVwt
/jwlVrA4YvjMIq2+EmwP7zo8jYHCTcowQX+L1zLeNBhd6GnHceeNndYGCgXDi7nG/akti7sOdzcs
CPx3Vtti+T1PZ9bKJp0JDO2NbqTyuktaAnxIjF03InZaHLd1GpjW7IXgFMZwcBPxDUvSuJnc+YOy
dwxyzkys1/lE5e3Y2gmieOPXyp6eEEkwbDXUeud4kwx7q3Yw1ibcG5ajwtX2igOhPPNllQwaBxYm
pMlOxWteIMLwXAbGRlRVWFdr420qYxEyFXqMBo50c1rMPdNkmFC6Ftn3KRA+9IMru1RZ3K26caB6
0H3Z0iRtch2CJDoMW4ZuOt5OJDs/MSICDTOUCMKdKrnJio6YK62Jpy967DRHia7iGLM9RgqdR3LP
uakFXa+fOlez7tZ1uBmILvObQi/gFrY5rIlheMgWszxGdepzS+B1pIE5OWucHKSn3eULctyZNDzm
+VYUB6KKvX2K0Xwbe32x6ayhDHQvOmW5yne10w2HSM88v1r1NJxUiZQS7seWXKUUFAf7XnMumg1Z
F+UptluOb/DJb0mqk4g06s7FOnbuh4EV+r3tlHZld+1tZ5X2/eqJR30RDO5lBFRlsthe99q68wZ3
2DS2Oz52ZTIcbad8y9asPySZG2NLYyQzDguoTqTqyLK1uDumZAIS0xeLuw749s0KGT70eHKN6Olu
jRjbszZV00nyVIbqZkTjk5Gm2r5YR/tUqjQ7mqm9ra2sCdAmXOeO+DJreKB1ryw2aWVFvssK4UF6
sdoNvddcK683sLcRaaA30TcvjzkC4yTZefD9YbsTLNMRzHlKhJgu8AHHz6NEO+t2oOXUWjQhMv31
026KB3qein1y5t7DYrG3PTC6gNcHvzyzLkdO1Q2m79cIK5rPsie5zlSNnF9bLmdnPkHQFo9Fk1fH
JsPgyTxz3NEXym0659FrOyzzTsxp+zprDBVjCeWuHs3x4E7ZsEVd+DoZnCsSzjuZVKNPgEy5KYbk
TRvQhreMQ30X3eeRnth387i4mPsLFwYnpsi6HK9EUcdB4ul1kOhu8ZhpTnVPUZVfVI3Ho94mzcOH
eOpl13XdGzvI7eqqiMW2dKwzFl1vUWYSiVXNtrZLMoHqNjHjkwuRfoPAd9jHUZbih50y56axQfEk
oqDX8oY2XLLMDuATvNKaZWgfW1vtpslYr9UE7B2yjXGs17ba2t40vw1eBEq6a1aKlBx3HhZ9Zqy+
szQiBKM7f8DSU68Oc0idMvetjGUU8kII9yubbVZWkgYRuPlh6XQvKLOcfefaMl3GS1ciuQJhcKlm
M0cdyC5tAr+bBJqIv0Z9a4aiWjEJlA6NOllF812eZ9fUvUGf6rjtTVj9eqR4gk7/w955LUeOnFv3
VfQAPzqAhP8vqwrlSBbJou8bBF3D24TNpz8LPUbdfaSZo3tdSDGhEckyQCJzf3uvHRpHxToAioXd
ZoyvlXYJTf9GKstedVgmVn1H/pvsUhQY9Pqu2Hq0gcyzW9vFYr2S+jxdUGSir5tSpAedr/rrklne
iykMA7fsa0KYs8zQmilAimJNbpox7/H3uaH73MT64l3oXXuVKP3WhVPAIXmOUtrjOuOdcGyO+oxZ
FS9FvjaZ/m7DUuWlcedNIf75TTh4cfWO8D441qooc7+4dydYutYxhDKTXXST51f34zzwqVXdx6QR
p/JLdsqrtHUMRSQkN9xhXVJBimMvydzNHEd0f4ICopcomqfP2qnjj9HnFbJHsJ/5meqrFo3k8MVQ
H8I5xLtrDN600aWXHPvBa64agMcYx53qxeTOM7O53fIXtavM95sNOEexS1y7JuteT+VHG+rGFYWD
3gH3gOIORis7ub1zrzBF4IK0nQ8rryWVLK6qL0LbHwNb+e25Xcb7qcMcQCvq4lYfEbYdk1w32u7Y
760chzarASnRphIb6mSmlRhlQTo+yfZOm1uBm9viQi8lcwC9ZQtg66TS8ngiHzPjvXA1/p6e1dXD
hP7zhIUEG4gEPeRi/NDgZuj0Kep8cufR9BCFKFt4Ge3wOkopu6Dm0p/uKEaNNkMakSsidAJspI7E
mnSppPUGTBmhBkqOmefW3rXHU3iBBTU9/n9iNitZk6WbijS9j+iYeenYenJmIj4/lyq6K2wlt/iu
mqWEIt1pfsfpywa4cdJCAscrQrqwsfpaPxC5p24jLKhKpG4DV67y7UMm2/LcRfiCo8ZoHtGzjGeD
3o7nsooeQ+qNLi2cH8lKlZgMzEVMoX0el2Q/6BdIUPUdrYuy3IRhXbpXpAGt2zJuXl1FqdCqVghF
K43O+zWyCo/9REUWsxCaDq6zfM6fqEtPHwDXhjtPkHzHGGaIHUeh7iFr+/FjoOt5jTU/upBFVG94
ReU2bVNuQlD3irgMwtKKowd7HfQiPO2xPb4pdn3s+DUESSoP5pvG9ZjJlH6enNvIZyfG2AX8e4qT
RKL3BMJV/mHM8IPHSqWXNkn4Q0G13Sm3OTm4k8PFpGtvuVepB+broc14HUA2EiGLhm5nMzQFVFyu
/FFfq9RV19pcqQ0Bg3DXiSE/l8s+yVRcV62yqCbFA34MBZzomp0vcxe/2pdpaKxTjmWUcpTLRtaw
20vbZHOdlLq9rGBRgP14BK8lk7RonqsOl8+1QdrDxOjgcBhrcKihXFUyJo4dOxJ3PZKI+tDmUh9v
DKgreyeuCn7hoM1PXTnV070atZTnq9Zx4O1uel2SkQr63sWlgR0FzuoFH0nredsqahiBmNKogHD8
v8KC0mV12nQiw7QLNbe5z4FnPf4g//yLoT3gv5+m9gv0UgcjQdR2GXra9iJp/zC1r5tpTHPTGE9M
sKFp+1Q9GmLgG1nQMxSQR19FYWJQFkczs7ea1W7t2Ag8N7yqewU+HpciMSVfpZRwJru/fnG/zNp/
e20OiEHLcUE+iV9oSoUxNKUeivFEjubk1uwVw30y/E27+7/6IwwIKO1jaKy7v34AjH4mDr3DeEoE
40H+4xBzKt1q+/29/HfI8zdDHkocken+vSL5Bz3zH9W3fxAd74u35PXHyf5vP//HZJ95DdKdz0zn
N2svX+Yfk333i2Fg/OUqBiu7DPf/VChNDxmS4xqeFAOUu+vwr/4YAHlfCM6Ygn8JYk8wsvlPFMrF
I/CTBQYV1EY/NWzBwMkxl3f+4800GyWxlHnS97SiwSX8ltPlO83hIeVOKkdqzhP9KMEcMC19NlAI
UlP+Zhp5n/5/9Inun1PSVf5owlmMz//rJWDBMfAY09KygD5/egmV7Ti150X6vmpn/RRaz7OPwjhk
AVmvKBP0QXfNMjsg4GPl3MR1RIpdWCXO/xcLA6liFYd9eKUrbZVU3rbzecK4xomliRAkhwz2oRtt
4Imj1+8W8Boecqu+5AGUfU0xfC7/OJNToUf8QSqaJTjoSS2YbX9vEaRhnorMg4+xnFdK73BEaWQ4
zY1O2HI2y8fZo3eOa2I/wWUpeK5bwryI+pH9darIPBDn8XKMt+xumNpyoutMGcjsEnzFLePlPphQ
tgSP51vHfzFMLZCR+wrdBwtyaqx8x1yz1tDg4SMGxkFf5ZuB3V7bZ+dJAwzajG2QySIYuvorpgR9
l+T9TSTdC3zQbyrq112aoYuN+Y6KC/Y7XZevzLJ8LyZL32XUWK5mfXwvl1CG08vLUo5s4+jIrh3J
H1PbJDOvoyKN1v9dXP5P8w4B7/avVpfdZ9VGPy8oxm8/8/uK4ulfFiMOiXVdELcHS/HniuLZX6Cm
MUKGvEwPAEvHP1cU1p0/VhD9CxR3kqBAB12MB/9Rhp6159fbd7Er8ct0h2eSsJ3lafXD49gXVYn6
6OV7agBexoyhbiezKsBy91xqzh0xwX2p982zVxjEbkdj27tMcafh2M2uFyiNOKsJIe8gc1+tSpQ3
Im5ZvmMtANWqNdCfBr/9NoeDQ6bIxcvqMd3Vorz+imlJP2uUuxM37vqNSUPZuvaSZEvVEWS6yD1j
PfJuRpXgZ+mKi3JMRn4bOTRzbJpAagIs0mi1R71rl26Wa1j6YFs7NmNpPh1a6apbW4b2pnJHd22Q
mrwXiQ9mghj0IU44exDyvh2JVO5kFz05FkIfkNd85xZ5fNXpiXGRmrwmXUfwJZ/QBjbctBtQyIgh
+WM/AcIm+UidC6XXhTu8Vj0194M5jJsWnsxbggPpIhsthWeJ7X6dNzSiAh9D+GvdHeK35JydTwFm
ng9Ky8yt1YtwgygNQcDtXwWleWutG46pnxUEhID/pqpkXouUjoQPGQ8z+Llo5Lb7TlPXrsM5pVtR
a6Z9bfrjanIr40xGK3/uBrt+wiq0LfzxFjdRcc5AOkM+91pCqB58pjUzhqsWtMEYCG9YjrpN9oxS
ntxmZowBX5LIZoQxgStlpnPXmFp4h1/RvrCyWbkrrbCB2ndOgxG0Tk5tlY/PVKfLD992/MepMCkT
Qo7EmlC53mU8+EUg2Zsfmp7OW3cExV/mJqDjXAz2vjO9+sVNUjjBqTvkj2VWEmbIY3+ni9w4sWsG
e8DMqsoo7KxbZH7hbahlN/jwfNEbq7inW0GKuuRIHoZ41yodEUdTmJ4aMnINRLoM5LBRFQmm+aq6
mBn/bQX6xldXDJqzmUIaEgBRho+pyKs7Bkt01hRJdQdc0TiZzlRdWGPqX4JZTL/WNKZABAJAEbHa
KmO7gBYC7NbTzWwP2Pk7BKxVH1lTgI2B72+kAMDsRnRUm6HCpiUK+droZv44E3N/a3vXPGim2ZO7
BQO+j5aG2zYeJhrlaDgCNruAnSnsux+Qv4/4nRMepz1Mewqp5hsRcWnaPVGOvS0H3nwzR/MZuiev
sagWmcTpqwvJUxtVBZ0ygKDJLzQ6ULaAsZMymIdiRn0t6peY+2+X0JQNZw4i0iakGoQsZkzmvjaI
rKPyyA8G+qAjGOR9UlM63YR9VV9/f2VpmNbedqCamOIjIdzbSCGsJuCgOHKEsXdrTVyDltYV33LS
28fSLvt7mVrMFByOPngweOOdWcznube7B84H/B/zBWBsD781TFRzoHNe3nHYSb9+v9JwEfLXVOQP
1B3Pwr5IOKADovGr65G5E4G8KO3XtmryR8sfxdNYakkVdIXl3sIcsw5VFk5nY+Ik2ra440TUUw5b
D3ypfW+V6BCKb01gj99C/eg+OjcmuK9XzjVWn/miCQ1xXqTc89jQZxNzRQI+8+3wqy84m8JPI/tZ
hhO/aPD4i+5cZgyRYu2uUg35Ryet7gCn+bsKj1rw/dsqxqK6oxdEemuZhSXdtN3grSu2d+QBLPvS
gD4QrsibMJ9AI01WPdrS2s2ZiCnFfyUeAGa422vRIO3LVJ3ITp4GrJ501N0PDSfTwa6+lom3iihG
WPvelej6a32MbmLqdFc5Xaz0BH6zR/+Clg/QGhq2UOGeJ2lukXt3naMeo1Y6G1ufvEvHWY66oc2W
RluJeq7WnlhmujzHmP2aFcQvJmVnC3lA0r9ycgbW8Mzwoo3j1ubacEtrnRTziXawzThR3slczCzd
8MbgWHptTAwmvSpiAD16Trxzqozkiz9YwUzYZeXWMDWZkVN/6mVNvNFa4wPGA0NB8dmUdBs1eI0u
UrVUookCRICw3xnP7UuMMnBw8nU29OY1ALnwRYvEs9S8d/pKgCWWstiS/u2IeDML0QpzZmpD2eRK
tGJgp+VUd8BiLAqiUvWBLr4WCuyEDaNsW3dQCtK+PvputjPpnV7baFu7KnGQW5s+XKXjnF1mjvHg
zIgNrt8csmkuDjqoqP3IIrzRvb5mj8mgTPeB1UUKyFxVvTQwyldTWemXc6a7x5YLf5fOjr6xh/BF
N4pmTTpmBe3hG4LGuU489zMR+G6tsdG/uo4G9STL7jtDpq+AAemPTBlHw9301vDMiMxKvzvCk2K6
MyjFemAO+T5KlQmjnmPtWhEQ8MO7ppAf8UzEVaeh+zTF7VgHJj6mbl12AqQp1XN9oAZRXlaGc8J9
k91yWYEpcULjBseDxSGADp510aNjZGVWb/CSDahvov6UNkEY4kiHuaiQZer6tceevGmYAlBFPTzr
FLCt9YqnvS8ae0f64l239JcmZio+N+HDaNQz85dsWNnmmKH+2tpVa4FoQzlZO9yG2D7L6JnmPrku
pbnpDN27JG0XBWwS8EK49nAGb2I8ZPg22UPg415TsTkfR7pb0M5F6NHQOqQPqYt6Ykmr+JQ4bD87
UhBHWO/uEh0MN9WgDVue6eM2k/xsVJgB4Qn95IZpdYsxBhRR3LCzMhkWj3XrneqhHr+W9IZ+HYVh
Ere3qrXNDgtdLEF/4i5iJe+S3l3HJVn4MCs8f+VMaXQ5TGBYj1KExrQCm0I+02/6rRc1hc4tET12
zqRdO0brwe4SU8OXCN0zbCMtGLK0v3Tt1uKKKUmaVAwFmESokcfg1FenimTpEScIHuLGLgg/NqAP
mqQ7jxQxp4GCyULPtV9qpy7y7AM7hWxn6FUTJBOsfey/lRXE7fStJF12bRRR9zC2yUhQ3m2eHAql
Vzlr4SZiALse3ZEEj1UDOnYVpZ/swoph0I56xQJWG6LZVyE9JHXbpesUcXpbYarmZeXNbrbyN1dy
SpJtODJn0vSrNixb8itVu2sE48t+zPCI1O3VVNGjqGm7SCC65p56Sdu2qjcpRX1M7poWz3VmQJYA
3FtYOmSzNrN21EZfTUlM1KTSeAz0WKLtXA43KmOPl6HR8eQavGu8l/ldk0oG4ZiqX0h9nci0ys9x
wbg1ztxtaU4HLpHDndFMWNxtmyQbQGjc4syYV4Onn3mCVtfUCWJc8fuZGcRoP5r1tJvGKdrAyLjD
qOGeIDMR0fQ8SAqlsQN6DLbWaJlDVdFnM807E9oAfdJVHgxJykmVft1jMhiSqgsZHogWXiZRc0b7
tDeQOdMDLbaMOlKPNtNNSp2oQaetOvuMKQvjwu2ZdA5BuhQRYIUsKB68pTaowW/dyxGwhxxBYqx8
TYt4JESNDlja1+moXrtjPk8HhpiOurTZqmTrNCoyO5hlCvHHq0W6svtsSiHegnqpNgUoV7EC6E2L
Ypx544AJ0Qwrsedp+DQxlKcSYNgyPerXkdWPd6GrVGDMSp6ilPl2OtjWVWer50aZSaBq54wWq8GA
7rDl+6XY5MBer+l0tN/kVM3rVJTqzZBGdzXiNtgmxvDZMsIIRlsMVx4umw1SpnUEVjqy+sXyxh9z
cTm6TnOO2KoETEfNzay5X/FZLJ2jffo6dtG8TiD5EMAFTVloEK6ilO7KrJG4VIZkWoe1F/OohEE9
4ZTd6R5BWw3kMXj2C2Wy0c7z9MMVjA6tpoD/bWTrvLLeY4Kcm7BL/OMcgVEKUmPZ9Edz273p1th9
0B6WMuwtJft4ae1NoAwHIrp3+tD7Oq6lQWmbbOiyg1IhuSWlrPnSSlrwLXmhnnJKM65kXLxzAGVe
WQlI62gOhIkhEFcbnCbvTVHw1Nea4sMdnGXNoslx29MVv20NvX1h++IEAg/BuQvBAbMHOptJal+T
84wkQm9uHlFFwTvPijutL8dHB8TrBbD18lLlg4cZeO7y66xsXHutPDN+KxsJXYV55bQtjJhHge4v
4WyOhhX7gNz3PhCfWDiGyDbOSR95T4S36xdlFggoccVMYwhNS2PJd/HS4Fkp70s2/YFtKA8wcldt
JQtj4BnqkMyEbeuRQxYY9uyUIAO9GJ0i59cAyVjhNiGnTPNERUaj4hKK2JSklRdz8IWycU+Qp43C
AIMGvDNSAzwHFc6lZFRDtoGVTVtII4dvsSyKvWt2yb5txnrP/PgT4FeykjND3cGUlwxJCs5ZrXd2
Cn24ieKuPgM2VpuMuAhZc8bVdlSRkAjNZJP6XnjkhT1w8As3LuaqLeR875A7WvTfGol//N9Yiqaz
qPT/XlPekw9Lkh9VZOO3H/ld9MG/g+yLUuyaNGoZcPr/FH0MR/8iLAf/KwGtxW+KA/Z3o6sQGGAN
VyDOuJa1EBP/FIEMFGbdZ6sFyvM/R0TYP2u4FvZW8gyckATlnCCDvF9EIN3xc5VSBH4HP55JYK0K
OROI53WuVV74l7UVtbdwI9p3YM40FMWZdmZzMe9KS5uJlCeMR3M5gSXQwxxLPValztdwXE5D/SJ1
nd/D5QhYQBuq5CZtSUkC7rfNQxVP2ba38KnWYBcuhaZPN6zR4yah629Xkb06qxQzuR8R1Y4Nrf8s
lUaRU2yN1rXGwxhzaA4qPZbd+OpH9fzqws9J2FPxsa3jaODY22at2nICbo72rNVveGvSV/o8Zxx5
MzgMNoAvc6vaNRJ15nIoVt3n0EYG55fcgiCjG7dR7NxyAkmSFY548bCoPtnfyOjfw6r/hMB+/woc
BwysztmdVPDCqP1RhysUtYtaKJ071Zr+wTZ7O6jFxHTRryZypSbRMiRpUfg3dO2IS3odeGu141UM
pjOd02OczoHr2tXBV/1wpUI7Poneqj5wXWlPZWPLczwjTNhJml5xoDaAay8neY7U3i6K4U700qyu
Pa996GgN2ts1BspoxK4Xix3R84+0oW3ih5vkX80OfvZX86YhVC4XMJNUncjMr+TbmgLUiIxhSeFD
Eb4Yy7cfUfL0TDfqdKNRNHroU7MF5TeSyIfFJDCsdmoreZpAIpn0tzozFvHFHqfrJTZ1HCvTvgtn
/qkxhfgUdWVcROCtr+PegVwA//3G9sJHxBix8xOkEtqXh7WT5fo+YV6yi7UWBCKm2s1ctV2g9IJr
2uz04UJX5kfp9JdjK4w9ljl7P4P56CiuMjcJcIlgsmEt6KgMWzt5yWufJmSrGt+TmCRy3pnje816
fXDnvN23YCtWYcyGtB76bZeM05mbMju5g8bNJLNkn5kfhETSduWErSM3GUyTC3i6BRUq3tRvkkQ2
q8pNkcQUkAyRoM64ZTmdKY0GiUdXZ3pVxGZzSdO7eJrJe356OdsIcCCc1YmfkQWdlGvQqSzl3p/q
hDRHp1+FzJJuvNIYrmx2Kh1HdvgZQROrdD+3QC7W4LbFWUu66Vp2Bh+oWEQv5UH7sJd7U8sUNI9R
PlkxTTB+lEWXFmXlax2l7O+mqD+vWcyQ8Q4QACUhQAZKiO+h1x+Ea7zlYRgNrnaOge7fdn5f7jR6
uB7nafQ2rQtshl5Srp22Uu+j8BSePgmtzBrn+AOj13SqgXMem05vntzGonghziGUkbmc/AV80TvF
A0UzcAmG1s55mBOFzPnuL6swZBTVRcyiYfzDlKjEGcNVZkEx5q3OPf4xa0FDsFzN28Fix8uCWuEP
suvOCOxOE0GCos7vnIbpBGtD3X6/bIGQ0UKeOPNV28B7MGpigVXu6c+eVsgnPzXkE0GgBtZJQvq1
qOMixpNaJm+lnu0wPgNVBiLSY8Hre2dnwYd0g8yLcZ7oDVLZX9+6Ypks/nO9Wj7+xQbv6h4FSMsk
4hf2Ll5hyUa/Dc+irUkBd4ZrrOa20e5S5fMOjFRwym6khlMywRZoT7VfX+HviKedpyc8XkzuQUSh
vAmPXjbUr9ngYEj32RKReSQ/8IJsxZtZNN9Dk/Tab+Pxfzu3/FdvgFEeL4t5PwYImxjLjwtuqbDI
gPRzzzmo0WBKjenUAOvbNk6YU1pUss6Ezch6IegfX1EYoQWQXGpaCHT7whjB/3PvATARc/VqTq5B
6cwE5UDUfbglnBHeg/oswlVcRpxI//rD//48/uXDt0DAGAQ4ICZ9zxr++NpRkBNMJ6N9rnrbBlQE
RfgbV3Po7VvZ5o+GStRVOsnpOgf8uusKj3cgytI5eHUyHKsCusiIJnnI7bGlu63R7jun8Hf+aBFf
bZu+vFaepE1b8P5HbLaA8CERfiO4i6biJ9abDMf+oCvlYQlu1HTTW2NW7lxgTIAkbLWaFsGz6/vw
CYZduqdTyDtS2QuMhrD8NpdmtIVkOL20Tql27TiE7L1j4helC42wE2L6NCLJekVvI6lcWQsjUGZN
v0eVvRno5zI2ywbjWV0fcgvFq3S51dkTTDffb73Q1yJ8ZyTSAifjf+zRz7Dmt+LM8QmpvEhBtCAb
xR96LdU2JRL2wpU3fFp5sawgy0cD6u/YJ6W6sphMk8yj9Q8drdXxihfZvU6IkVkxlKZnUInvZlXQ
thDF0yEbhVy3izAIUFVcxhNyho0geyKBz7Pkry8ENom/3obQA9gzkOch78R28JdtA2s1nJxsaM6c
yjsKHHRusNX3tTkfJyQRLOFrlxIgoiMqjrZsxepXR3SKMRBrEgR5eYi1xiX9nObHJkGiW82FnmTr
QUuTxUtXboFVLrer4epv86jnDyz/3ZvgsP/ZJ66lbSCZFe4GgxJ+5ZLt2BX0UzvAYjZzHVglIf3c
zMN8mxsUYxB3KsDlcXLazKp2D5NVPKC3YwhzsfLhjCerSfxbu0UJmceN7MEY4zdmicyA/rWwaPeT
oeTO4q7du3mybDmX7xUvW/dEQ+ie9D5DlUkkKvDN+cmoa5LeFY0mvJ64oMCKGwIyABdrKqS1Jl3m
vpsuyN12GLJjZaT6Xvn5rCE5qGankI2qK5yelr+mqSh+5DmQPEotpXlK1dgCV1UCKVMyYmDKkTVO
tI/Zt9CQabIarGSMtVIj+QnCdFw2OO1UHXUPAIEmC2fTcjCMSJ7AeWL+AhZH9hlLXl5JPijQ4fxz
2PXcBjOJSTjljrSsTQ6K5z6KOolr3OKpo4zUfIvNMJnXkeHU2QU85mX748+3UZdUWqDQYt6KHBrj
umsK4Fus7PpaK4nfRvaYHWcuBOR/2jUvNGsmAWrj9Xg2KgUoG4q0usU1HDJPcdPp3LK33NOi6dPg
KJX6RjTTO3i90vA2FxmEGYRdrJGtGgMwQTQewfIhDtNysiUOw1WYNOwyV1PUbjrwPRxk61DfJKbK
v5HFPXN0zhOqASA6rsaMaqJ8zIqT6xbxjSC8gn88R8WQ/qxuv99I/zVL3f91bTDHx4Wa/+9PtqfP
8R/716KWcfIzAOX3n/zDJ6VThsihBUY/24E/D7cuXQCLy8njWAkC8Xt94u+HW8v+QuCTZuA/+oZZ
uX53OFjiC4YE/u+m+d3g8J+lOBfP3g/PSuiHKPPmkspnz+IRz//5OW9pzhQ1nquYL9hA9xWuIuFE
jz98KP/iJLMckP/XH8HShSmD90n1489/pEPlr7F8qX2fCdr+XAm5mKchfTFW9zc7r18NG8v7YbJO
IpbDk27/Sj3ioDQ1acSZeEJfYpSNBxy9LWScTUIGhBccUYNDzKRsi54aCsn++p3+r4/TMwQHNdYs
ADUYz9BFftx6iFx59uggw1NBTq2y++Qlf2cpW37FTx/m8idsn62NzveGJvHzn2hbbe710Gj2tjHe
T7b5KH2jWvfCcFe6aj7/+v2Y3s+HUN4LuAaxAB0cLJk8TH95hHIotJyJQCOzMbM5Rmjd9RpKX3HM
7LA45oP1YIVjU6wsqH06w6QqLUgD+agQBTxY+puqkPSJiAx/Bc44O+AdI/8zVIPfrKc8ZyIqJRju
lWiMelwVsb9CkBUwbwsTKNi4iwbZfSupgECq6HTxOBNzWWuz3xebTCvNU8wpZGPGmbnpiSI8zmnY
XiZOhORuCheqidWQCXDsPHpKZreiMro1b8Oosq/trszOpLQwpViYqfuoi079UAI1KchhVOAUVrZu
N8zoFZMWL7qiXmzYmszZLTc/V4n17ijvtmspPxgtrzjW+kSnA05vv0idQAPkhmEuRZaseVJmjc3W
saTeV6bjJzmZ5kAm9rqeORygv1PmLIo+GKvROU2TmdGu5oRHEZmPLiVtxzRmZthIDMrJMHyajgax
ppTJZjZIPEMuitigWvm69zDk+0O0cSswadMYDnu6CkNQaVN8VUobizRDlNCbxws70uHB8dDpeC4y
FPcPnZf20zapoOE0LuS72KMKUXiJe1nDtdQvypoiiG05ta3zYGHXfoo5+l2XTC6zwJsmcV9RR32B
R6Lf6yY29ASPQMG3ascXYdG0VwDr7EAws90Wo88lUjTpTVMtA4axNIKBUOeWMLf+aPG4hW3dTGty
wqJ/6RO9WaqdZ+NSo+TuPokh15RJZaxCp6Aso3EkJTyJ4R+U1oaXHD/b21qRyyxaeRn6s/nSKK+7
J0yd7YkeG1dge5x9gaN4RaNZQty0nHYwA1/ot8JYn6GRb2kvnfaWTPxb3cGPqZnMxCgFrG76fN4I
CNFX0VTVDZpYrm/bMW1eKoe64hUtntHKmOxk1/pWf5GEWHdCFTs3iSu3Ycg2mB0LJ0Fc/19T9ksH
fuxpGhZ0T9hspnq8refsgaPsIgWm2s4qyuGiAxLKrI0B9NADDqGO0dgJE2aGodeUdRYdibhaNhdz
hbq40iNGY8WMMY4rWmDaJM6p35phM79KjYFmzk1zOUSpdtFFjtiZk4/TP9fsckPgKKOVm91uoxOv
xhhq0nvOwMpcV2zxtmEdz8dJ88IXL+vKdehF/i4Kw/FiouSOdE0/rh1fi3dyYM5TZAUWB4vRBGh0
9ntUu60oGRuPtBiCdKJtcxummJ/IgKZr+vJKLA7xqxmaT76hAOMht5zRjfS9GMyvLt+r5uXRHeBN
mOYun7SZKKhKVb8eQmrJFD6ZDUhphAnPYEOl0itNNvVt2oT5pmzUR0Js2oPLlMHXQhY5hKA0AgS1
W9JM226qon2qESWs/Bp0SMavjUKneWgNzWVPLEcimQ1AwB5C0qscsDZUce0EciLRGpn3tl3j+jCy
llJtd5B4R2rzddGSD0kxMm43YmY55LKDOO4XW5NVq1OYZx1MrrCeHyrDyy9ZkNTBmPCl1cJ+aasR
aiRhSZwcIU0adSg2lJRewlXdxTwAqLWBPMrxgxN0XhjlSS4jjUE8ZEVMmDk0ynXktUer9bSNUhox
qUzzrqIw+wyBda9VIwO3F9Zrr1v1WwrH5rqGW+iv7Jx7jyXBuU7mdLpEYMoPTiEwZJGl2lSjGp+r
aQRbnFD3zaQpned17nADrfAkpt/8VMufDCwU98wcrVuKbh18i76xNvIilavKzqFp5XEXOEu63yBG
+EGPu7bQZojJMfrLWjddYtvlfvaTKl83bQ7e25qsdWqxetDnQheyci04DQlZbROa63VBnmUPUQiy
YuO+w+OICG75fO+UAKcHD//ePdq7sSvtpAhagdnHHeZkLzIL/qbjx/s+YWtfTT2ibmfb105iZJxS
ouirxzENwNWODg4+fhI/DwYr10Yg3G75kPJ7PKHG2tYN6pY1yCt3nHcDZyyKp27OrK/T4MQnp3XU
kyzNTZUl5InSum1PvVF3WxJ8XHmzm+5phQFn43CR8fCkIkKKVdi02daJQnng+ThSaIKxBBZZ5ToX
nVHMglxzLvvfNPb/bvL/ZpOPzXjpDf/3m/xD+ZG8lq8/za9++5k/TMvWFxd5gXMwAyd45Wx/f09B
eN4XRtPUzLBXX/b3y+b/jx2+8cW1iUdgZ7YJ1OB1/nOHb7pf4C3py48RkoCB6P0nKQiiM7/uGA2C
Fvw2n+0wO0bxyx6/p5IqUfGkHUJTTRuzyfNXO0UeXvFsJYEQY0EaVrOcEYF7TuLrLELIdeK2uOI4
YE1rgxwFnORk+HCBlVwrPHpffT0F/Rb5WcRotteKzUQZJa4DVX4tbJR8DjfiGheLs4CiWvMKRyoi
c5YWDM4h6Dk4J707t83yczv1w7U+vBZVy+SK9qzHDhPUCzfMoK3VkCOBZXo9vUJIKaZVIjWEE82M
MANPPikz5g/UNAe102RvMVUFPBvaAgTtLFpoV2KmLhN8A56t3O+vFnOzCfovVCRwW+FZQV55Lr1Z
JgIyXt/U3DU+UtDSDB1fmhhsvYBWjgQPb5kTVsi0rHqvmQK+VMjqp17OOhiwXF4AcRzfSX2XL2iE
NuU9XjRfEEFubuc6jV6ZElH/lcLDQjRnRwku2aEehOm3N56UPVU3tjlXmJY92I1ITKO7y6ckO3lm
Md1auQk0fKarU1YHdIAevgrxjKHsGYBY824UiXuD1dEXBFiK9wn0Lki9wruh1pGEKkDLO3NGZ4Ot
LgMEfnMfqtrIV8wjyuP/sHcmy5EjWZb9l1o3UlQxKSDSWQubzUjjPLlvIPSBmEfF/PV1wPSscmdk
e1T0OjeZEhJBgwGmAPS9d++5ThuqTQJM+8IbB+CQs5b1qZ+zCCVB6NDIiJ1aXXrwqIo1lUf2ZOVV
d9/ZvHWTTg7zqkt7+RKrNHhpDazS1eDU26LwjcthRrnCrMVdlUjZ1sMYzJdzKLvnLJ3YOznsxOFs
NfUFpuOe2Fs8aziFl9RlneE27+0i21YAPhKsOj62aexG/ZnMrmbxjXTpa/0u7dAj6jY4xWytqBb0
ZzLFyTcdgprY6bS2wpvC8wt5oMCK76IqtZ7NMI9v/dnhaMzemnuJwGbX1ZF9Ic2EJKSoK6MDeV/o
MSY0T2bb14dhkv1dGOXZ2s2T8ZNRhM3JErn/HTiHanauAMmwkvCPY4jktX9Huh2gUGTzJZnUoeXe
RHZMLFTvod1f+XpOv9pVafkL1Z4mowDA7DNyXNe8yh/4HVPUeTq6UWOiz1pO0UnRMPW3shyg1QSF
zQSZeNwNy7V88KxaXIdNC1zcqPn3sgztc93bXbnF+FhdJWx0Y014EHf5y1jIZEnSDvEqcXnIdhZo
LwlB5v/KQrLrWo1+PyUueAx/FNllISB1MOhC4A7vewA6E/SzCO6mobemU+REyaEe3BvpJeTy2GpG
BU8C1cRQ636kRdyzR+qyTwHbcGCNARExqoOitE4rs4RMop37rnPQ0EyxbNctkExEe7G4sskQu2xB
FO3tOnFWutSoTyF84tPCOOVZsE0a7pe7QI+IrymJssfxPZPL7VqR3KgY+am/YZvViXt71swDMpLa
Cgc8ZW0chq55sskJujVSz08x1RIDZpEH1oeFey4rIsJyXuabbIkNq7p8uq1Lz2TSSqhYucSLeZPO
bofGau6yH+FjeDJIHN0Cws83mOFWINbilayjK7IACD0kxky08WWfnGjD8kmWUe+7JfLMj81P7hKC
5iTGKUnYsdd0NukjAYp/j0xDvvwUQQc7Bkugmlyi1Yje0NexsD/5S+wa9gzACkNvnJNZBnALeFrT
HXgulsA2WNn8yNO3RlNEzFzDoBUXyXvKm/RTsRM6ehzfI+DIgvPURCgc6XAoGrMt0rk7wbwOLVX2
FJIk5w5JctPWxQtyOIzk0wVQabHLRXnfxxaF7qja9bCk04kh7Tfme2QdGBjvoCKkWZBFMrzTegm3
i9xzHUt9aix9QeB5uJt8r6egIRVPatjYOMwUmVggZU9NqOyY06vmT9it9dkfB3vnDmgPWEYXLr/2
pQgbE/DJksc31uWeOoaqCY0CqerlfDW9R/jpknmyR/zObT1N/h2mZKzRdIKy23RJAHT95psqI3FK
41BezLlfbw09wAeqnFEuj1nU6iuP5fegEDBt0K+Um3rJHJyX9MHQDaerbEkknHrZPM4ppjTDgSti
+vGt0xg1twRZhrTPNXFx5BsCn8nv+ywIbp0l/RBCF/q+UkxIoPoLn4ClTWqSlpiNwWu05CeaS5Ki
uWQqxjjz7twlZ7FbEhdbyz3pJYNx7Fg6iSGenSWf0VmSGqNkDIgU4Zuaqfo6jL2+82i0r2dsOTs0
HP6ONkz25uqguKIZrbuZ0X1rM4xoyPe64hljXCZtTHhkHeX1HfYS9tNLtqSlSJl0lrxJf9TRV/s9
hNIvNbEQaXfHIswIyBbZTeIslvElvzJekiylFDcKEfBmyXQ85kveZeZZ/sbolgzMQX52+oYQIGmk
9/mSlAlq0nxuS7ve6fcgTR6HS6gmQBfKAVXswDlSBeH53Mslh9PoSeR09DChVo/Ho9vyihzT2T0a
ENflv/fJ/zuZF3XNb5vhx3L4sEl+/4Mfm2Rf/E06SrHb/mWH7Lt/A9viMmZWkjTddyXZP3fI1hKV
K1GPkqO7bJD/Z4dMBhAWwGWkxwQKBzF91v/8v78Mt/WHf/7ZpGtbH7rGWI6JlgY3vkwLCc21Pky7
aaK0faFi7yTqfLwwEl0R9WJiQrWc9BtNmPmIkBMGKMgMmg/pe3bde4pdsgTaBUobN4R80e0g26y/
sa02eEpnbu+LeknEi1qYeEco10TWBQXP/3X9np8H53pLopZ6mpx2uO0wmEFvIIUjONEpzb71PUl8
fd15TxGCbLoc71F9Le3hCSoENllkM8doyfQDNpRtExQtYO7eQ//oZ7nfmEdk3wsiAcOMbMDEH/vn
Nq7tO/j4RAd2fRW8tUueYGj05xT4DnFsKGM+zQG5g/Ck+2cmA/nanHT0huOKzpYfOnW9akZ1U7mY
1DbjZGnu9HA8z6qRND7RJLyp3DBuyyJBmqv6PLzqDRMsN+RWNL5EDpJDXFr2JSqzNFkLHhiE8g2A
f2Yc0IfMDfQWi0b0ieAbvCmWl3t7rRwCGUn0ze4nGUXX7BgIMezo2cRDFu6RxXsnDOD9XpRjZW3m
PHfv8yic8ZIVUaZWE+U7qSnS7AjRhGUIBNIu/W+TFJAVUSkpOIBZTwqr37RrM0jrUxekBGBo6c4r
syxRwNejf7FMI9/jkxmp+pV3ZbNf58Xfq+6uV3l9CJkNHlJDaKqQwGvXPhH34GJnt7qvs6E9YZYn
LBEK7W3pZ7hljKrIriUQHLHywjm5Rtmy9J0gT71kdLJXbme33gWSXvAX0TyNhBKFymfb6QbtJkRf
TpZRQQM2WtLfRnKD6K9V0J2GEYAgEpL21NJCj1ZuNIY3Xlu9aT6F3mw71zEZILQaBjI27BUezmxY
ke/Sfi0ath0HdBLZE0275Iiop96iV0msIzDO/rWSPkXF0JB/R+TezjesRlFy1NZOlj6F1xjL4Xpu
dZg81QKvWH87Gx59HHh6TF33Svbx3UBQyw1gwklm3/h1GZQTmdTEXFuG4dCBLpGNTCXOQ1flwVWo
AdflsgQ0Yrc9eJkBkcYkzcfQ4xgYLTZJNt/begy3Q8E4Zo3sqi8OQSEXH1CQEyuduARRmepESme6
0/Qlub2tZo2AbY2icVipQjYr4gvKrRZVvq5bGeySiEahochRwmqFLjm08k2Wyguz9WH1CCYtY2nf
odQ+ZINwLufKDpgFN0SOiGI6uGPNde/GkYlTb0/BpvAaVqBd1OLKIPDZ3WjdwX9vAmhZ6O5PZt7k
25h86yPt2OGys/D0DpA497VDtiscx7m+cCE5n2BT5XdQDWySbGgd792kgIrq69s54sZMy+QNTfgj
OtCVm3npN9jp9iZx3YgxfKIfjM7MrtA9qLUuMP7HoyPvSTHiqeVBTqIuISNWuOTpglmKsF6F3prE
U7ppXXoDLuvJt5tsHc7c2EZpHZI2vHMhxuHEk8k6wOKyTmLROyvqT4Q2swvkLXWXq10OD+jUoo3o
J/+oSnvempkLlc9MzDu3IgGHxxPpQ3bjHJnq5VsXLce4Cm3dnR32qdt6pBc5Qfx5tjLbRlDiJBua
9RlpIhG1UdeqB3os3UU1uNnIQ0rzTGGbAjw2dgLjq5jp1XPnh/O1SBFEYGsCZt3zbEwBDx1gO9uH
Dkr05SANf9yGOhx3gTnDFigEox1kbGuQSfVV3uH3JAtiyTk0XxEFY3AOEfaPQT7D2KrbLfxGTIEW
F+V2oIDeBjPpAMDZMq62aSXcqGzC/K9xPPES8awew0s8tuMaAUpxGeOduE60BwBIIKbqi3SmEDHF
VnhoNBJbdbtGe/kL1Yh3E7WIeUn/KtqXBJat6XSg7dKxuJZ9x1goC8UDnNLsTU92+0nJ0L5X5Drc
Er8VbidYPLussrtzP7cEpwmbAQpjATCtnpnx0I3i7j62rfLkRdp6tTRL2rLq4ZKw2uLsyUojynfk
tdZOuh6hV3BXDdN9KPMFEWHI+ApPOztzirVL7YCIEZGTrPtE00G2PR6ZWXgtfZ0cYnQ3qIw75WEP
8hTOcyvc4AKkVRK00XwSWRXtclpGoGCy4DGCaBYh7HP0Z7Z/Md5Ro48vzT7VB0xdNW4NOX7J2y5d
o4WaH6zeIhk0SBTN1SxuQ0Dt+hGsoXk5A2+9nIcSO07mioT1Vkd3jtvJe1ST5m4ukwrnfM1kDDdS
9FzVlcaN5yK9ZpZJztDytOeNPr5GKRQ9DOCIr9HPjlsoggzgTHvGmd21J6dpb9sOGw/1uSVJExS1
u2xuJ0qYVLxM2PyLA4TQJn5GBrnYV9vS7XgTpQJy3VwuwPACGuK2kyBGic0a8SOLcf7mtb27DdKJ
Mhilm1pFlk2F0zRDsAqjqdsPIn8YRvRNcTqEoAJo6/BTZpuuKLJba+kkOYU6daFRbWq3if8Nv/jf
7Y99wmh+10e+LDvEpx87yf/4q392kuHfsBWm/WL9Y1tLY/pHK9m3QYEr8FAIKOSPHM0fG2XL+psw
PRMSj8c22jcXzcoPsYjJB/poO9hak38sLP8vJSpY7Lh/1h4gaiCcmtXkLD1rxa7qV+1BPDVDh6Ow
OTpFAK0iSQx5JxjIYgQjyqasEw/cYIUUThsqeEAXD7wwL4KT0cTBSS+yP5WhBS2FW+yxBRJn2DMb
Wnleajx4Va43KqocSn5BFpykiL2WBcLpZBEWj1GYPdno/LfVItCkGxfwKrbB1WG47uEE8FKXoWgG
BJ3GfChrtoEdiZ1/Iqz+oL7gCixeE8T4JjQ0OOofBB4JG0a0Cwgr6UOON+xXGYJO6KDNtl3Oi+/9
0xL5c+nM+/EIscAgTamjMNn+esVNg21qmKbV8T0PcAyzL8sbeBG6/7hvf6mKfq6CPkwJliMpC5UI
7grHl6b14cxmHmGzjtyMUof4STNJ0LJOADLhO8T34Bft/RQlwd1fPj2Fe1xIopwWCRLzkZ/1Mokw
ac8VOjt2bgRB2li6IZoSzdl0o4Pg+a8fzbElaifcRETMfbiYoe8NcZEnsHbF4KTnosnnHbQxdq0d
Saq/P5b8IAFfridUSA6ChwNJ0kf3xgi2NAIRHx/raMzY7kUBj+C6zsuN10hKEfjw113TETaBQvUA
T7atthAk9F8+50WNDrNcqIVcrj78rJnUaso7K4EmwnR4M+pJw0IIggffreg2/v6k/7iGGHdKhxET
hBSAOR+1SbVP5GrjJqSlz/NtiQVk0xrcwWR+o3aYdMzWTRUYyP/kuMsy+UkTxbXGBIbEzpeu6yt3
gRD9vIzSMBni0K2SYzHUPZZGfs3B6oYB5yFj/d+f44dj2RjB2Nn7kgEdT0GMOb8ey46NQfaRHx9j
SVoLRmIFkUs000WITf3x98daPuun83o/loORAH+LErYjP/x4SU6EWGOwhuZpHuSmDBSSq9jqf/S0
/p/3/of+xz+Og5rMX0xWLFfz13Pq3Ew3bjnGiGYB4WxgEHJS9lSwE+uxDEVxnDMaYMoAEhNOJ0SD
PIzOvz/XD2tn+Q7UjzzoyIhDHfFx7fSTTOMaUMMx6DUpOBIwxSqcQZ8F1pSfSpzzG+1a0588z98v
4YdLbPIIghaJzQ+h24efsw/dvpwDBQiTlLbnJnHzk2vZ01VF+My+sSpwD61RjtgIpjFUa5T9U09A
aDF+o71SY/mjE3ICPkL3fQkKCmC8n4I5MW5/f3X+1fd0+GEQhC7wvD+m1DlWMMzKMFBXKffLRABZ
s+4R2vETIR5wScFJKpodiaHU1iiH9AwyF5QmibPBsUtL+8Jv/eDIwNG6Qlym1Q4Kf5lAnfJVv//9
d/3jqvUEV5McC4cdiftRoSh8HMSaDGEQ5AI7exp6YwpEQv+Z1vOPdyIwDX4ypRYJLWabX1dtbGBb
CQwd05jEJeTHixGhSEvngmAe5/735/Txcc7y9BjVe+a7l4CgwA+PtsnTjrbHhMc5tINN6AX9hgKl
WzPmSqkXF1vOOEwXshvVJyMvwv1YOu2fXFgpnOVO/HW5ehZzSdytbAr4Oh/OOWsqw+TOCA6qG5rp
qDKTh2nrj1Z1DLtqvjUsV3x5z96NoSIzS64i8HZxnDYA3MmNvgAcEJz8rptuKNOwGOkaUcq6Jn4E
uH1KMnIWkYAc4Ua5mzMreOuZBz15Uzaf6T9ivPfrxl2qyZS2hedc9I3ggUsFaN5BKXDv3agSh5YZ
1mVU4FDaEJVikCIwzLcTIXndKisiNDuNaF+zAJ7TbLCNI4mLmb4/FsEbXhynOhV5TU1d0KE8MI+2
NYK8aHFuqWbZI5SpTaBsjX4p8gP5tehy63GgQYmyOOhz6PT4Ed6yvrWHTU4uRLTVXhKdGcPmQDp4
tMimj790EQ/vUofOG0Naz2QaybZxiXQkuGSI/bCDCe7a+8EWbIZATehvHpKpbZHU6pNXD7jPaXuw
3rj7Q2RzKMfqFbND49YzNc9OoTv1aWZYthlTPzyr5W+1U/I1Jgdceh0PWEkUmU8PfmlNZ94z2VNd
T8P1++UNXBydZhGJ28qqI3wXM7KpI94B1zqZIo/OaegjFwUsnlRb9f60gmVz0bQzTyhPjsbnokxZ
kRCt8DJkmUR5HSMtXKELhILRCBE9QGe3n7tGEEJihqK4sVJTLX0GPmcA/3Z2W+aLTOziL43wyXUJ
mmYKAcvihV5huSKeMrSsR6/oGcAZJtc2x+74JQtzcyfpO70mTg0GhJsGdVMQ58DmBmOkxE3BYAnk
nUjMiKraKFvGn9GQ8WhiePQkJ2FnW2tZh/lQ4n3r6EOtp8hr4808SjYwMofbCIiEtaTydj6jXiUs
KKD0mrBh9TgsHQOUxJyzz+mixdOYcAJ6hUsWkwhCOUDDGE9eo2GBco4eqxeoxHjTBHTZDx1hFVfM
zYwHlx7gooGwEXsaWXJKvWzrz6gTxsYer0Gc1Ls2UfIQDiSmEMrprCejbDCVRDF8oqa4GEJ6mzSB
441ranGWVjGfulq4BwREwUPYqm1pLzIGlzTwiaOtg8BR1/ms9mk8A3qAwbMXcWJ98lBmrCo7p8E9
0TdO4WkIY5zXJjXfWhLrtvNH5oF2UwDk5qqaT37cX8dhMZ0S6e+iiAYtLfaSLAeLRpjBwB0+iY8E
l9NC8desAaZnaG5BMGD6CVatY39qlLbOSCWumxGQOJiPcdNPnr3mhQPXpY4fCZHPYZRU5kWG3kV0
qbOu2mLYpz48nXTGQB3NwoVsCv0l9qM7HU1fwO29Vp2htwmYqM3k0sc0ER8dDeG9oOMFL9FbVbae
RtSrQVeZn3PLPs2WJ+EJxVeRGzMctd2Hvg8uykKFLy02s21kT+MpynIewPayR8rN6cqNLevMzLu+
lZi2TkZPJsM8u5epqicPsmGeKGQWy0Mk1N/pVVeHSZZE9hRBH9SrKbSSkyTfGo2xEarLzsn4QmVm
E0vQT+b86My2tRuHjOCHtidkh65zfc1GyY42A67OTaowgmEGDB8R+Qz3U+mwfyg1oUgrECPTOVWz
tQ1yYv/stPW+JXncAIBxCRpArM5B2UWfm1Dc4SUY7tQwTVtr7rrt8v6hv1pWZOjEVZ3f6BbJheJO
y462QSDjykxLkqUm9iKpRxhpWrh67ZINxKOoGGipBrwRVOirQ5VQ+nSsv03ONm/nz8Led0NvV+um
MvNrLdonlc0E2wwAnm0U1PD2kEolmxbHYLJzEpPObqXTXZGkzo3oRr1zVRc+t0k4XFjduGkRP58S
QnBQj5B48tnCcBnACDF1vO55Th4Lv4lOtBXRi5iDpw9zn7MwE/YOlAiZcZtNjdrmUwOSnQ6nyGn/
A5nz3lp7pDnvFhLvfe6o53Egi34vnNhA+TAwJSk79mNEkR2qefavRqN2bxtCTdaomTEOtLU6UEH7
2Lql2a4q2TXfK9PzttWQTPidrbPKbXH2g4YgGtuXl7YDFwVGoUKzkfm3WVBjcA5QKlP8J5FNm6KR
DwY0m7VsM//Ej4r2xWHAxkuYMQ9BVPbXcRb6VqGPOo51oTdeCbbdc1kCNPBRvwShsx8UmGuXzh6Z
sLENVUuXN7jYLMQkMjkGSW0ultV4Y+U9NM9A7nvHYWH7xdmlfbAOct+8CesMESswlks/RL7UVKSs
BU4tN7k3lPtMAEfLZu29drCo1jxo6nWvh9hae23ZENVCYsI+6gsTZdgg0X/rIHwqxGhddcIrr8VM
ngOD1NJdVTj8ICGmRmkjauuzPem86pMDUuqBUwsvaA97JXB8OztOhj99bynHLxlWdretbRC9gFW1
12vUZ7zTAQ0266LsnSsq9gWcRH5i0MvylMkJ3x/g3/OQ5BkTR6e99vQ4HqxaRzjBfe+Qj3NzHDyi
hHoCmC7KegzOSUeQox32+ZcFkkPkTeXXzzaDy53rJumb7+SEEVSqKo+IRuglkfP1pHT1Oeejt01d
YqPwnZmwCQ1A7VVUdoLmydDE21ULmsmT4K5q0GIbG1TeBWkpkLjKBLxBF2/T3Pw6GD7hR2DwGRb6
sJCLMJzOyu/KL0oWPS7bhExon3cgJLZ5PzmMh2AbtDdS9PpL0qQ8szH55aQI+U0atuveJu3DeWzh
zin9lVG6RzSMXYzRW2Sgl2pjTfRzaLcFZVJrvNVuVJxHpzKv4sHpHo0w6L/YTex9Cju/KQinJvNt
MxIP5PDaY9SsYCYUeXEwXHs6mWbih9vc7WEi0MYXaU4IldcjJ0zqhFSyIZVrdlHh1WROatNmNV0N
sw6YxmajxbdqMU0UiTgT+psxLxt4ZyDABHGVYbl32V2WEUbJBAKrDJaJaIOUcNPaZsnjbCLUwbMS
EyIQSICj44+8RiTdIdZlhmY91LPxEONv3PkpkPuKl8LeElV7qua4+1pRG1FhoFIpiD57qxsv/hyY
y1KmoyTOEUwQQuXMZjy4wgqeJse0Xg2zMnBodsMljpjwwSnmhDRCPna0R/8RgidZ053TfA4qO2Y7
KXwcOPEjG2MYRoGLUDCt71wLltfM4Hzm8RpkAYsqfxJOIVaCpCPVY3JNVAEkV3k7gjsJQygYKzBz
y1cjm5ONUiDIZNEwDqLGptsPzc4f4y9pZkbF2qBORiNIhvaEc5bRsbnr3OF7i+hrTy1vo483/R2A
SLVOc/dk6pw8RQhmq9xZwHakqDHRMYCXsZxFMsqLycnRz0uG7XxwVHbe3pzqdIUIP9ujWx3va5cQ
L7PD7ATr7c2ohIVJhjw+t+/NU0xjd6vpZp3iZsoOvqA9YI49g+eq6fYVoIkvacvsjRqftw4boRMq
RBu1b1zj+WkZ7bZjcpnKcZ8C48T8EI1rimp308InGVwBmtYe3YPTYMoWeQ+oroY70QECM9kK3oxS
i1WbJWSlthqOoFFuK6Oc99KNF1mt/7mZjHzXTBUi+YrewRyKI4rQW/QWr7Fr70rwHexT/CuEhzDH
6k9DPl93ON+ZujxCHznzyKVhxKzowm3mt6QOn6Tv3ymz2FfsptdFQlqiiBeDCE1K1RJl6Qi9npsl
+9WQzmO5RCSK0vwy+pKNFUSfjReZoKaadgO7fJd01cUYqYGxofs170lrMnO62ii2qAjCoeueiZH/
im/x6JLTsavxbw/ryZ/CZ2z4IckfjZfi6ajQak8TA+DY2st529fxC6QMfeja6NKpH4XXdw+1V/vb
SMf3ygqjgxr8FG5B370YZuNtR6JGDj01zGXXNcahIVKO23wSJ8eK1Qsu6gJKfO0ScxbBP4hrl/bo
kCzlBPyscV8yJ92KeEF6zEgkLsEnG80uysc7WBD+Nwb3k3EyqoyGDog77Ym92ZuDddF6ObGICMqA
9RLlvXyeWacANmk6DzQuZNAeQyae/k4NadWs6GrahPCIhOwlHFGoGlL2QwdldQqQIlPfeIOjKalX
hk/T1NUDJSdBoMDjTSxKYRq86cDlBuSojBgcVA0AEzwKKaBGJWVRyLLv8GUE8BvCZaaB/iL4BCHN
2AZGTY1RQshN4hnwBe+4J68OprNB2Bw8GcJKWrjW4ioxHKB/7eK4zjvFY2nQiYUXaKlOSO7svycz
dJ3ExbwmZDrvZNgAwUgxu4e5QZM7tJW8k9rBEuM0VCLh3IsvxOK5zrmN+qXk9VsschEGr2cgrWwd
MsMV+0rCc2Bvz0cTfWWg9KVA3zgw73ZKKuorZPef3Sw3N3HD9m9lR9WN0yC/RxxxLIgYWM+88o9m
qnmRais4WZFDU4DM6DP5Z/QIlknN+/H6yiYsoHSbY+CCeKFOQGcDD+Dl/T8hRRGdqEvZ/07bUdBb
DybYiVedt9RgkAfoEnjWcD1AiYU4K5ZZz1y4937KxSQuzAH739a790ZxlY2MUcbS23QpfeMsjysC
QGLA1obPV8wjzPgueO+9mzv6uYxbTiBO+ESeI/OtpvFy48SZfMk7wa9epOCRgmFsjo1TjDfpyH53
JpTnMKcddKRqmlpSMzkvrHfBQ+VQ9tV9VGHvn5J6z1aN2r7rMtVs+nSx8cUzXRGalzwMOkl1IhDH
lnbvQKQNRJ6z/uFgXPplWL3S/INYmCZ0FL35wm8aHD0y82GH8O5ADFyEc7lr02HAx4Rn9sqRg3NR
JjMTstmheRXM6el93RnwNXZ9wi9gzehwsyabbyPsgJRJBFnx/SIkXEZBdw01kT3fZt1yTbKOKZvk
H/mtxqtSwW1waVKubdIHz2Yhiz1yzRbNJ/AONYECRf8DeB6m3w4T6Xxu7YWGDTeYD8wS9z40fWPr
R1hCCbimn68qbzMWSrwAwpgJh7WboyqWf1u2XC0J/ntaS0tN554Pguba+A6RX4Z4ieDAEUvTkjAb
a9Z9ZLC9hpsAueK98SRRir3N0qaplMBusmY+NBmN8pVWIg4qXuf9Y2uSzu3LITj1UVC+BhFMrCmI
uHWwdvJjWh2zSRC0p6CS5WuqdHvEOGVY2Fv6TDAkzwJ5R3HAGRamS/srCPE5rr0AupVfxOYldUvz
DJ2N/yAn4OrUlVymXkMxGtIWg8Jyw5o6jb7lc1691l7MocdO9yfir4JjS8sVK7Fn6NcZ0nQo6Mi1
NX/nN4sRvfG+dI7uYR/hTa/a6mshPB+lGIwx3TcBqH5+nbYNuNlH7sCgm3w6FoW/b5u+3S44zbNF
C/xc5UBdmsEhi312Z3mRYdi5Liwsw1js+OYtlY+zKXgc7vHi0vxgLOptnGUVDBWtOadyaCk4tg2f
huyAZjWQSnBy1Sy+hCIB4kNicQlypPL3qmwc3NBUp9hmeD76NlcK0bPxACIzeFMgOglpbpc12AiS
7Ag2C05xaOIP9BAaHwy1wLc8RdkHlLr/7rnUyeStyfFFk3qGS85baB5syBtaqVW4jdhW8GYE93Qp
dV9cRUPbPcRi8L5VvR28xeXon3onyiaYHLyZbIyAu8lRE/JElFxHbOXBp8RduD8ajT7Mx5IG9yar
4n9Cnv5tmPszw9wCpvupe755bV9/kCKvXvPvf/+P82tcfP/FLvePv/ghcnBJDYL/aLuWyXyA9cf8
4IfIQUn8crw/fAc3D/tWOv7/FAOrv9mOR6Mf7AGvDKBU/61xsJE/oCxmAkhwCAMB5A8fxL+/EwN/
HCowTaBg5nOYRWFwdT/MgyaIQlY7LQqCYDv5W2c6I8b56Wr8+UyfWR4iD8fx2D7ylVFS/Dq3YIS0
bA79+QB6dZXOeLSJXPVcLul/mxT/P46ynOjX1zvkbfrv/yH/D+rCcXQijqKKz9r4XI7fW+eviRP+
cCIfxpMqLm1Kdw4BBkeJW8iS9fzl92exfMTP8w68me8pYIhYwDiZH8fX7piZBJp5zQHGArR1g6Im
rsrbPK/3pM7nfzJg+cOP/340XzK7QlPufpztqtEZW4dUz8NUhuxNGA+s4lwRQhJW2eb3J/avDoXK
Ar+OA86Duv3Xn0dotxp5mXFikRc+jIldw0Du5Vm0aGF/f6iPk9XlGkq6wWxPfJ8jfviZCG6El25x
qKIpuss0a5cAyISc+HEeV3U45nu0cNNfXRscFAI7MCTArYwtPxzUiYl7MLCeHaaUq0icIX6QhuZF
YPA/vz+/j9Pr5fzICuPOReXg2h8ZNqllVHNVGc0hnyA9rbIAXL5RQ+xOTTGi/mvqm2qC+p5mc3Tu
MqTUvz/+cr9+XKMmDl+myIB8zI/qgym0K9ACoT54OQhRt+AE3Xp4/P1BlvXw8SAWWCFvkXMwiTR/
XS+jLNup9fHit20t92qIsJOHygquMlPMh3lCYQzEetyWQFd2vz/0v1o/OIcdFGY8s8hy+/XQvmOP
MjSt5pAM6UTrBc8ofqMJO4QhcMVRYjqrKSLn4PeHhVb5x7sfbJLNyZq8FKT8qDfTmYF7tq8buGVF
8xX/uxigQ0ISpaSdD06AfRgfJhunrGN3rkW3G7XFT0CzYz+N/bCPMdw/mRHJDMRw6mTTtOrWdPLe
2VCGDpc+qQE0Bhqxsdqx30mgmfexMCm8FKDyh2npoqtEJRfaBVfklfQJPTj4nqcxDsv+0CXNGukv
0AX2si5AGhWdswoKYFp35colpIVeQkclIDJ1IbzZZTSM4HwVOVN0FrXhsnXLpvUsmIlEhoNPL8w7
FurYZpsZ2tll5+fzI0S5bAMrjexUVX91wQohMyApwTPqfkOOU763TX1pp2b7OBaTfTsEndwbtKu3
pdUkVDhLVEkn7R255TVRkpU8ezT3tgQ3j7AIx/7OUi0fwl7wUs2AcsvZMyEcT1qeoZbwKqQvuA7L
LroNkn746re4IvvZItDXDZCTqz7hePH8fSjc4CWqEHFtwCLOj+gSHAuTovzeNKORrZmgt29GbY/R
Gp59++SbsRehwGrt274XfNBygRFwnUs6dASKtItPenLcTV4F7SXuEAuk04JeDxCwYt4gk5ZuLWC/
LkuMqyS0v7fasFFqtN23ZB4f7dn87mOI+TSaqLjtzohf2hRjg5iY+ayaiBupGOzvSzEMnQh8+CGp
eWIkzPVBzQdz+9QJPi8f+R7JqNJT7jv6KV6WPvG16iL3uojN+BBsLaeR+04Pi/KbGOSwsPqN31QN
Ucs0QErTnOkHk/+y9gllgJczCWrwzAuBLtvmgT4KBzDnhWGR/Bd7Z7bcOHJF2y+CA/PwyhEkVRpK
1FB6QagmzAkgMePr74K6faNE8YpRfr7hsKNtd1cSQCKRec7eazfbPndTP7GSDuDJ1N43qJgpM3k1
EwMb410W4rwnTjbdo2jBQagU7bpDNHLjetzORTVHPeW0cVY626brpveSZJfQoYUpSWDsYsB+GSxb
yUHIbIOQvnys3ieCiIEF/lTrBqJoso3CUN1qpgy+B9hv8OjoSnCt9x7tpTSim70wNUE4FjX+mzEi
bpoYJXuJqcncj6WsriplrmvkU7ezvdK+DRRD2dZlZNw6xFtc9aZFyG7F0QiqYU/Bt1NpvFJ73FWS
AL+2HZChp3EUfG8QHyy8si+ahaG0yragE/zbTFL3N5XtZllj1DxIjGXfI8BV67CtTMzhYM7WSt14
tIK8+X4EyP5X2jT8zGjTJsu6G7J1FCJT0DBX++SD6FdZGJpHygbTOhhdtNTEjWhb1xFya/Vm/+zq
QfciYEbfqXml+h16dHtltgMneifu6NHQ4PihpXhuKrK7ryFg968S+OwX0YbeDURG48j5n3ZyXVNd
GiqSwXqdOCqjoyYUltK9TWIpXsfI6u/kCGR4SKLmeqgr+0obOEnjgrEOKSEAW62ywCKPjX1fjoa7
atCF4cCmSA+HBBz4osLmBCJRD5o7SRCYWODWTslasW1rhfSn2HRBr/42Yxs2U5QV0X0lu+SnNdm1
r3UsQikw3S1TA90COAmoA2W9bQpyWVZ1GdcrNpTmGmpMdch6KDvUkKvoOHHYCxeE1PNnWkFkA913
ArrT9Lv5teFRB5a4H8mJOdA2BBhjBXG1TGxBYLGVJ97O5bCwKTDqIAYIgXvXHuURygiI3UNlK6M0
xsdjExi9pEFAhctTmzXmZLn7p6AUVe64CfBQrJ2gDeRaJ3oaLFDDfRgIWYfs6g63gk3AdzT9DctY
l96RFUGvK1HHZcMq8EIc8UQuiOP4+FO7X45K3UVHcHZ4K5f0BVFwCxd91SvZf9r3xhFoDTKO7b9r
D3HMWOMiRi9IrWuurujCtjCgURZBMAaTe7KcuQCGmLl2aWl1bspJlDn8xnRwV6YWzk3ZeUja/hRV
KcASxTLqHNuNbK6pp0395AxNveLYy99qSmI030DIb5U8vYa8SkOIU68ZFY9dnOfbN9wzxbhgHU+a
OnuDMbJUdDDUYT7nF+0rdMFmB2zWTRdhS/a5G6Tq/HkHpTXK7tqj30ShKsKIIjUv/mKnQ/dFU0jM
XtAoH/yCtp6+cKlD7iTWbZiWbpfvscxRBnDIim/n9tjkQ9bmB6sDMFKy1e17bajV5zeRRmzORdk3
JbdVQjVy+hkjPJUtw+JaCPYDiN2FJqllvQF4y9hGzakMPHrXAM1ZOFRA28yIfr4Vg9K5UJVL2zoE
WNGoTxAxTlQVZOWK/eaWg6jcGaWSPvZe7G0FGPD7GaO6tmb8tttQVAzfSsfzxw6cXr1QEsqovU2h
19ComhQendiIcvKtIUfzlQCpbC1KJjh8lHQ/MaOX6DdxAJmq+EV8S7tD8lEf69SeHplI4a0NUeim
SVqPvCs6uLaJbjyWpdi6eO6eG86iDTQWPbjKenLq/in66IEy3EIrhUarqN2vTgTKQ+6UAcXbJtFW
rmL/+5zSZgh+jyo/djCNfgPUSbumFKocIT6xyBBAv08yvYVJN8TfRFu7d17RDRtFba0nox3Np04q
5lNileM1Xyp7E1WRshrjWFlRVqR9EATFjD+TX4soF2tdinwNaGW4frvrDbltCKlc90afmQJCFHz4
6uRgSeQTVQEwVbQTqXVMxM2A0f3g0D5dCy9pdvnYGCA+co1KsWryEjveuG8pod0ErhbuUPvQcX2b
yxP5I3eeYrrsK1wSYHB5Xzu1CNZ0MEMs4UA6FpR80hu1SvKdTVPp2QuCbtsEqGrx/vMxVCeTxz/h
VUhrkopmXgrkO8/IQctRzrMmba5IonZKR7DjUTXu9DIQN46cJoLjLRzliF3GRxVZn0VyF/7LCW8P
9fbUu8rwSAJCcZIbvP7KpjWoe5ttTvugh/6sOT0tBVkOpOrUfLqdSGCGrAqqksOUO+lKh+cdLyCX
eWu+Td3OkygUFoFZ0/tuMqEt4T4XxxYR6qZlwWEPRC/4ALaxIWQFE4Vs7Q5DBLXbsdfKfYV8bIPS
XxnhxAjl+E/ChJt37JhNLMYZ+DeY8zWvZmOVROG9ybLdrqLZV85AbE1kjypdlnVeUpQ2vFj7/qaD
MonTxGDaQzr2XGqnQwy8XzFnuSCCkXWMMJwGN1I/mTrO3u7Nce02o8SxqVMlNcYOjVzu2R0hqh0i
vgW5YtOdatMJBeiTUTYO+C9HU6lAeHkUda/aRsFayN96CwELgApBgIFPNJ65jVVjIsY5sLc9Mefz
Fd040UBcskewA4BvKNNtnN/rQ0rgk4taYSojZcvZvpELwxr1l1GMbsK3obrHKIZONo2VA83y27Yc
nQXgAaK2EuWXS6zERjPFM6R/bZElY3DFZaSrTC1YOa2wlhsiIfp1QQV2GwS0jAX7kgO6P4kytFKd
NTvEiB61hVs7Gm91ypDLtLbzH45QflDuvxl0ogL1oYeIaGjVzo1gLjhTfOyLaFpKVwl9VqstN6Jb
okUnBQwJDy1w9xn2pST+eGb0EXcQrNx+dqYb9BpVt0FeY5XAjZyS6xWlZbKr0m2TFRt1QEnMtIhC
0P3keNpxhqi7MLp2O01J9BK2ZIymg4bKb2yHbj24U3FfYokB4ByqFTo6PTpEiV3eCgLpnpWQ7FK+
6vk3RJz04TsHcaiGQm6VuSWwz26c9jqJcRCpo9YnNMtCExBW5q3pyuk2CW15X+KuXCP+cWj9DzJf
2ZNtrwdH4pWXUbQFJZpsuiqlGqdm8T5MtJHeWkN+gpzyg4YJmZZOZnly1RehQfak2w5peqjFd7b3
2jdSV9wvmtc26lLqVnHXVQnkCL1o+9tgGotdM9JgIs2LnFgXNZSe50QipXAM5+AxniJpp9Z3MzKr
ftlhoL4xtSa5Exa5SC1uqG+2ZH+1GLRIvx5dr/mWZpGzT6H9PAWjM+ddYfd/VOcvpK3lhH1HbuQP
QrSHKHbNL1FeN0+iIU8EH2W/By7QHXplTH80ZoLKKNJ4uEXbBLedU+Y/8xqrekdQ8St91ELnFSmd
vZbq5pVsOIHbWIXoc3TC5Kxbm+16VBrzwRBOvkbao9HC6rroulDGX2nnuM964Qj0PJO7DMNs2qDT
JDGOcNMFe7yJLir5Ce2iBZCyskfJSpZkiZ+UXUaqCgRv2nPS3o+cKlCQG9Oi19xVWJfTqo7zo5LR
khYNBS1W+QU1W9LWPVrWqVY+SSMxVikkyBjBiEP0ucXOeFt4dn4s0ry4aqZM30mJeIP9fI40ioTw
tHRbxTfgMOY+xyVb+UUIFmKxHsew1truI4FbAvQCegZOMf2C7JfggUZIc8VHMbtlq5i8DppRPCRV
Wj2XbTk421Kx6E/HQRWn266YaSUQhgj1UxpxR6J8L5Zv7YlU2rDRWhif+05vf4W9S/ueyi4IS1cc
DHa2P0QJlYRwKmw1Sno9FV0G0tZQsm2D2hD/cFJcEeCAddWryuaaQmB4nbAZWiRmltRr17UqtH42
0lSJH5r3/ye+Y+zjfNO8RevoGIqDZtrDWGlvU3xUKxNf0eMga4MPl6OtNZEHd3VpFN8pg72Y5My9
IIi8n6C+mRuHlstKoduyTaqJlb0E5smrlt1DMO6bJdJQ+dVSszpfBjYKvqhVN1NHOixKRtNX3MLc
RpHtXOkpwKkFwVvOLoLP4sMqCr/TfaqRS6jFwjKUEL3J4Bw56vA9QZz8EuRQfMrQe4Le2B/UUtO3
/CkEVA5Vc2/G5k+HeGWicJsRQ1vQbboU3Rv3bUy+eN7UbzvpcMfwOm+rMBkk9RVuihE4T04Xmce4
KyR6CqCUuvSiRS/YU42R7W0sxdo2RqTfcgZ5ZEFOb4ZysvcV6tJF0zf2usxE8Fp46bTM6IlRJjSS
axs0GYmkkFIXumR3O9QkR4ZdL76KqQ7Z4SrUm/MGRO6Y3wWxYt86lUooa2Lr11rUGb+1EPd7kRDv
Kds43AdAGW6ENURXmZVa9+S5egIR8wR341siFBrWab3NWW7XXWmUq6kZ1LsgaG1oAhgKiiYttmNn
ZPcNK+6iHUS59rxO3QLDPIYtpKHBUe29ERbjtunlS+QJx0/CiC8WG8E9C6ni54bXXbGVc/Y9yQzX
dVil7H8L8bttyF1bZU353UD3/612mxYBUIjI/HvxhvnVyjY4uH2QrKiW9Ey2Wj+2ujKMSwVSoXcd
ZzLUl4WoqmFhEAppbSpBGXnpRhJlzSizo8g9gQJp9LZRPBt5KGEdUUD/Ggb0xerEVkVWBrHkU/+D
ENGclqWeL9lUcUiqEBMRLZns8tjTZgKHT4o50uvStbD92485YrqlGYD+YFeYrSh3/KhJ91mBTyK4
MuH7Sga73w72q8MRZEimK0uqd+yh5qxsykRK62o/TC/rD2ZhGWu7AravplA0wkDzO08Jfke2Yd1a
qqLf1YP3uxpM5THk1XsgaQSWtFUXFa1xOQSr2oUCoQir2Kre0K71uAJh24SApvAjXPAofayCkt8D
WxIGDqVQ3L/v669G7REMHlN/dSpiKLS8ewA+MPmhzenWcyjkf153PdeZwCiMtwbmjovX+P1woaxU
DT0Qw9WNdaz0assJYFhXoEoutFs+mGrmyr3hYf1kG07HRT2tLE/Tv0Vte2r7H/VbkX4M2p9QEWDK
AjLEL4HexXYn9TUK5hNlTz3u88s9V72Hs2k7tmngQf3QPXCMZsILAOTWCc07C/zflzKkTvr5KOdu
Ko9wrmGrND5P3bUmnpTWBD3/TzukA3yGungc4Jok5YXnd+6CTIQDgJYozWFSfP/8UnIjuzHr6SwR
tbpCO/dCDtrL55dzaYyT7k5sNbrN2yp9RNRQQuXWdPNLjrf54Z92PJh/BFgxFS3nw+TwEreXOiHv
JR+wL2Gr6nu9EFTLuz5+jhRaLUiU1Bmu0K1KA7UfBr5LrZ2Pr56BKZk6Ku+fx/llvg9/NFFNq0Q+
WJAHFmoAR5qisZfAG6qrTElQ/pSeWP3tfWU8ULEeiyle7NN3r2Jv5Y6YfgCUD6xS9ngHQM+5sJ58
nIsGPXRAddR3dISyJy+4F5LaCXm18sFitMu6JDoYT8EVCSaXPOVnRuIiXMsxbQ1fk3MyTbw6jqdx
dAufpQ3VklIfoKkeS5k8fn7bzjwmzTF1FcPc3CZ+I+D+8ZjsMk8NTzoFvHt1LbNXaOHLJBWz4Gr/
+Uj6x2YjWT5/DHXSt+Wgas/ODaxCnUf1TpjhAlzrP+RMLFmdmB5GKDZb2L+BXFVAnFaqRJNis29d
N5PerBNaQFu95ixNFgFVsNxE8GW5SblvDCC9YR9NX4KMzaBZCQOxKCVjNlfNOtNBue6djrSkvmgp
Y434dpectQl6Jfz6woWeZidBOKaVSXFf5QXQ8K6crM1AeRTDEy33tI6aJy8X6rXWuV9H245f86kF
IJJBQkdQ9U3idd84UF1pXNk7G19QbNGe0aoyRUz8kAfsjho7Quaffy17l/RFTpfEllfrGpH4oorh
ewUyMdBhQmVZyA5ckwKQfTmYhenT4OpXTYNHj3GSFed454rcEIsH7AXAD4to5YX9kmyAYQVWNfO4
W7rC5nGq1e/OLOz6fAacmWs6fn4UHHyz+O7P3dI/5lqQdxVt2JH7koCr6jTP2PHUB/LfJSJ5+MK9
//mAHzu/pDk5pmnh4IHgcdr5xZPQdX2ZF77nwvqn6ELmIMTXK9somy0Y/uYqov5yNHEtHj4f+czr
S1tbJcMOLc5H8QU5z50StbbAPTiOzx3cmhciALUjRvXk1+dDnblIurysRhx4+PdpD53mCJvOsRV+
3klKoxg6yDub4VBYTeSOjAfilmq6bOOi16ncfT74metkXwX/T0XzhpTgZKo7QDs5ewrh1wEpXRUZ
yOHs9Sb79N+M4P+n0f7jSOa8SJEGhqqFOJyTBZGDYB1iHM18LEdP40iUq05iJW+RYfz1NGW7gWAK
YRQyjA9+8bIuijbs2ozmYtuvJpvqi5Hc9L1lbzh9/vzbG2iqBhemayYEBjDj79+JMM5KYWYVl2Xl
ho+dVxQ0Eijs1pmRXiJafHwBGYytDVsDi67W6eerokEc2W3OlSnmMTKUJ+xpP5PBOCIIvLAHmd/l
91sQhkKfY3NprPlvbuw/3nX4efEoFLqx2BLXBgUTjxCDhZN1BE3Pbp5Mv7QbPT8i/B9kbPNLd/p5
MUvHxZBMVonW7VOvfC1G7WjItELta5Pk2+pXf//o2HjjKWfXwYgnM9KCtoL71kl9pW33Y9b5ppkC
I1QvDPNxw0hCA451wEYAJvRTZVXnqkMc80f78CBnQ7gwd+XAF/Hzi/m4ijCKBjSUlRkC26lJH4fM
APGPAAdpcKzluIemtP3tCJsokIauGgh6YywurJK6dmaWzAsH+nYLMsMp7wD+Gw6ACFWVZ+Fj7zOP
s7goU2TmHq26SdDJqsc5JhLDHCxgZ8L6IWrV2TZDFe4ymkkbsIjHabSqrwhxoQuUJZuDeVtQzSYE
tDH2g6cDecARaF349WcfzMxXpSOAZ+j0wdCXjDLKm5lPiUqsk5FkXmWg2PH5gzm37uF3Y83TPB35
48kCkZsVn5GwyHzRONmiKDpfTbWj6zSXdi3nHgVgY1SVgCc4w75fiIiSNERJnAhuqdKgmx1Eu8FW
h83nV3NuBbLZAoBf4FDOvXs/ygS2aAhbJUVBgKOlc/hMYQBEU19n39Hr//0umjMjMlE+GTMj6fSE
ivfd7lBdpJwdg5/zvZOxfZfL4Onzqzr38pCRaZPCjpANBMv7qxpq4KgTKU5+FlvubTpq1NkD6ycV
12IjQ8v90WcQdlCx1Bc+VefWPBSxJvtqJIMfDj3UT9TIMLvUD0P9phEKDgoCUJPHMpnuWa4vjHZu
wnPsIS8eDjCm0pMVFhgCOjKsy34Zluk2ty3nrtdxZX5+Mz/wWuAfqdxEonNN0u7RMLy/m16rD61F
3c132159jCO12EBdRZSSGF1Ggd7pHxLNJbitaLqbahTptZU5xjZyEXZNmNjoLsEh1Co85vgzaMq2
bXLpdKudvfNk4sxvJiyz042PDGrV6vOcr81gUitsqlet8Yol0pJ6FzvuExTYcumA2bzKBMmead+R
q+kVLxFt3cme3Zd9bu6oInkLm/T4hRdxHZ/fyDPvGo0ttqCOY8AWOP0gZg6/gSSowu/F9LOctGaj
liiqgowm9vj6+Vhnbof2JjS0ZsUqu+73z0yHPqGauKH9KdB+qhQcVrmlvhK8KnyHIApMWnZzYYdx
5qUDfq5hO+W0xUWeTJNOZuMgSXX3+8R6juIQGgete4qZcloYuDMfKtlXK1qynf/31wo3y5srUmwQ
T1dKE+JpLN268DmrXePxI0tEZnfIkoFYp+HjSNTB4vMRzz1JtmyUAXSCLVnKTu6uTcuhNomoVdSw
WhKpQWtSGM1dD/TAz20O0p+Pd+abwwWyh5rTb9gsntzaPJBmRLYTkbgdSeSZKfsVUd/VykAW978M
5eF+d4n4RHR38kEoySlocsERTfMKcWtlFW5Np7EPcatpF5avc3PU4IWafQiz5PlkjnboYsREZcCv
8/YI1eOXZVUkXPH84rC6czG1//XhiAUM04UOiAwd+ekLqA0U3PV6Ev40ZzqrTv9VtnJFcqF9YaAz
CzPaYjI7DSrP2Djm5/nHZruccOupAUfALLSewoEk9Kk6XpgSBn/GyYb+3Rgnc8JTwI6bJmOg6tUW
ZhyXexA11le9Jfg0yIhdi0MVa1QvS2hjSfhQ9NJBMUDDpnVlSvGvRRIlYto9JjhWxdA0gA24oWOj
kXtQwtGd7kEuFyMOraBUxTavUWhwuh2XaOGCXWQRgzqpA2ZFbaYZQX3Wvk4eudqq0OBpFHktt2pX
BYQBoR+7STKV3WExm8PTWN5EgxNtNVmPhJOj0+qMKP/SKbLz3dQ7xkVaL7nDRCxSKyJMCbWQj0Ip
XxT9VK6DNrJQDKb9VWEaRJzHJJB9fnvPzU2+4o7GPDFmSun7Jwj6BGquzdxEK/haDc2rG5U3pqGQ
mllgqu2L/+G1Y8/NZo/yPcr4k/GsaBRE/IzCb6porjld93q66xtxYfP6seQ3E09R+LM3oUznnQwD
cCQy5ODBFVfTu5KUc4RD7o8qfaAT9YWu9LK19JdQigtHptNUAipwb6RVx+aOcrg+3ZB5JRissreo
iRTj9BwBF1+40lTuULur2ZrGOWecysrhEaRdtcoESiGgFizkld7tLKS+VtIrO0NtlY3WmEQ2og5j
wpVbjB+0sbzku6V1HNQH9EAgacKV12gEc3XOtAq14J6IvHrpThZk8SYxU1yF2PMSfg/oh5IkQUe7
JaaAkJwBCx6OLv73fLKWUd0kawd2wWNlWJcexbk13QZAC+WWMoOhzY/qjzUiVmuLmEoQ7wDERrpL
i7FXt6nWdBdm1rm16I9xTjdGXdlB7wd75btWpi4F9YZlHkXrz1+Xcx9EG1offQX6bVBJ31+MWull
UYFt8mk6ESY+WxZV/alII4S19XjBdHZ2MOqVnFk83G2n215bshiJjHdFieyck+i0hfazQQaGoLKJ
L9y+cwuBTdmfrwWWvQ+b32wcDTtBSuHLRN4BRCO2JRifikz+InP9Lo/sC3dSOzcvHE5JHGDxUjmn
fZqpLjPuL/u0ZMigiUy6tncn2e90avGrwlAi3ywrHN+lZ3yN1SDyxxBlc1jEEM1DN914hTk+OPgC
0GgHIciqz5/02Z/HgkgZifqtd7owkn1WK2nENqevyl+GFz5GenefGTST/4dx/olpxr32YXNQd8oY
lYhyfE6iJdWc5lWMSr8qWnnhQ3pu2zqjbSmxzP/hnLyHRu8h40aA5TcIx6ManVsv7mRh7RNXu8mK
6phn3oVCxbkJ/MeQpxvWZDIzhDpq7iv9sA3b4pdnZihc7b0sugtnDuPc/J1B3NSiwW1TS3r/Zja9
S3rY4OQsM/r40kTlb5iABElkmrukfBsuZz7AMmdFXsfVLDhWtFmeJVH+gDZ6MimqPAUVVKtWR7aM
tQWzQdTIe8JKwP8KEurICHM3g9O7j67FqgnQqkY1odTDakrn0mah/1Z7HU07PIShVF+Sor3Gk1iu
G7Z8sdsRlT0a8Zp8Mv2+RHnJx163Lsymc3fBm526lDiYt6cN2CwrCWVFpOxP5bSbmklbNKr5hHn8
QM2ULJmxvzDguUc82zNwDDoUW09ve5lo4VixGfLjCuZAV7ay3LzRCYwQuM6inoWpn78wZy6R7/rs
NobDzs795Ezi2aMLcsTIfCiN5jqSo/1FROzQxqSonxI4zT46pO+fj/mm1zjZhKK90bmpvKIcbU9m
V6iMGZ3ZLPftfPKWUd/a92akdUthjNYhKrLsEQYb7AMTydabTtmNwD/k7QQQCy3RVunB+V249dqZ
IiaqBKo+86rtfDj7hoM1lYT7sXRMAXo2IzQ3qNKMTR3Iegtz2VgwU5BPWWAQQxmR6VanyK/NSyhi
48xaOfvCkWPAzKbRpr9/91SkEXbexDm+5QSMypu4OTZAXyCwFNaBx+XsmgRJIj4LKGUZRWRNIVSN
xPGou+2NXt2MYwBu4o0v30zqM9ticpN7phS2CUJgBs/aosv9NaLIZMnu1qadRGsEg+ZKKqLxI7ty
1kPUOis3POhFatynhhhueG1xohAuNz1FbuvtM9X5pgIFu3AwP3f9dMDwoDtzh/60cES5LcnqxuD6
s3S4B1OKIM0e4qdYU6LN5zPx3FCoL9Ea4Ebns3GyAaHpBI98/iwBIY3IuHZnS89QpnsvysKnz8d6
e26ns36u/hqcXvkMnh7/hWJnbZ/HHA46YDyLhoYxjo/J1LZBWXQwVjPtoJFhftsMen+t60p4pzcK
3BIjK7elAOfy9oP+P77hAr4BDdJsxv6/KIGP+Ib4B4WmV/EnweHff+i/MRX6f3gvIVFrSP4cql68
o/+NqVD/Q91TwxPswUm3TJudwX8RDu5/KMTw6CESUu96o5n/G1Nhav/BTkZ7iBMP/vQZ/PAXCIfT
siZ8CGznJjtrZhrBCaevUDVAmq2yWjuI0uwaMIeATAdfWgT4QIwR7H+LaERsnKSa0j/EA80oiEAR
0KnaK61XPH1C11Z4NA28ChZhrvSB6W+aySHUZ6qtF4iUEF5RszT+cadv/3kd/gxhOPkCQu+bVXfz
x9blpfwgE3PrFqqonOQBPdPwVYuEsrT6xLsaO0e9RhpOfvznA8I4Zz39472c4fIq3z8TCIE7w/NP
FgElznBGEadGoKZ3BcMHy0XWUU3bUigJKxUrs1L5mlTLbx6VumpYtmbnmD4ZvF2wsUJE6jvw6bN7
q6ORjlMvaKet3uCVckXsGOuCEI5b6vvaMdMRHm3NQBQHtJ00+EMAR91CSwNpLyoJ83lJ+qhIN2Ev
uNeK3Q1fgZC6GGQm6xUzWVFDInQZyouCLlxLJ0jyVW9BGkABo9Tu0uaJVMu8qdt2w5Z7BKwb60ep
GUyC3sgsXJl5vB0pfqIuaLBJSZec6aUTxqTLssUjLkebf7kamRninSjUj5qGs3kROzXXhkS7+qZE
GDRDu+dnDPiXB7y/evlN73o0xTZIs+hmiHJ+EeEZxm4EhDs8yGrW1C8qRdeOehJpNV8VqqTX1GIc
BXDqaJfPOrG20b6RNfMvhMS1VHTksV8nKfQjoiN9eILcA9nZ0BvuXFyjuVmMTTEUO1m6eb7sUHRN
yLgVhs7Kjv+3bLGvrzE0CqK4pgr6kYLEN7oFr1kTyoyNK8LNY3D9SKWsV0DLwWM72t5j14KeXHg9
gMZVRauJ0y9/tFpX3CT4wjwF22ya+jnqQXT75gT/as19NNqlFc/4oRg4ck9HrKmm+3EqeKzdrHY7
sPvNov00PxJnvjke4nueH9r1g1cpo7aKs0YhpBS5y5cIrvKd4qoRduyBl5f9CBaDCu8ybTZIfxkG
TI1fKakqO6uCfJK1GTjhKoN3iq+nH8aj3egNgWseDvU8wU2FE7MtXsOksb6MY2g/Kp2jXfddmd1i
kSOjuzdjjI2Z6S5jXTivIky7p9IAnLjRJqZs1MOa6vqucZdRQtNkSVAjzjp9sK1hDTTEe1QogDV3
Ohx6e2V1DtMGFTu3t49zW95AP7TYTlmhQihY3mL3wWJjurAJyN82FdCh+cCzi43S7H+PydiW3/jL
PPlNfWX4GueqdkxstiDLImSO1OCw2mVUeNpx1OcnT4JXZS+UoOfZpmT65esJO/037gwvF5AtXsq0
LPpgU6uAe58BVg9fcQHwIiiTww2OdQ6O2xQ9/8HSp4hUy6GWftglRbpJAn0g1dKqsGkTRXhl4BYn
UKtoGQXEHinHGm+btx6GhPsCXwf6E+jM4gCCSpfHdJoU5REgwVRdNQS3ytuRnLtgk40Gy+9Eepj3
EJtqnn4NukT6Q67IaknwhLGboJB1i2nMuZcSK2QMs62P6TN5ITeiVHPpB5mbDRuTVQWfVUUVb/k2
kdNB4cHhU+U9trv5pWikyZ8y9AZrKAmQ+jFuFQ30l+ZG9vOQua1+kwQeC4UbaqS8O0avgZx2E9ic
M4sO8HaYDJghQ5m8SE32IQTVNmx+GqQ9pk+SFUIDaxBMlrwpciEIQxtChYRPJ8M6udZTjo0LZBjJ
vq7AP1NDk9p1AstzeHLboEp/WY7QdeKPxyrE16h2un6T8/2ZqoXeYpTaBUIHt0fv3FbVXaQbk1yg
M4IroFCyfomHidp1HLrXgp3ls9W1wey5vHfoffRLoOntw1iMyhozMdD1oqyXRhtGOyPzgpUxGyUW
ecyhkhLGCBvDyS0fb709l4oTYGlPYWS29cYsLVski6IcQXVnMHTL0lUfa3CzSyNXXxTRwR6DQr4g
mwyXYtQPro9BKfye1YHzawiBs8DoEjcI8q/aXlbjOiVT4A51e/hiGZ1Y53ykVgW+wK/gFsWLZkb5
RhdqGCCayAHyQJi79UJcoU6ZYleEqpB9icswe9CTmoxQtW6A/DVIx7uBGjw2SoxlfXnTZVN+ZZld
u26JPb5jWS9fEq+N7jszu+0ddUi2ssIuU424GtSkENsOvOZ9WNvZAw3OOtzIRogrJBwaXNtqAu7p
pRs0w/D/UYthqXQclr3OKI58dMpnYeVltEqmWmzcWC2eItueby2uBjBPFvHlNl3N69IeDMiTHSHS
uId+xxJ8XtaSRqjP/W84Evo1DkPHXEUQZfFlkX4qVjN38VDVebF1s2pE5ZoZxW62Pm5CS7tLgqLc
qhxdVrg0yucklWXPV6qzd2IMtG495k57XTVmcO+Vkb1ViKLHMkNlA7nl5HJusu1rJWqqAwv26FMw
HMmd0jwO/2kP7F3iONTNdlm1Y+JHoraPXdxNP1U1Sw6e600HKaR3CZR0UmpifzJHiVBmgl9E2/50
Mzfmodl4sjH3EmQAobLKjCdk2rLOiWHmzM2gMWOp5B1/rSoJL+nnW6STGgE/gNYz/yKfmK4b9Yn3
B9KqyA0XJAie9KaUfioC2rO9wVfQVCSndLUrDhDb5YVR523X+20Zyj2OZQhMYDchjHg/qhlMkRP1
lrevMpbxmAZjtSwbnU3O51d3cgZ8u7o5cIf9OneX/vb7cQiBsdvaC4O9mc5bHEeVfDTEUH6zhoAV
6+8Ho44E/pEdOof7k1upsYgoIbvQvZv1BNcXkbmbI8eWStx668+H+riTJvXO5b4xeyhonCotKyj3
JbwAjFLQV6/FHN5pUbVcYnkqDvVcVvvr8Yi7Qb6Cn9FGGXxS1EHKwbqR5RYO6Ch4/OcbSIIHnyxL
1GyH6hgQ1oXb+XGOuBauGYqwMyLpg32mECa4miy1920bz3YPxdgNWn9J33Z2FGoRHoIqS+dk8n6G
ZIHei4Bksj1IZ/wrsSAG1b1Y+zs3CgdKF02shzD29C2zG1DilsK1eFXtruzYyZZouP6HpwRvkOgc
l9MOx82Tp5RWeRXjwbb2eiBjCAxIHeAc9SDexqDRrpty6KYLR7qPywdrOksIl0XHnmHf3z444sHY
Z7a5J5DYftZaoD+T2rEVaekwrQXgZR3mx8Ti9fmE/PhiU9jxaEBztVR4Ti8VvWAM8R9LftrycgUF
y1Rjg1SdEtu90Kk8c4lMDmpV7MEpaJ6uVQ5mI4bK9f2AbXiJ7rc4THVTfstMJkw6n+CGedb8/fXR
03Hp56M5+6A57lSgsBEEx31mAwgTuWnsMtWNthx0Lr5op2ouVkmP6gSVcJMUvRnB9v4hFtH/Ye9M
luNGkm79RChDYMY250wmR1GUyA2MokTMQATmwNP/H6jqeyWqTLLqdW+6q0oiMwEEItyPnyFoApPX
+TQ3bRisMlG6sASI+bgj0KO5qrOC+PRIUyZPI3XdSK3VXg1qmKKdY7QOzUXtPmMS0H5lWmJTdc5V
kdwEuSf/RG/7dd9jumczZGI39wBolvfshwlplbpjqo2IFV6Sc09QZCofFxfddgUzkaWWhZT1v38S
b4aVP59VCzWRuhK5GVqp9ySmuAAviThiTkZgUOtOgU3/gISvI4JacGLhU7ys9ywVV6ov1OMwYLex
sdNwulOtpQo0vv28JDSM6b4jGTzZ/P4L/tM9Yad8E5Px7N7PFUxF9jk+s+6pnAOKbtPNnkRs2CfY
6RWB9Mr8E4zzy7vn4R3K2wCUwxKFOf7zQ1CkMlD0432AZS1yfTOLs5VWFct0knTjv7+6f/owcCM4
/jCefxVRBjMOmrHCOmWCNHOTVRiSmG1Al+Oaki7p9x/2yzbNlYFOO2IhrLGdvStLytwQso1MjfON
S2MZp0S9kVuQ0CX+/oPes6otqFSYGXN2u1wctKp3Cxlvn3TypD9ygDdJe2PSw/VrI2g7eBeMr9sL
mQ0gIU7sBOdkxH+ejgRXoJUqlmOwVtNdkubgBMZIs7RuxSwfZ79pDqbhAWWBetk7E3UC7bnCEnz/
ZsjVVXVYl/92I37j7sKe4lyDZ/m+EklxGpE+LvQna9bBZkRSdVESsbWPTfxlf3/TflnofBRrwEGg
BqT3C6mvi02rG6akOTWIUI8krHP9UN7CLcT4+mJxifoTfricXj+8+kj62A+xpeR/iTv45SlVc4lt
SeM6Jw8K6TdonMOpcaLw4Q0Q8XwkvXjCFoQjTJP1hwPAer9EiENeVDuezScvUbzuwvb6Ya9ziqhL
CRshrEmAJM0bMws8mFoaNTHh30zdgy+eyHNnM9StaK/CuOYNtJs4PVidrqIV4nJ9Z/YlKOKcL3iN
QkNIXd83/DNhi7hblV6b7WHxpTc+rsAVvwmPvEOI70kGcImj2q2btfMDk0KOO4PDYK+7BhOegSCK
dmV5LUSvcQIaa6Mc3C8HOIpWqRriZbgEXekSsXnebEgHKG9H0IarxusMIkhS7wblhzHvsekginPo
qhnunbJMPC0yE3cK3+3xLCQO4tzlmJITrAyBblMzP6WBntMTdgpi7QyFi4NeLwiWqla9QrcL9m0O
Y/1sz1lV884gRprXvRSF+EqqXQ4obmS8L+EkFzBUx3lyM+iJf/YJRaiPHg46zAMb/HkOsNJpSiqF
fHo7K//v4hO/fJCXsFjqGiV515KqcPUraDlxFjkJCDTuGjpVfkTZON1JPJCSGwhiBT4ZsRq629Zu
eSCWRD+5rUUp87t6Njkvmr4TagdParrLkT6dY8+r8ztfivYrvmJcxWhn7vzN9qreuWyUWKCoEbuH
1WQS1brj0t1nd+TrfpCCiM1tbmXOeeBuDiAaPdhcijf9tPOk5uPBQUCuujkBCA9KTVjTYEf8RnKK
I/FlHu3qqKasNz5MuMPNa5XPnFpEojhAOElht9Z1NQ5udydSvGU2OcsluaFdxOVcaH8kiMpIneMw
NIQFbvpuMNazrCReK9bCDJxjVlBF3oO3svwx9c8OiU/jMcFDk3S2SQzpVd0UYFoBCrl5PzGFtVbY
7IAyxqQfNPeicptij1kkC4x5Nj4VRtpwNrzVAWD2rL45xv6YUWcNbkYiq60v0PdP6N5xxZlew26O
boKZqI7vEJxb9HwZO5nEvZNZ7nMaJUm0bXG8lIfvr5VnsbfgQWYfR9/OgucKGjOePLis3Av8cdID
aC/YvNU5bOMNcRftXgUejVFSuNxXq10wcztr+y86rcdhN6Xg8N9HMwh+nyPXXgqJ2KG2C2rfeS5F
tiCxDfD8SkJlPkw48M3rt+PP93pAxgTsyj+7uALOK3KYp4ycidxsL8ow5jUtpcGkodAON9aJBgLd
stCK09u2UnwRYYKdYJhptXiACDU99ZNvGwNAj5vnd0GNZuHSnQpx72VZ5Sxumqn+FhhMMrZZoCzn
VgsJCpxoamM0vGL0S85jxgDEmCSgBawVh2lOzhvc2f4nCvMcU12XhF1prwpCBYxsFUVzCTZvFC5p
Mk0LWo+L80gYSlPNAYhA5pCKYZo47eDERUofANncD9n4/cT/35z0T3NSqP40Or+Zkz4Tc/Rcff1p
Tvr9h/6ek/ruX5gYLQJaTka6MJPz+j9O9+FftBT4MyBhXPRQFHV/j0nt8C+aeWqs0Fkojj863dv+
X3CuoKEiSnF8WEP2vxmTvisW+HikRIuZNMR16JTvp/+ViXtxmeQYxMfCnUl6dqozulf9sRQTfnKx
+ye7+He14/KBwGgBzB6++a/KG+Lxks6YPX1gTtDcmsaAEeJS8v/wEP5hhLpQz36sSPgU5haAhQ4V
P5T1d7V3h6Jx4EWbDrrDGm60JnWb182AVasjt6YxFivRIgVwVGbctXT+H3//8W74nkmD1Szx1TRC
VP9c8/tuuO81qSDa7w514TGamNDz7wo/wTcW2Og8WZRnE5ZG1CnEeYuVJExwCetjhLpuGZt/IO9Q
xKuaVDLIxQmTh1jg3xbMY75j1MPfxSqPHdMuDGYjk8RJFdvVliwQ/Ik4Z5FS37EBE3iJd9shcTCM
jXxPkUzoqs9Yr+r9kpLLphkLTTGg4ICsEKbMB1Oxu4OlyquGpLd7fKGxn7Qx1h69Vj4zY0xNTLEG
/ZrQTu2Gqhgeir7S+zabqnMk8HdmFwzEeqyt6pxEJjKhVMtHEZv84Dil4bkl1mSLcC+6CwfCWzdD
K836yK2iJ4oFtIJ1RDdl7y0yigkt8VuMvvHyu6ebJkRkqpNrFxsrZhIhZhx005iR+WlzWxeDDYyz
OFplnU9umIeDAoOVFMJ2OTLeSBtAEEvdEksUnbAumPaeEsVRYcewZTY8PGTkjT2obPY+8HSs7QwP
d1tZ5Jr23qReNOfROvZhaKVjpT/idF4/9ubMk1HwUg7e4kXuj+S32F0Vnj1OpINSiX4de6k/mg0/
os2m/eThZnWOptg5YnAo7pmpQjHrxuo81XV4LkuYaJswU062ckqszlZePzN9h4W3bSWYM8NWa1sr
K7+TXoI1GGnAeEbXzYsT8a9xDhC0jjGRjg9kLNKTOb16mVpe58Do9N5L++JYBzxc7VNnTD2Ixaa1
SQTYml5bHCUOnjC8yUn1yWjcGyLK72KsTsikTNSVQ1tD9Gs8fMtNTfgyozg0BqbJpiFqZk9qeEAW
Nl+GauBX2YneyxKOj5i44nA05FWULy+7odxrIzYHrG+4Fs/JwlUXghgNeK+VqyGphm+EwOu9Ti3n
OnZ4EhEmGyunknpTkpJWkuPSc19zUpb8InTXE0ZVZJJOJCXhQxdFd54ZqRdEuvNlNSb6owXhaE+A
KI6Njcp3RE52X83ME/fg6VQei/GdMLi3bcxzzPrlVi9LtKiI7tINVz9jCgfTY+ZJOB6GW45g/TfI
+B+L2I9ORZs/jkbbk5fdlNdx8Eq+HOVkapReApG4tI5J6z7hzKw+Wzh8PQAA8QeWkad7CwvJjeMU
T4ytByIyfUnkvMuiXJJ/poQHhftst4uUI68lObjXYTe61z1jnPsqbeVj73r1Ew5/rFYfL+HGiuon
G9utiwzz6g9TsOTcGhnxQkFFtR8H2KWuU1sb2FeF+ebt4oKEl6CtW+Nu0rLqAOmy+RI1S/tJQle+
03UniP6FerkWnWD8UWTl2hvN9NDVFh3HFE1g6lPavEC+NnlMZd77S1az+kw7Fp6xV4b+4Vm2uuo8
XHCtT4hURO49DnU1di9p0zuPKfZ1eXwY7LlysKOZjWqLIcnYX2o1gmGNsd07dxjYYmXqTPqjwEF5
zcACsE24EwwNNXs71qFLMiDiJUJ2p46tqa+u+po4XGwUw5Nj5Ded2Rq3NWid4fZXTinLHUZ77u1M
NhgoHhGnjRsTlRpdkQtIujJaiEPMEPxYWvnHFoHntl+yfntHf0kDgreZJH7NE6s8GlX8onsnOSYz
urlK9PJcl8O4LdxhouNjOiwoeuG5tBcwkph4Aw5ibZyHG6EbTOR9N0bsHadXzkzONNGhg143eK56
WXAycqlgRCgaPxlG6gjKhJuTMRH7aMYu49oc7UZZFK+xnIloRmtBRG3r6HXoVHe68tOtVRrhRYbV
+SVSphF7P15Y/HHFRarx8+rDID7OyI/WlhjMo0lS7aH0cWGVnR1s69Gw1tIOeC2rxQ/exNDFMkrz
YnTT8NDH4gND/nAHFNGeRRXaxdbi3r+0chy9tQt9F4eXmWcIQbMbDvie+jtPjOSSR8QOtgRSVpbZ
43UTCibhoYeZauSpjY7aF7se+33sxpx5HODBDtvNYZVYGOBklafuwAHESnR5u8PdAnZIklMqh8H0
FLgDRjh2Pl1U0+LDVuT5I5Zutb/2Jk/vycSm/0T5G2xCN0CFT8lPhWijmRMW6Zw0gP4RPYZlQvyK
FM7RubTaleS9unSKVl4QH45JuGVaR+YS7cZOEt6qdkt+mFpVENNh4wj3JL1m+kh7mK2bxegZsd5h
LDb2YNTknXrzsyxMF1VCOd/LTNZ4F7fhYZrd8Fj2kb5Jc3veDFGvTnkpnbVnFVjjeTl9xxjn29ax
nVu/RYpTR4s6O26wjTVlsFPGgBZtSWYfXVtvnNDOPvtejKewqcedE2ksLMPB2Cks3zEUKm8LYXCW
k6RxTFObKTQOM5vYiMMHIgnEvkhZ8Z5dJ8cAAHsLVcO5BBdj2p2Pxl3ZTcGVULM+6aDBD9RxQ0zh
ldeU3+CLXWHT5p/DCX+wtTOOJJsW+GtgZpDkl7KdxVGiSlPrNPGai2KO7Mc+87Wz8t0RGyNrLNqL
BMwhWGciM79JbBeLjYN/wwS2Yw7HWalwLeGHAMkU7uNY9Cm58HmanZ0ubl9KO/PMS9E6A0pFUYnY
fcQ40SRiJ2/xG4VYkK2MibbPT9zhS52Jet0V41IXSHULXF1sPKx86i1m5umFMS3+Rti4Zj7Lr0yO
+Iw1Z6ZTtYMTEQKLFZh+iptrELXrjJnStbai9DAnlfxiSSLgiNLW+fJsyDdbSqQsszmH0J+T7dDC
JrDIjA8qCUhOVrZEUwbVeGfmLQcOLkn6Fb4xqXpg+XcSdRbvQE6Z4EemjDaxu6SqJWlJFrF0r2e8
uu+MWoJrDqmd7Po8zfFjRTG3LinyoHl5k/wyyR4VYIIoHYdkTmfso9Tpe/GlUphpOOu2XyVpJxDu
3ITrE+XCup+0traUod6HKVeUZUvBiAv44OSbLLGKIzTM6lxgk31wzHbclPXIZtwsiHcpSQfeJG7L
4R6WtXFXxWH/kFp2fB2XVBqV68mreH77FqH6bBuLB3yk1LIpz6V+7QhaWaWhT3kSKiVu2Aarr7b0
YAsbMT6SLWXiyYsXtlHZ8HUWg+59Ioz+IUnJ7lsJZQQVUbKN3selpy/MIeP6+2HcxIt5Zk2x9Ygf
T7lu9VL+4rL46HdTgXc7l7AQzu6DctKvgZbpfpqjeltlMDhEOmL/r90IfItuvSBlKFR/UIUjQPil
i/GxKFh8WbDiX8SNP0Obbm9gOaMx8ZtwKF1rP5XZVpWh3tV6YlWkOAeFie2/DpYeDmlgxzvw8WdM
xD5hIG8jhuSYMtwx3vQ4R10OjeU8DhL353S28wvTLO0nCy+SCatDWQ0XGC0HJHyKfGNCktqlsGH3
JY/wEIckgpgiwdkUWtbdVJThmYObdNQJxAh99bhpFP5C9fJkoYYYd0PceB8MAvleyyA2SX6qHMdY
2S1rm+gm6o2xLo59z8IhwJFaiSaFejDO+Uuz4/PoG0ITMGJdaqSpmtVtha8QzxIv2I1DiMTnkPjP
lWOmiCaIGt1aUySvciTg56wntXUQtHoY/w8P8WyQMgzroXhq7J7BclfM/nBWEcytTyNUKbaCtoO6
B8RpgoDCC8Nk2M56fLVJn2Fqt+GCKuuhjkgVaZWNn7XvzUV8zDlKNtG8/IeIQiramC1ionWUYkgy
4NsQWBfM6Fosbu1JsgtSSzVmklVEoidccVyF9XZi8RPUMVFC+SBXRMBRXNHGmAe6HpZ24LSfGBuR
ml0Jd926BshhGUo8ZZYRa5A48ovO+nzXpF267wdONRPW34HMGgq5pPL6hy4tnvyGun2ehHwMxsJO
N41OB4p57l2YAxCf5pmbz8tu3GE+bB8FL+xtbi80afxGqnXgdsWxI8z9edLkcDqM5qizICbBvOF5
2l3QLGzS4KyVCco80mx5RdV+qkpqyAnL5aM5dfVTt9TUVQL5Iim7YVw7czERYlyMPczKuDwSF0C1
WPn2ijPLvy3tpn8wRW9t4TjWz27LpB6DSH0hBV3LBvSLN6+rRfvJymjklSrkVeen+AVHzlQ/d1EV
bOygoyKNHAfX19qdeUdaEtQFTt38YWfO6uWN4xKUc7EiQKNduakzH9B5qpOSCjSE6TmpN+GydSUl
qSOu9mm8S0t9xqonOIuR9pZEm/AMVNucUu1XZy/mxqGJ0/vKtNx1HVTDA3Nl2qpRp4CxdN4o6eRV
mdOX+yntCaK5+TXgLZ23acAAIffKm2Hy5Zeu72hzTDe+FhXEVcZFKCgdfmllLAXL8q0nJwQ8CDA4
aNY1urSztsfiKJZXdaKT5SDJxw3h6PLJVRO5WE2Z4TmNpmwLFYaOdGkaUpDxapNMjro1q4YnU2cc
AW97oKxikHN6bH2R43pAxnwz0k/b+CgDaHF1ha8vwJD15TSAarwtQ2ui9WV5E5Ez9ZCvnZhO0261
un3rtCub5YNXYrH2iDpYqZLug3SD9FA4HGQFOrxzH3kIiJe2zIgNbgO2Qf4aoGdh2AGgzClRL7mk
ER+T5LUJZn0587pV60nHHALjkjEVxKAGppzyOyWR6JN9nIdLJpCL0wqZHqonBiGpOh5xPJrFcSL6
ZoWulJFHPPMKIvoF+og8Bthxbrpr2ZMzHmYsQdJWxLitCDVaE5nnEndBzgsHjYlqwEP0hyYJJGZ2
sBifbQeAwu1G9UKmn7UlHUF/rPBnX0VWUxyNpanFcZFtjU6K4OWlQ14SuFdBS+bQmvENv6m0aLLV
zBZnCz7+rW/2iVW5nHIws2rhTkGF+2aa81Km+AaPryg5pFSLAcD3pZkCGUlmQMeqFtGdKYrqLGsr
32ChFpyDrlWfawF2Qbo2WAb2MtV5xPLsenCocNex2bG5G1AW8FSsn6YYsltjqvA8+uyz9ZhwCxNX
NS8mYVd4T+e9wM+xpIX2KIs6InzPy3pWzbINY6zXXhRtARIUpj61Rt7w47Bt9UW6SAOSBW0cVbac
AhTGTyJgSThz337tFTm/iYjia7+XtOvNsn5w2D9QYgICeVxOtKAOb2VFEIJMEUmQ35XjQPfucEx6
vrDu384G0QG9wb9Jrn22fPp9wKvBcJ1rPzZcjooxDM4q5A4rnVv3Y0OcbVgSxuPVVCAObcg68TJx
Lz0bqm3PgwwB5o66MKszYWjV2bUoHpjv1duEeumxxZRD7pq5pigaBbuZEw8PeqQ8kTm4iFkXMPtL
eDER+9jnug0YlXkFKdAI4NZvUMzQARYF5JCc4ioZCUMGyGjZTeSa8hKZBKm7O1VP5G92FJnlwnHr
bBv0qS54KTTMxKfCMgAGR7A6O40o0ToKFnsZuzCalFsOexbP2zY7+dwNOnZ90dRO/IluSsuVtsql
jmsnuv/Gnm4amuWP0qdaMuaRVnFoB26myfaWDLxHeWhzanmDpLa2WWuGGd1NIziFVUxleqwcV51G
WQDeLFsls39r2+R2fj0H2NwXXuqCNhBCZauQ8yGhVeWdbEAFMQ3Tl5DHxL2t/P6bX0XTvuOrryqV
8+KmIcUf4dTyC5kmlByqnYtjVvGSwfVKrkmieoJxwl17G+laQcKrMuTcg64wqUKHUX2mKsmcVT+R
Jb2CAh9St/RuiuLGZJMdyax/qOuIqage9GboeeA6wN8tt4Ay3/717cXUZcYRY4i+eXFHzlTJoXKs
5g5SkGXoXZlk6b4ea17o1FGn2HfZZNDCxdeY/iEBnt10vpTeTCU8+pokw/y1d+ba28IY4voWgM5v
5ZNDFNvd+Ea0mhSlsLTmfk8DxxWPR7/IMEAPnMe5iZPNvCDgHY3stndJc17ldR+cuqj7kw+HeM8C
WCBvrCYxC8Uq1v8lYbSv7boksbk7OCng8Jr5u3vte521jTuynLTD1paEFN8QFKYbP8bBNGtdgjso
DuKoonepbHVq7UFfVKNUn3tY0NdDak0f2RLmPxBLfpHfLl92sTXHPgdO4y/JpAghc38w7PZgpLa5
Glry6LWkFzNFllwbPY0JaAWFqBhoiuDLU1oBZZxyap7nTAKtvj3s308N3qYSP08tbBfbAqwSsE1w
frFniLHht8I0bg9laSsWGpH3eMz36jyPxrBvmj5BjlTMW41mk0KnB2TLJE/XT5ZODvO0u2xkUeFO
zG4QufVXmRb+beDFhAd0BBtGRlOrlercPxqd/dqpCGKSl6fvY7UEWPJzp9JYYV7HsdEdYsNSpwhV
/oLcUz2qTDUkrS2TCBsK4MCe+NRqTpGKIXzE1Nv9e/byv1Hln0aVAvPOHxbcr5LOusLq4fmnSeX3
n/l7UonF2l9waDwoows/O1yoNH9PKpH6McVkqoZoU0Dzs3jA/1F0hn/hDs0fwXJDmUH67f8P5Xb+
sqFBh3SxJpReJnH/ZlRJwsrP/TAUT1w9F08hG0o8rM93bDA51zkIuua0kTIU68Iogf1gdrmAjV6u
Dz76M+Kx8phNdtFQXTIdMtZFGidf24gMo5VPW8m5aSZqAq1VJVhx63svM+t3yyG8BGmWUp9rlTfF
p3R21LluZ/NrZscTPX+Pq/7KRG+zDCKGwd6TAlJ/9LvOt46tCofhNNlpM1420qu2CTSSirOTjPpc
e+Be0E3Woo+6lauNs9mDJzDvCwD/smq2Nko3T0NvoRGyEuqMYSKWUGeB+AbXrydZd5Hih0GUMA0Z
KzdZO16SXuKFMRKA1/sHAzuu41CXmVw1aTXdDsrYW1lvbWorBAyY8BQ0iGZclzEBYiut5+zT5LYS
/Q/ZIz1qriQU0CeyWTRCbJj8Rd2mr4tsYqOzG5cAn2rpxzFvadezEeXYQPDkucvm3Iub1ErdE1Vp
ewP0m3kXo/DdF+4IbUMbZlFzj03gfER7RTDrhd/EU77NGoaezggktW8CmYAcT9Z4yfkL7ligetdC
mNXOm0ksY5joJElnH7AAJGsSTD2XQ+9fzKSiNOEMeoq93bQF3+uzZFhhTMD05CjKXIQDEZVY3HmQ
IwS8yTe2ke9LjksXKAQz1Lu2RchZAFVPX0PiZLPXMBPtK9YB1mhfWRVOQ8inykjsvC5daGEQkvzP
EszRoXchXwVIljDFqofn5Td5hCVCQdRv6oSVvW2K/FaIutmaKTFrBL6M1y3muiszTTOW5ZTXGy1z
fETg8Z2CLK/Bkc15B5CX73PmnCKV013n9Q5Ag1FYmzRskopEsS4+BUHnO2usnDLAASLQkOmYA+7w
mEcccSRpdjPO58+1JYsXi6hom7QwKvJVo+Zk1QVRUKxiWhUbB9pQcOZ248qx4+KUlWkmDk7VPyWZ
M3TruXbcm8Uk0F3Vjozxt3LMizhzyl05ucZ+sAkj8/m4ywIf8r2YxXRbMTDCZyEPMmKyIn9VqmDs
V4Rw5xeWiNW4WHcPG0jP1XGgub1KuyizVsCuzhnm23yqotlcYa6qN3mfPPMds11A/bXri/jKS1ri
uXrHO6OFQHo65dFT0iQhhmnzsJeZ7Wxz0u5OvfDlRxh5V4xD3NtlZV9HojU3vmkTdqbE5QzevOIo
6kgTJb0mSKVFpqYtzdca+8fr2s3jz7FM0TIpB/nbkBeHtvAohVMv3mfZkO/RQuAVp2T71RphG4L4
hx9ix8DDxQ6sM8XFw2yZ15WdKQKyI++cz4N7lqkyyE1qx0+uondaZQRVnafUth6Z2RF20iOUjfEO
Nu07D9iJWKfWfjX8ALCn427s8pnAxL4rXuAbh+smjShLjF6rcJUPnvNB2iOhypY/1C9OoON7N3PI
Dqrpsr50JZ7mVdi2/A5pHJFLotZD8r2iFS6Oo+nVp3xSYEpZljFvhbtnV3FwmFwc8UbAwWDFEDzb
dW5MLqbfd+mFCJP+nl4qXxfcn/sWhgXLur4LLM20N0GynkfhwaDiJDaViv0UNAZoCpVB8JU8tuQm
LIL0MER19dVPzZA0PXgNhIHCV9nq2mGSYgrQyOyuK5vgqBFBbnJW9wcBxF2uxKitQ9jb0Xrs5o+B
SRSmntzYX/m+Sq8yuOhkppn2E5l8mOQkvbGZRuFkG7RA7qMbjCHcPjnf1VOYrh2/GT/lCdY7rp3V
l1YhcSsf/OmFKcGwHSy7e42ZeaxzeAeE/CUtzEzL/mxBe72eRRpeD8CXN5oYoJ0o4u7Gahp5gdGd
+cEXzZyvW4Vz966u23hLdJD5DF+v2ThkFtzR6dbdWo+JjZq4N1bkysWvBCibh2qo/EdU3rOBa3sT
bme2nHXS6cFb0bqOm6pm5w9GUuz8YPAuLTXHRCgb9s6JhfUxVqEkv8lNTnXYyBtFPtWmQxLBnQ0T
/Y3Muu4DRoQqWysrggFgahLcE7EkgE3ohwVF73Emg7hfw2T8BufD3oqpDoErrPoSN9hsDQLVnBFE
j7cFEZH4n4SXCrlguvI1kc00l0Z+mZhCbYSlsqeiHei+caO69GWgP5ijIMbagMBw5zAkOgxBNx3r
KUodZlrOkrGXmtfNIPNPZVirT2A7zU3F8JWWOUov+gl9ZjIG80ciBvUWT91sT1ytJrW5U6A4FdpW
h6ut14ADZnesipngydjvP+KBYGqyw9tqY6QuAkzXASkxE/NGtT54uR9E9akiXKhbl/moSSrWZb5O
GzrUALdE7mM3fnYm3125Q+KRLV8OyTpT0XwSqfBe8Ds3jXUdVekNIqlx7WVm+EnPbnswnZmDPoBs
tQCNbbrzcN8/A+fLe+b+jMcMaPQkcEVB6pDhOJ17RbRZK0Ge/8fj+1Z1aaf/VBzjQkI1+zseX9s+
vyR9+w3Tgp9K5O8/+XeJ7IV/ISb04NW7jIKFGVKC/ofMZ//lQqjHsGNRmTjuUr3+p0S23ih7SE98
6PE4Ev5QIou/LESQSGfo+oCKYAf+C9OTdyoQfrUgVMLHVgXwjm/3rg0Lbc2LJw15CNLiNWEesye/
D6p5YP7JpeufPmkRiqJlgA1GI/1zw1dUhN4sM4VDYBFTS17mk1yY5GOU9N+X7L9IyxDo5hZ3atww
HCdYvskP/P64M6K5kbkk9ivv11FvXrdDmeFvOT/88MBvvvfZP9qu/MMl0boSzbUYLpl81s8fNOA9
FNbNLA8a0CUv8tfISF8z/v+/+Rj0LAIj0V+ZgWTgkKXjTpJuHPlrGMC8e5O/5lP6X9w61ioKW1JG
4Je+Nz+O8UZwiJCVHLNlc57MHoy4hjTfVNkfLsrj3vyIXLDwIJAvejPEhmis3t07fyghmIXwwJNx
zCGt6TsdTw+kDz/IAbnh7+/ge6Dp7cOQfHiL9AM9zfJlflgRhnBr3s0a0vmiEvXB+w7wraNVbaTP
ZsAoNyUefSUQc/77pYiuZglUe7Nse/96eU3NyJLR/gHQpf7QLyIGNyRQnBwwe/X7a1xu2C83FDCI
XWHpxf13BNa5z3oo8KUkkQNhYwmJcJtZZvTh95/yT0seGvH/+5Sl4f7hTi7048GA8XYwwomg+2Z6
wCqhOlXNf3frfvikd/vFmJdJDVuUBVL0ekMt+Txjs4JzwZ9eL7HcmZ/uHNCeS0AihaLnwuJZVs8P
1xT30AGRW+aHDutmAj3bGrUEbo2j7XxWKbmYDNVhBkFb2LkN9EFSlP6QP+Gav95XVOcBGnbcAsBK
3msh66h0g5I69SAHq95IczDylZZgwLNT6m0ILXYjwkbsFMzwg9lM9QYLhxDM26lO8JZx1R6ZU20D
AibWDUS5lzeah59F9hHXKJohP3/VRP8d41kMl9KnF2nkvChFKJggJPBXdBKVW8bBFvRVsoV9qvtb
3YTWp9y36qMbZdHTUAJkYzjjHqLFQqTWVbgfM16p3J+8eN3qHgIqiCewnWIG0XVkg/R5UW1x36s+
EMvtnMgOHl9UxEGDZRLfnYDjW5059cUYtEO2Tuhd6q12CvNLRig6iQd8HwNfuOcy4qLzoZO7Oozl
NUS7etMRtoW/Jk4kyKr6IpygmXTh3ouYoCgTtlqmYLwYjTTWpcnVzSV7Z0mo5xrysAXBmf0twU5q
6xFiS176JHa4dlJhDzhVn5yScQOO+vWFMDsMOBGB74OwNBBNmRbeJoN7McUie4qDunjwRpgHqrXl
o/JK61PEtcuVPzJDl6WDUNCLBpQuiS/Djj5Ks91MnsPc02Dm99COgXvBcKa8ReDTPUXcGtKylbz2
+uzVFDzTntTYT2WQvk7tGH3oPDRV47I7J21bX+hi4QA1jCVYviEykRsQjOkOByTnyKHS4YoDoXWI
C3tFJZIyq7D66pTG5BeunB4eYWzL8Drz4urVM0JxJWrsInFvwrPZMkYGCG9vXtHGDhr0CN2kxy3L
U24C5uDZenYSvS6VjO8RlS6jXD/Nn0Ii3Wnlx3oTuQnKKPh89Yy3TOMV+xQWn7wU8A/CDcKo4XMS
SXyALDEg1qmw1ppXHpPls1Gn86eAuNR72Fflq+Un9Ylr1FtSojHtMAN1cDIRPtS83Pd2VbN+SG51
iaGGvp5j95UMBG5PkE8acl2w/1nERl005S7uJjKuV//H3pk1t22lW/sXoQszsG8BzhQpUZJlyTco
WbYxbIwbM379eeB0n0rs+pKv709VpyupbkcUSexhvWs9izyeRmkC8CquXDx2tr5o4WCzyy501TMV
QzYKHPp1kxcKRuJh3/tl9i4grO5EyXNEoR+e+1QM+b4doon5ihheF65wexogOwjsmjLTXVZbzrJd
MNc3gWpjxA3oR6TBxKoFLDxbtoYxb5OPTvtp8Lr6Db3EOXszcJACwwQiTE/qmLBIiklvTLUQgpV9
cpJYfmliszxNEY3seMvMUKrsB4Mqga/etQidL8R+qMPeaPPKkkiwF19jKTBxxvlaX84n1FvsvpRV
clckq75xEhE9ZYNCNEnqKfle1sI5lNLFd+Em7nJnG/1r3c7DnuQdCpXo+SIso1+eoGD9aIkJBI1G
Z3pr5IT94u9dr7xN0k5PZWNi/x2+9smcnorSxU4Q1S5EGt+7JT0PJWbQacuoebgMHbfXWPKc06lB
2LL25Gefq/eZxtxdsTDHjZcJHaZARQEZlCIpWl3Ol5pVEWJcjum77DNxb3GuxUbHUy/7nPHbUEf4
ibJ5uyhWt2Lshr2xbv21ze9tFtl72mr+vU+hxns+tf7NGiA7VJjZn0lMWaep5xtFaWL0pRcryiWf
q80A0X/rtAuPUeE3ghKanjpaTeUqiFvWnMSW/s1wFXgmPX93HBZKpVg/XMoIb0s6MUNVat5EXoNp
wrF6/xahveAS6VnJfh72eqGafa4XPbAvFMDC7KuNCyZgozBwHFKoJCFS4PiRgEyvy7ykO72l7Z3E
/lal+b1V0zifjJbPh1DU922zHu0rszrnRs2XiQllnwaFYcNx591JI8HM2WUg/3PVJUTy1kkEZX1k
tRrW74hDoPIqic9eM2eKd8MMc9wbOcwEmtY51yx2di2qbkjPthk61sKKCGsuHBZUb+z+4n7xohJJ
xVMhG+4Y9nzCGZNT8tUxu8HzUMNs8t2yPEVLX9zanrVHi1k9RsFDL4eC91xU/Y7EJjXxcKOuVmTq
X4XRd2dG8nnIqPLely3im6sP+wzQ2Z7cnnbpVHpvpdbwCuinvZ+npLtE2fI51a0RezkxEX9G7rIX
wzksIl2wHTXFfa2p6CGXb14D0Q6D5I8qXvt3u/QTz/OLGvT4YPqVtk3iogk73aK0YMajzLYY71nc
v2pO1ZPEZNNbMcFHLU3yl6Zk5VUlK45e+AQKdKNeO3EYzv+xyLp2C7yYz2DH9W8MpAuGjn27DOnm
nfoDtGZb7TFFBSaWnTHoUMtR5/OcxSzjngnF0MxEEZKekccSRAHoKMIutECoQm3moQH/lddWWmBU
bDod+/TYFGho5qe2MIvT2FjFqfI6vcaHhJ3Yytt+0xvQonPsEhMNSOd5NKdiYfPJFetf4Y3RY4Pr
iZIUsqra3gZMlZxgTyK/BWCWBv+E7b2CcuH24H1CrgOqd4OF2tUf7ZwlSH2DLL7XDkZ4I42944TX
Cf1+Fmqd6Dv6tmkn1vXZX8GvYQfO7aF0PQh+md0L8tF+nIE3TpTNuLA3BlyZRvvFl7rE8T/lT2Nm
TeR9DBdDAud7zMi1Nw+nMs/kJq31r7bfH2okTJx0Fq4fB1iu6fJ8sXAMN8fJtIthlRphEQ9SgGab
857n1LSCKsPN2ed+dzAbKrymJnqXiSO3HuHsrbmGNCqvMV7BDk/Xnj0aD1ms9A1B314LRW4tVx7X
+CPOPRzZRLw1rEqT4HSracd0cnR/x+SJ9c12Wb7tmNMJFzYbLdwGob6p+YUPEucc+uvsDP8QhbN+
O4yuB2LDxBO/phB/uwXWlIVqvt3LQ1IU9qkf2uJHZTW8g2M3tnoRxDZHqzzPeduSzOiug8vJwpC0
dtRMfdC/inc2rvLkmwxwZ5OrTpuuAIt87p2zbRLpKlWm8Pm0YtsNoHWCjuHzIV5rNK2Jm9LWZoLy
RLmy/c7QCBOz4L/2vmZ4N5IsLLfRPOUv61Tky881sCyhHYXjIs1/BFyv14xfLgc66UnmlQ6zf+Nn
3+2fLgftssTgp/T8gJuDtdcchwv1x7pHpwZnpo5j9hUeYUI8Z+GMJQX4QhY/59xZBU56Q/zTvZks
6e+vB8FmRa+u2sOv9+bYjFkPeD2qMF56Hd+NZH8ZvfS9zPvHCHLo7u9vfL9d1Pky6NzUbfsnyexX
SzGueKeIsd8choYDaRn1EZs1R5OyTKqzZs/VH4Dl/6d683spw/oDPWclulOm9RuNolQc9myXAQrL
2ci8AfLFJm1hhm4yvlgdvdpb2fJdc1HlH35uwWO1kLdPTFLOZJO0MJIwW6ulGfZTyxnn79+P3+7Z
4Gpg+5MG4wnhffnltkhTzeiCzieZzn1772hxdWYs+U/P4G+KxQrFwWVM0QfFFN6vQkyfgsl1yyo9
uDYnV5faQLoh3Q75XXDId2UFDSHj5I5NcXj9+1/Q/P0+zPkAXwk8ZtJ/sDr+eh+eDWkPKh8pv2iB
u+KzJECgRZH4UvScS9uKdP69gJD6UtrzixRz80OrnXHLrMGJww4yAIjbWKkuaPLetzDz1JzlbKkO
HH5x7JKn+NZEzIuPGjS++A/F5f/MHP+kV680kz990L+bOdK2Xf9D09Bf1Oo//ty/1Wof2LYOgGhd
/FdN+M+IbmDbP0Vqk+3iP6Fz/vbfLG5L/xcMbjB2gvQyBYaO/9/I0r9+/dnMgJBxN6VVAIbjr3Vl
vd75STckMbnGcrn8zGJYtBKlgZ0Lrkp6nKgPTuTNR20QoP3T2/Lwx9r+Z1XX9X9d8tBQKLVlH3Et
S6Du/iI9pV7aOJKux2ORkU71YjzPGFoBUCwFjnmnwwXaNWva2mT8xrkC46cdDGt+ubKr+dNCEqsJ
4O1igKiki6dXGDN+a7nycFWK69Cj9fBtqaVaTEI+ab+co9Sb+23Z1ia+3Y5IrMdMb73LR8GcUCV1
/RlzJWQDE6ZJCVuoxBJwrYEhPQJB9siN4W70xxHFaPVo/0zTElaLTpUz8b65JTZdXiYGNewg9Tsd
7QtjcjKdJZfL4wya0wjcxNbQKvO5jnv1ZHAG107+lIxGMGt8St+G2Ird3Sg8zXzRhyhOt0UfTyoL
UGqct0QXHKJXP2yXnKvOAnMTjMgC40NjejRPeLE/xtdFaIm/q+gJjR/HWHehKcmisSlQKzj0MOnv
9I2W6JZzNOz1/xlj+vZeJyXrkvi1DjuKiAdD83kdJDOjB95sMNqzfG7FrkGldFC4ESMI9o34a7HM
8f3gzdW2wu+cBq03N3WAqcB/Xfqp07alMeIDKRsykO6y6finlXODETNrhqvnZ3obSj22DrgVDG5s
SHNjhF5B5SHg0nxfqGINjvlAU8SuVoOfUfbiNmdVjLvGbuqHBpIxX5jaI9zUp1WozSK6De48fZK1
I1/1hC43Ly+T0AIyHXapdL5r5ZQ9wqtCyxJTsymFJnYJfvdjR+TnjQyYxMCUsCV6qjymouxOdsRe
aRj5Y8Kp9jZMQGfhndJEzgWASPbontqqPE5ifsYmTn2iJkT71Vm93QV5jc2E9/coac/Y6mNXnKHT
tVsmiUUIfDz/VA2YyhvNSPYxA90Pl9xiHqhIZQ+D5jbv8cBJkoKkWb+K2V+9IpmhnUhE8KdmLCY3
taarRhK3L5aZP2dabb652AvjkCDRR4pw8+L6PFQ2YuuO3Jh9jGUxMKuZCHhY4/cIx8L7glyyFXXF
LJY1oXtXS7vNFtxHRjLagazH82Anzn3OxW9nDQsHeZez5EGBfTmCunYvxDmNt8nsSSB6JelSc+yO
IpM43O1ZhD1s8ucWlv29NTrVQVqFdSYGPl0xPSyHIq6dGwdu44pelb02ZZK98Ynm+2nqrXNfLfmh
L0vCRIudf9RcY6MwUrF3SpW1PDRON9wVHcfgIiWAEES17z3OWQfWRdMslhVwAxcfNfAmFt3lgM0j
ccgnFWlB7afpqSSndt/7fXs3KCv9DLAIi7M1j/qllkN66RLZPPdcBJ6oKKlP8MjLrQYy4Y1eqowb
qtudO6eiwWTqveykL95i7owiKR6gg0ZHuorGfbfo8UbPhL9TzeD8cAYEB44E8+cpwyMfC+1Yyrog
zhNdcDgTRuoTPRgF8HKjjI8mtoHZwXkWCSuopd1/68sRII+kS1mHKxeUTo1ybbSYUdPS25mJTlXR
5DZfsc72Z70Z011uc7FzS3u8ZZVDEpTSw0OleusGAHN+7dEAP2D1DzfekOh+grn0efFmY5Xpig3P
SbepiikjLmtn+9rOXATevpKf6NvLoWAZPC3aWjTnyfobUcFuj0EMj9oU6dZ2cqfVlKW6BygNXFwG
iE3AEYaERIVj/ljMRGj4A6KerzJ3QlqIn0mIDBeE8od66MTVrMz4FShLvl8c0ewItwH7wdeuX5jX
6xfRSXHVqsK8zdPQs1HQ531XVas4lk/3edPXpCV5UAGxxtxfiebgpxixNqQAr051RfYL7C1yZm+V
l77pAu4FLDXoPLQcgPcxG9t4cufCMUOdoSe+EXf+gDI/KX5pX6VB32bZoUX8+ypdummgE53YS8B6
NpX5JcP4f8xbB44ijZbPhsrax9jrvCuUM+66xOIIZ82y+dSWvbhOjrdcBlSt9xqfDDuaMT7madXE
AU+Pd1eO4/yNtFc2h+C40AxLZzxpcTHso9YYroh61okI2Eq2bpqXES3sYXLmaDMTut1b2PRu7Gz1
myv66qvfld6PGaxWHrhdS6WAiL+NcsrW3AFNyCiDI+rEeZ5aZ8PEvQu1itcZCq3Vjr4hszHQ23x4
rxFYcjoEaHDAWq5BQ0rs5oWm0G5beVDIadBKo9BxM/mjtCF90cHVfPbj0nW3dhUXX6049vdlM0WX
3oj88+CXXNKnRR0T4XP4lyg9BB3YT3K7y6+drSOh+0V7kcbcbXs6cqlh19CZOohOmS2d65h7lCkM
Zf/ZZ2yBsknpV9jCzYA9Yo39rY5b/27RxPxdt/Boruoq2zXzmRhTYqc9J4njvnE7ZumRdMLjRNUy
OBxjR+3zskQUOup+RUiltK6U1ZUsS0xrpI8zMsgix997XfXzOzGm6DBCQysyKGRG1fHfJSDWnZ5a
79x1q4sWl86TH8ctQKvJuhs7YbMMzuYDmDg9xHp/WT9AENOWsV+6Hm2qTFcGiXlB0MuOscntBONh
9VDFpvXJ87thO3lavmuaytlrblaC4geNBnXPBIyethutsmpKL/T2BtrA/sAklmMg7epl04+DeDKc
rN6VTWvudMhdz4yiEjsstNp+kFFD9MIcJnHLY0gGaJZVOOrWnR8p/E9uYeuXRjcuHVHmk+hMfwtZ
rfmO7Gl2SD6jOERd4x1oL6nDNm/nsIzm9qFe8pom87o5MPMzDxOQhJCYhRaOIy7JfUSa6DNnAfN5
skSGDITx44dfaP1bAYRnF8n61Wlyb6tl4maZxBT5/fSOcwcjLuSikQxp1mWoZLXSjm5ptlSJ2K6K
2LSb5SOtVcGAn3D3yeynjVOxvVEES7YmtttdkUnnIeJsujPoDj73ZJqy3egrL9tYzcL5Y2IRvloE
AzaMNF7oPyruaZ+w6xCXpL1nvyt3A9IO8xiyJVpqeAc8uv69Z3gTu4KXvnFAc1vI7j4HkDk69HUW
hTHXTDPAnGbIo5PHRsg3GwR+VWNnUvaUOQDAK46vQwubX5Pjo6tUEoyLNR5dfYbcT2yG5wQkJ18O
4X3j4JtsuRKaewk14wLEncP0xEm1JCiqj0+DnsefdFnln2yTM6Adt4sdOmS872vZifMiXU4rsRMd
4Uv06FFU7sC8qdjBkBOjI5dntWwoDshOWSdEA2PfSHuOmKI6FI0Zt98thoCtQNCHG+tT59WA2BmI
cMBDUycnT5obxTDWxbbVfBWNMjZCptxt42Y6JeW4bGMO/q+L658z232OXeTP3kyvUHQNfkv7VEjP
+AI5ygxggeVhE7lARrwCjvOCUW7WvDIY8PBtmp7cUm0t7yqBEeJpN7+mRFIkg7vJqYAhPkzyrerK
ca9TM4afMA8nrgjnNDeKbU7PMB+LtYMcZYeiFf3GyjncaHlKFi+1LiBI3qAakMUfOrAPUuYbKX0F
CSHnjSlGQTIV3dnH1hnAxitPcdJYu7L3d0lczidwVPfJbJsvlqKcIfSnqggxy6mdAYgMT/dEb4zs
rc1SzR1m3wK8N2LLkmbW2ww4dJ+lS0342N+LyPHuJzeRITZ3yIJ8/d41yh9pqomead1xDzUDsJNj
tvolKfJ0M8SjHS6+Yptrk/SY1h4lA223hDBknXC2+zFgSBtfSxpj8Cln872j88tlfr5Nl67gnlCr
LnRrsrd/fzX8/VrqmsDVcKtYVO1xP/yrMpJE9pynvZ8eM/qWOcJNwHzU4rNKO0TFn2y95EbKWapk
yyYj9vc//FdVFtuKCSEMspvvEGkQv/zwJS2VOy91esRZqT6WTBGVS/OEeYeQj3//o37VuPhRRN/5
a739+r+zZ5s0c6eE7N0a7S63PCMzqbk5rr7//c/5rd1t/UG2ZwsEBzhd7q/1srKaZ1tJLz72dTTv
GEHaR7f/iVJKOzKgEh7QIBI95UMv3msP8ZNVhSSmRq5hhZ0lvLqfL+n/9KN/0o+oTrf+9On9ph/d
y/w9qYq/poH++EP/Fo+E/S/bWo2O6OQotxDz/9fqCPeZzA/+K3Qd3TR+2r3+oyF56/+yyox8v/+k
J1n/co21yQLf+ionef+VnkS79191c6yNFmWdyDq8AoMv9/po/0nHV4P0y8k1mpPdadPGsnOcHkO3
s4rOvzkJWvbRYVDI/gOlztlK5fYayDYn+0bppkmMY8JFspRhUYg02mtoJuoZH31+9mFdZA8ML0nj
0Obz5iy4WhIjzs/dmJkbzF5q0zCpKKh8ioBZoNduuiGD61I3WvVWYje5DDMZ5X0xG/t4XHPiS2LW
O4BQSrwRurf8A/kjJl5dM7uvwzj1/sNsOh59PGlyB8uts7eWO5RliC/GT9+HTkteyRm3BdeoSsa7
mgyEe9c5etLB+8gLHfIoDRPJFBQjDJDxysGYcr2d3+RLfa2YVrX0ObaQpgj3Mvymrde11LQt8KJr
xanEdEMcBCO4ANEDvKuIrr6J6DUGUc77yXY7F/1IFxMaOhvjMACLMuDf6h8jpB52T5mAm2fDJizD
PLLMqkhSbaUWbQ7cvrTKoPSBRuHGFkgbQeIv3HM2nAHtJcSKEJd1qOLaTDyJKYsLePZtiea5dWTY
cUp12D4qjOHYNYd4b8opUleogdpRH3GFw3qOmD5qSFODrYKsTcpjopGVjKkjepKay0DcanU6uIxy
vBl4MnauqOd3gj5yS4gnD2c5J5u0apvd4BfyjoyCta9auzhWVdfvZTlwT2vKyg3yIe9XFFKI+AX3
riirjeUm8b0DcQzHej5tXAAmOM8dK8B7U1GhijiEdFR8JtzKeVFGOdYbbajv88z9JKsivjG1bR/G
ZPBuZA6Gt6TwJ+7oUNZUnUw3vg/Vbh6q9CUne/2AK2gmplBrQK37fuU5mtFmNFLvKoSMXjB4WIcp
cbV7DSZbF7QKpWnwlHUXuVG+p9snXTYGGSUsmY3PES/K3U+Na5RPJKCkERRREk8hSpk1hcSVvCmk
b345lsp0XTL6bbHtuWsdR65M+zGX8YtVV9ZZLGuk2GBg8GwLLsTMp1WUbXrycz+MEdRLYJFqnoK4
KvEYmRVtZ2BQkU0X76hG5zlrvE2b9TbOJWvy7gy0So7TpLoRNlU/3PdxbJ6NaaoOti165KiZz7rP
W3VLcrd8Ue1ETVMELGM0k89GA/aly33/xCddbOF62SE4IP+yMG2/RW6bnEp7Us+xYS2vvbUUxU6M
k/mRVUo/a0vpZUHTWN5pzCexs7P6+yCa6IDi3myJGsEPjrzsSUi/f0XcyT/Pckk/W2OXrvFDX35u
tFIQneMJc7VO7XWQA1sBj3IHNulMtNwNcXzlWNCs+b4UJWC7qRUjG7Ektcef1e6NjAquxVmyJCAK
mT6UQLRPk1ZP0D1iiWvDQJ9OHJ8ZeNpp7cbWaM+ClFaHY0SciPelIwBD93kM2at22vFU6aLcEJsx
X2yozPedpj6li3rKas37NjnEKQMdOBbgtZFUd2jWS/bsMYs/F/oc3emdXQdu1kYbL42Pwm69CzCi
hkejb58W5LQN/qzqw+2hrNTjUj1YkVi+YhJjhAkJdIL3NNbExWL7E9VhTug2uWmvIvK8WRYRX+DX
928dYeSSmA6nz0IPF2kY8JsnEA1Uer23VpJ+z0e0+nZo7sw+GreOO06bZOgJ4CSQtiwNdyuFbuN8
B69ipQO5Yxt0nanxxNmJDqRs0naqojeXajC/usmshUBdd4bY5v1kXIc2XRknUQqUJylGiqPMpJse
q9HGvSbj0XoaOhDyMNvB6DPIAzXws7cIjM/8iNXLJx5GcWLvMCoWWBXdFQHHOkf6aHqIjTICquEn
UOBHLq8/8QUQ3durBytpDmIMWxvDcrAYtWlyrAqf8rSaA9odIKfqygSIVnpUTPwo00fDnveI/jsf
qZRrwf+0MazPqD0y3RAk/O3pTuvMNBQosB92pZwflWZ/S+vGvDO8oSVo1BQzpVkwpBTuo7Qgo0Ng
zL8IS8o7cjQoltnykegmvi8dSJw9TZ8qXT1Nq07gG/Q9l9EKrgd/vksNw9nrKDi3xlDVVnNNQkxM
GFsS4Mk1l0MMTS+NAPUo4zMDGHuPnUjf8bx/ZEvp4zLBMJRQa/UMU5UVJFE1PhNZbJWKnPyCnh2H
ANKGS0Xz20GjypGpR4HgZ5OovPHNLTa4BMaHlFHMt2ZqNR0Fxsg59tj+S+xG9olXOG9Mwmuwf2qH
+6p0ioci0pxdbjLmNsoOnQ0FFmKYnt5piLyMVcpq3/VTv7GZJ7xh50o2uY/dZfDkl641vmLilFxl
zOVuGIsY5x9s3gfbx3RTwrbaTEVi0po9tT8Ma5Db3pj7p4zE2RZ1E4x97EtccJhJLKVFT9xi26ur
e91+FBbUw5aU4hBnloEYjtsusM3CDzWVaMexPzNnSkKnHL8qHVpoM0FNikdffit8z9gitfC5+v6X
xM+/KxSYo6Wx3eueXCkv/B03NgGszHEPQ9pBecxy2hBSw9yZXWrcEQjMPkQGHKfL8fx0DsqY3Ub5
LetyZD4mWru6y5pjz4Fk2ze5OFiIhDuPgt2NBv5uj09jOKfA+3mOJniVnaFpG52ObCYJ1bC1oI5+
dDTShLx2ChcRHPo5cQ/jYMEAdC6LTW6gBBwKxlCYu8pwPhq9vvW4MwMseVmIB23PEq2RgtagitpE
N/GsQupfOGHk5AWlXl29Wt08OlxE2+yXsSCoTYZroyflI8kEeWL0F+/osfeZw0COwvJqQgVKTlBC
4l1k5xer0LRHgcFgn7u9OKC4x3iQsPDK8mFWabLrCp1620ojN5bPNzH0xgbCHlbRDk28W+oSY0/l
B07SG/sSlimLsGfdU0QIKEto3jOUVsCAlPPh/TG+IyJoWwfeV5AWaB5mWjtsZDJhP7D622ga4iMt
5obCBb5+SIMHdxpKZAySmGD5k2BweiPURd0fp0KJQ1bGGj0si38quvmWp84XiLKf/u8u9f+VHVvd
U393l7owiK+oA/llEL/+of8M4mEkCG5QVOz9cS36d2ZMOP8ClEIZNrfy/x3D2zp3JWxauokpEH1g
/ff8ZywPhUG3TQaexN99Snjs/2Ysj3D512sUUTGuT4gCpCSw6+FD++UaZbhY6puYPl5Hn5oA46E7
dIFN1esc1K49vOlx4VGf61SPaT2X12VkhNL4hQ6OR/TZ1iC6+5R1PIhbZU7yPkEwJv6j0Q8qPLUn
XWudsNFyuhzYhzacXJgiV+BBoJfI0SOk4CTnIR+rO51zrxdUZn6HGU4+eJXl7wtdJPuIwP3eZlnv
wrjQ4KFw+9kvaaKOkmn5pW8ZOywkqjRYBrSucAmCvAcmfPwiwT2yJlPWGloAH3FIm2RNgc8+Vo2N
+S5lVzn2+lcpl+rdkznnRGlFaN2T3yFn0mcyDu60k9Hk3o/R5NOE4opcD1dk4XF1Hx6kMrWP9bjz
w6vJAVtZ6R/Jfqjv8WRGDaC7GjZCUvdYzy31aLf2eMqkp2P2QeUC3p6Z3zO90sPMoT0XJJKF85ZS
4musl/G5rRftg4khzhtcpZR3LE15nNPmdWCQDOjFdPcy8YdPSd11T0J0YM6AwauvPPjxq9IQW8Le
Ya1kPpv1wVIKyrf8kno0Sm4CU0+ZfDhCeqFpGuq9od2lZ4g7fka1MnmTy/xrnnbdQSxptzOYKH0s
pFfvUl3da0vsnKTq6pOKluUMlnwIS8dbdwS/NTfKTWfs2zMwCz7PWL6KVECr4V3q+bcVWostwMrP
s+FFZFsKl190EllAF3h/Z6QOAXmutnssmPkz3YbJZ9mlaI24HCwzmKGkbwuGZcaGdjO9DhLTIqwN
JEgeG2X3l96GewDkTbcI3Bh0kycLdok8nhn9j23Jdr5YiNP0QY8/0szskU+ntf6rzKlQqbOkfEhd
rit2M3t3saqWjbPMuH6VX1xqAi93pmYZzMSKEUZZZc9QBFD04xfyMya3JOZ+X9mbOTXjB3D3Xk4+
mzBOcVjqhbaVwbPjDURA40qPrbjFkEzC0de20HChis3DxlXwEHIxfIBBlEdw8U04ZpqWbIa2Bzte
JtN5WTq3paWkKz+JKotegYzH2ilqiFlvAVgY35pRb/sgAZ/9OIDnirbDLI23DutJGcZl09+Mvmy+
qFk3Q1GPxrtUFremYe7mR4oQcv8AUJMTtPJR11NzbjnEW8xVow6cWdBHhvViDXpyJjZtf4Udq4NI
svnShp5idF7Hpf8lo7TiIp1p1nEpSPG8DLLSgJl40Qri4x69YTRWAd8ui3dqaMQnDjdfNX2sN26t
LIIk7vzdqdXM2ISzXrmN/Kh8zeK+hfiiYPvzYZXqDf6FwpTgZfWR2Ha3ElnYRzu8QHcrJ3pTd+qG
l0MwEk55ngmSNNiOlb316UjCV42nZBn6djPZdbqxE9GTfOgAPFWGd3L0lgZyK8l83gcG0RVX3yzg
3uaF4Ln1/QCs8NHEor6vUl1yChJdZONyVfqbKRPiJjaL6UAqBg53CVKDWV2dH+PZaq5cDwmBi8rq
HhVpb95Yr8g+k3tooJsbHdcBZn/9MYpBCgN4G+svGF5onLUpPTtgAI+JFuhze29zv/+oHI/YRmtk
A7O8WWNxWfCSV0yqCHPY9rDT4PZ/wY4+fm/yZHyb7dK4WAyjii3WX38OLGdWUSgiq2E2ICK58c26
IMQzRseErJAZGnr9FMu2BtghxrNyVUrjuWw2bumd7HqmvaEscc8ACkanSaNjJlk2K8Nu9pNePDN4
7PetYoqx8v0GNAn6jQONYuhQdNAIGn1avi14y4vtYED+rqwe20qVDLTX6wBEpjVC0p/tvHHLLrTV
WKefFy3Oy8PMgEPqr/4smToGicJl1UEMm9vsPpqwW5gic7lO0y++GLl6dOkpeHQNL35gWZwYbcjl
yFjixbHL8rHBu/rYG23EZTjNopcRhCMcYuX3QYm/5LSyqF98Ui4sUiOPFbSQ8kEniPRAFo9BMxjj
1etjUy1WtGE10CeROSpm2Wa3C6diTq+9Kfpd43sNc722KK6Z0Hm5rtR2RpvDrGlpDeNRx4wXGKp1
76ivd+8X+AUXxwGIEqili55sX7lHFILxGf+oD7BhiJLvFjLbPWGmvth3WlNRDDZHVwEF+mnhO36M
+cU/wI5g8Z+Vs4c/DwU0apYvDBonogqNthxiI593mT1DYTG6ftt0UO5l57Ae9amxnIFQeMcELYqM
TvaACZTK8ca07qMqb20WWQmIbomO3B7Ni5qquAJdaa8xh756iGmV36/v57OqJuMOrCIuH1vz9lDB
tHtJH4QF8Gh0brlYkm9RZ6eHdNJGLVDNVPNzQGaeZvwhN1OqcS9mIY6D0bcvKqqApBrOcOB5cucA
U7EKrNoTBR8RWEH6q2Z902UAE8PeEs1ttPQCw1hmUYWA7REAdgr7scnt+14W0WXxxHRs2Ri5fZvj
FWrgh16l4sNoLbMKnNZpXqnOSL7oYyQpS9DqPW2HGmjBgaWGr1/CJm3nlhPSW+Dt0iGTD1RhjF9q
zxs3sjPcN7NK/XtzLnnyknXRpIXYTLmojGTJlDLN6qmcxWtqlvS+D4mf1OembdYjPuJpgpVlFG8p
3KUnx+CC8+AqpIEDEnkDKtN1JYjvzGj0OxNKEfuYMEq9QYeAcBOy8fPOV+YyP6km3kzCAp9qJa73
P+ydyXbcRpqFX6VfADqYAsMWOTPJJJVMU6Q2OJRkYp6HCODp+wNlV5uUS2rv3Zs6XWU6JyDwD/d+
d1v7jruKCakPV2kkP85MHNJj/zppHpahs8Doljybr7No2Cy62LQSoqCz2FiIXLgxmMuN/Y7JVKIP
V1yyZptduWPJrvUZKMYTZa/6lGVa+TUdlfng94N7MZqovmqa5NKU7rQprKY4uA0cKnfA6+FW6uzk
8xMH4AsMwee0d57cQQ5fLOazcWCTzxB0YnhyfS3dO66X3zVGvpF2oV3z4xCEBiYAfVPfvFizgADT
102GYKixPGhgQ4LInt3mR0vIbFpBF4yboG79CJ+jM7SbYjbnjzGCANLr0UQXWvBv9/T/6p5cuG8/
657OcfXt9/85dD+kaH3/wz86KNf4wFLRxOjo+I7pvUnRMj7wGEeQg2L5bSNlgrMzWE9BenQga/xl
H2Xzr7OFbmADWWK3/gFygzv4bROFz5vuCRIG74H3Reru2yaqaZHXFj7lksagI0inuGJIzGRlE2Ev
3iSmeJTFON5wxCdBOtSPeSSW9QXKrGpgE1/M8QL2tAtmCkV5lw/6A1h53CZ13pBWZ0vSmhdRb2tg
lrRRG2xTinU0be6pznExAlwm00+2z75V3DiSSYYmd8iqwnXfCnoASSQcT1FCXNrkZdCH5FTwPa4a
tyYMssQurmveHChh0hHp87Hy9TuHc4+IGPlcKSS0ImuxcCNtbXtcoYvVqrBw7bqVd3IttZMJqSAU
fi9+hpLIGM+hgqNrJ8PWJngQpNWdnU5HPeKfYuwYqDh5xgpfrSvUMYLJTD4aX7GiPTZTt2WERIBU
EVufwoYomNZzAspZQuI7HoKlhuCztx6zMX92sS5u9Uie9Ta7Wb6BvsAaTpv4ktalRihAn26txdRp
YSwl7QIuOLqZS2TJ87I4XAGWiA5t7n/lQMe7Htv7KIJWN2DfnXPycjXZ8cXo+soWyZUZDyZKHHVx
GPnK2n6MrewqUvlz26QYU8TJjS3mvpj9NjYfaDHPVv10Z+f8VpPVb6Ex0djZ2dVsY7dRfcy40GSS
b1Z8UWaMVIgYXeSAph5vyMzpV4O25HTj6dy8MontuHhmlogQbsKm3y/M3eW1ahzEGzRGd7i47npT
7oZ4Pr6aYLVRP9YuRfeYxS9Wzj8mjOQmIxXF5MfZe5UPBTzhE9LCPMwhvty8d3L4cpa2zjpeaEy8
dB1j07puESayCHpobTzasVCXQhdrNZVyVfLQW+PxeoadyyzdVF+9aj6OxCeu0rhNTlnjPsIW/+I1
1q0vySF1MPRMtOCzGNp9o8bLjLIwAcLGhWrtGTTEgaZ7uD57ZhADKnqyluKNlPyeQEesKx+Nz0bN
PQs5s0Cf2ukPZWR89VnBBIWiGegh2DHpvjTtcLFV/lLo6BdBm4EyLNTFCpHgZAl6QzZp1OiOFq+I
dGVevnzvRumwR7Mfq6ZMtzAtT7WwXWZ+/N3ycI8V/YK0nEd02hOzOC5HzVCnmjXD5zTU/JWbxhOg
bGyG1mI4zBXW16lh6TFR6e6bxaWIXG48dIXjHdSoUf3EU75p5rqgfKsntHD5eFXETbcytdz62uN7
nMbWuTa8DBstcqqksdct+7907RfkE2ELkM+hW9Fisj3NnV1qN+VDVoYPhWLvif6083EDsw9QcXii
Wv5M/zKuMpVv2BJOtDcJPdLUbtgbxOSqgltJg0S1sAWrHryO25xyLb4r8UBsQGI9VBoT+W4QDLMH
8azKqf1aliYlspbGG1TygedOaVDPvrMtGGmumbGHd0YPOpINL4Giqfm1gtmCCKqgbR/1laNMY2u5
jDd5F2EwUOIGGIn0tYKQe2vr7rBTRIcwK3EfXc2hhm7kIRzbF022Rxxlv/KJ/HCK+6a7xCZz66NP
eG/RQiJjD6nMWDQusA4LfS45dOqUiOZmxn//vRr4r7Y4pntvfX8wVsllx/iA6xFtzju8i2/LoXTI
C2Bbgg+xNDLktFYMPJAD/S8P07/xv7wXOcFwQbzBGsDUySPE+cg7+YtSQrokW6VhXZF2nD37Iafh
chynAPRWVhd0LELkpG9//ppgZ99/Opx+tNCQgP3lP9++ZmSVfux1aFanXsQb0Y2XSnFjE962l4uv
e/m8eQ5dseMA/PlLW6hcfnxtHyoqZiOBrfLdSBOeppzTySv3YIGsdcpK7W6C5L8cF8e0SrM94IGv
EhfyNpMQW1NEjusWWicSV9TW4A6jcj4OEdCiGbCAvwBCUspD05NH6XB8o3CpV3QdRGqnN6XTbgsx
nlURPegipnVW9mnwMC0ucX475qbgH9i7rGyP4+Hnn/RvLiGaZkIkDFg3AiHZ2y/ZzBO/qEy73Mdm
t7Ur/Q4Wy10xs3v9xev83Tdqg91lRo1SjlHx2xfypeEp/keuVT+3Dx1YhoklzEbPOYRLx0/XnZfh
ooX8ko/THXbz4iPpDXAV5+ilGTmXl1IlzSggDFMdYbuHuIqGi+Y7J0ZPO2aYMHFrUP9RBFWvUaZ6
jATW7CIyibFIJpB/jMLOZaYe1MLAQJtpX/VksG2k0y+B5slLmKDALjN8ywxvq53S0pewmh+8aNjO
PSQNeCH7eBL7OC4Txsgz7IhaHTNUzCtzmO/wEVmBafLv9j3tcyvoD1zjl1bT5ap/4z3mTrTdpb3E
XWUK790PBneeubNmlftZ4rGhnFCcbOhUHNLprf3Pf7T3kr/lrodGh3QHu50v3rPMWnNKXJwY5V5k
I4NnKB3Vrw7M1zvp3edhD2HaaL0MyF/vmV9J3KDp1/VyX/ljve0SZa7scEbKaH4lYGja9Xj5MtPe
+5p5kqEfb9wyv0Kc8gkbwxePtjIwC/xLXp5aexKLecj6nE71VNBZRi+zIyEyhkm2R2g8g0OAn0De
ZnedJ85m9OrfPLA5LGDJr8NxMq2IF5cBBlhMtX5Tb80W8zidv7kbVN0Hupm8CJQWDAOzm1FlV5mI
JtgUKQWqIal+jXqFBTpZjXp/rkoTPbM1H3/xm/zNHctvAY6NvYuO+dJ8eyOVJgQoUlvLvZHTKIwo
MldJD/WHmCM+c8w3kFBurfPJOxWkYq3CrgWFaxS3fcq1HGa4gSANb2U4g4pwjGqNeedRwqNZe+iu
FwbsKRxcZ4X7/hT7Zoo8g5OoJm1g7abTg27Kr3OnBxgi75VFdchYHjcKQZ8EYTxMFGLE0Mb1Dtnx
jtHwORLOEKTofwK75uDrnFEGvgZElUQwf2cCzfBrqBE//5L+5ibhmbH8n0FUsrnsvt48rqLGzXs5
EpjnlWtKHAWRhLdj6wNuq+gXvwhbtR/vSY+nMMcajGjvh3uysa3JMsFs7luzK9nvdIChwvQq5Enl
G/w+5HagyMEKxziXYypNqQCj/MbJKACHKnSCqvRrpBRjs/GdmWXuIsEpJ+9LlxnXLGtvc5+ZYOxT
7auystZWTUBdOpOhNR2hbfAw5jKLrOwZoxBVKhPXdMbjMJTkfFQQgJJ+M5KAtu35SV/bS0bL1hq9
HdN7pi0IjfiLmqT0Ohz6IJ/7GOQGGe9LExSSVbCWfQbTdJCXpKeR9DLgUzOED7LV5KUliYHYAKC8
1ngxM+Ou0ZIr5OOod9xhnZTZhGBsWGsE45HxulyQ9TCyDILlsdxGnRKnypUXJ1oaCAF7yXPA5OQN
1ZIepjcKwcqatXy3aTXx2KSCW6wPm2vcZl9bjF5yWJLN8+QmsQD3+IpS3M7tRxjeZ2nZzsqqBOu6
4kob06tX1FcbcQP3fX5FU7wrQp4sCeFvTPVmeF39TW6Iz3EHvi4zBLKecY1bY1otjRGaNcaQMKGO
WHVOeW8/mi3AnF9cuX9ze1PrsGDQFxk0mW1vL918AvZs2qLY40v9WnbjudN57o20WSHokfVSf722
2lXvAybzqfRe7/ky7reT7GTQpPxZU1gMDEuWOeSDetgEXbwdUcOWzis3vhqmfb7gRcYEmy3kjmTT
LOCRRsv9G4ZZpH1EPBcRCADl4Cwn7ASKucYZk/bTw2hRbumtVa8Qlw0rFfUErnhU1hGNIc/D2Kr4
QSLKbDeF7TxygrbmsqegJfWH/GYchrMtBvJLckdtElJb1o2cj0UsL2lYYIo0CPwU1fTV6fAftXV/
dukO9lninEYeIjSZw8Vy1N1Szffun8/Xf7Xev9J6W6i0/3Kt/qD1Pv0u/+fq97b7fXqjUPj+Z3/O
16wPHLcOuEJ70Xqj9vuP2psAey5qi5pFZze9jMv+BAYwRcO6QOIH/AywFqSt/59SwQOUu6Ar+V/o
cHT6qX8yZHuvVCB6gopeLO0E9xgd07viyWzasrAQ2e2JMMXwVrZWv8HB0GZHiHOQ+3TcQveR6HDI
60k8HMak7D8ilh2LXZYa+AlbYkqJcct87FnhAHNmwOnOVY+GLgIkxPCt03eL2w7oFmDsmTUEdDUD
Ww+r/vCizFI8OuX4nLP/jfhXXcYmFPecrvPHrvUvbIHTVV5img0q8psISDNctqgWQVKDXHz6HmEO
587BS9fXvf7oZ6x4cA0n5rksZXbVteD7aVbwzi5GF+mA1baFq06gd7q1oRnGOQTHtyk6zX/pzLbS
Mc1Y3EMjJf8hGlMWgZhBQQGMRs8qs/MB+ZF0+vpFZTOW5daNv/D7M9sCiYnp1xhblIP4XXYe5V21
SovhMGepvXItjKYM2iXLfJPUbYYBhV/4n8Z0bqJVmXv6Iwrs+capR3+F/BlTNXs88LwdERQa+KTZ
gFyAEBxLWpf0/komLPaCuPdbwVwwAfMuO2vet6k3FGvIfdrTMBB5j3akWALPLeO69Tpf30lh5A9T
lrsAKKPBeGyBzBI/q/BT4nWK1a1X59rLHEt/payGYjNW8TcNsTTDG8/bvb6/bnlXXNntFMBPbQ9m
jr4teA1wcx22e1u9Hcodm8MRRhbRYvDUtA2r0X5Tsh4Gc9An5nXksZRGX9sTp3ftgEyP92FuZPPe
6RhdbWPhQou0ZqsC2xXOGjMRqu3Zrg5ja/fEFKbjsO2TyHysGXA5W6OePH3HpbJkdhVcC16NQA2u
FEL0Rb/ZdSJhmyzEPbkG+UOrWfl9zEL8sanj7torLf+SziO+Lh5wzrphGoSKf4iOzEzjTymyZ0Se
kzhqNT82JW7GxqYHozhWfMh0FujOZqqdHa5x7PaiIfzB8XsnAOzO7qWU085jdrTLc9N6kY5FKm3Y
FkUVoJpW8ToyWUFu/VTv41OWV/y7eDTUW6dyTIoS28KrljBqrlxAXmyOzyF5pQSOyozneUZOb6+H
N4VTJHDkUDDujOVh2Oax9QBdJtuhgNcqFkzkROLeSwpvlxl6d99X9iMxlMN1IfRPpacmEGJjsyQo
DLM2b8hnuCkiYi/BhTnOlhjFcIUWq15hjMAHF3pY9zB6tbfznFd3HYXax06zYF9ME+b5xDauBvI4
aU+baFO4jr2fXaffgCmdrzAZZznxFdJayVxYv5EjAmetmPBTovXlRkU3g1qSFI/SLJNxBUEt25b9
qIjC7pcUJMB0zOA7bdfUVnfDMpK1tkf8aqlJcUeegsm6b8QbrbuEUwbsa0HoeZpvX+d+kwxrqXT3
cUTEchPSFX2d2jQFiF4d2omffq4X4gcrExmkRgW9b0oth7Bb/uZ5pg3y1loKf2lP1lZzj+6R+Fg5
GvFmiEcLVmlWzr9h29aBWTbxabTIsJz1unrQHDHtzMYFO4gFvupJY6116BrQqMgqo3xam3EJz20o
BbloHBQG0nOpr0fHmY6SWdPHWM3dJ5/Pbx1oCVV6IH/W7dbOHCHsxu8LOcMZ6FiQsDK7LQWcD70Z
KE1jtzLwqdTtqs3N+AIaTp9XKgcOYpJdeaQWpjdnkUEdk5oO5g6nJmLZHxXh5FEJaK5gII9en/LO
RIrVuKcKiu0FsySH/2ASDIjiP7V4ibxnN+rN7V3rkeDiEnGxplGaP7Lv5FTqGPU8vZ4sNLnhi68K
JlZ4adYmIScItpa7qHY4tBT6godWUv04GlIu2oQK4AD0F0YRlVPuVMTxDBzOtLkdpHlmZ80LYYlW
a6zCvBNWOPON1CUZBbHU/PLEY3s6dS1munVVzf0GLdZ8QwCe+N78/Fsu/apcsk2L6uG/RwHc4ip/
Uyh9/4M/pZz6B2EsSVhUQyzb2R/+p1Dy7A+e4SJ8/z+W/18qJR8nncOiAoOZw5/9tVKCJ64bzNZM
iqnFy/YPKqUfeGsunTP1GBPsJYbt1Zr31wY6lIBt41KIAxFS7ADNdM4gyZAeKRAErbCCcGNSlcC3
ATtkSEIdPW6FJ0Cj6jdRevWTjePjE0E53adIcQL85Zv8f0yjeXcmQaqkvWMrdJgbve2RfA7h0JC+
fUhHm1Tf2FZ3KMnK6/IVa9QkOfG44LJXXV1RSf38tQH8ve/2l0m4YaPB1V0m/da7Dg2XaV5jCWuQ
V4WPRUOW4yCHxL9ZOH8O6jPhXmNsLWk9J8c9Eq6b/GaQ+vpZzeX8zR26hqDFebKuojzqNhlI5V2f
A9fdtE3lfHRjD70XaBZxCGXRXxu1BShNr+1gbhmfpICLjZU9dsVtbE4gOYGUIO/wGoRfkhp7zcYL
e4Y3xFoTWL2jghFI9FPklZC5OxxBc+dVR7ez0YtUsAE5gctthaILCEVv4Swg9MWP0XKBcCZaUv+k
ta22IYjoMtD+sjmeG1BzrlOXp9ZW0UaLNTlyRlnjftKKcJVpM8Y1+A9TMLtypLlkar6q8VIillPT
YwkNQwQaeVHXQqYhWsWp/+TJkGKVnHX8fwSELzQbLKB7nm/TVuLQQgFMQQNoUy75umZz9gct/ah3
SWKsaTT1p7zSnXVVunq79mLlb+Rgtcl2tBTitIRb6axCL+JR2zRYySBT9xdjqGKI0a4cDgu0KeIY
Lfsz2Qke6zxLMlwmgVvfFuiSvKAM+ww7PMM0g3I6mq1jqVpdBlGUMANBqrcMuGabnzXV7L0YTRMo
CPCGQArxyMzMQyjklHcZFEN0Xg2K1kHEM0oUpEVwCgCM62nabtueZznYbm03m170rYlNtgt6smX1
N665U/2DY7rFeTankfK/GphnpCxYPdG7zzHawP1c6PPGz+t+PyWoTre92Udz4KYmBJtmtBUI86bs
dlTIBslCHvALzwgf0A8Pe0/GC4yBHNHfbamPt0ZlKBFA5yl+p5HKKkiWDLcbkZQFmJeoSYJpnAUQ
Qrd10sUfcR9HWmqdhiwZcMnQyDvy3mgp0OqgcaFwr0IrpO5PVUiuqVf32bcyxXlFonWb7ky9kt/Q
cRGQyq6ZPJygLutRv+kav8W7muQQ//1ytM3brmMcPA+zhQLZSsdHRwFwuJ5IFHqeNQvsSOgP+Nxc
A+T0V7iUS8i33zfxihk/Yw7Y06W2qUJvwl9rlNOK4UpvEGOtzcn9ZOE831MRYhTTwhKPUlW2RbRu
hzgiK9WXuPvRIS34lUmQrRzJjBxpdO88Cvryuo1lUq8b3aqeu8olAR3MA5e60qvDBJX6jEd6OQzB
dgVY/srbdB4QbwxV4y8se16tXT4bwH1xjyKafOiGPhTT7Wh3n/rEIVO2TUbevYrIzH2N6k0qWT9B
P6ie5GgCfvPFWI9rJsCWt6EMVBqjbjV80dN20G9SpsLwuEIJLK426+q57XIfaqxGQvbrUU4gLd+T
Tdzfhlnh0iJp/XhSiTnjHLU0GCqZtGZSylQIMh1NM3DQ6VkMQ6vXVzjOdP4ji9h+cx0BcrPToDJm
OT6WaBySjiZVlM9o6xHQTbC6AKLOzqnpDN7xWI2VtpVDn6SBjaV613hmfjuVMbhgp0pMFoxGqj4O
9D63dlVxYyVkz922IidrrIycSoBqJrUWag19kj4ijbgu8C6BzuIdcO0WNeG5sP3Gk920Kg3YyYXD
usTN/Bn0jqSpYwzlr/JoLg2k1Q4Zs0DJvZbgYFc+4fqrTiy7fdBSTloFoadDJDMhEmSyq750Rv8b
LbRzGH0/FUsrIj8OwG/ztcaCD0Jt7IGyW1KoR7QaPj2FSMOtQVNxE1tjuGCyp/I6zmXL9HRQTuDG
g/iK8oxN+mgZMfnYBB2alTavmE2qaztPq2MYj/H14M4tLsXGyw+q8Wqx8VRrHGFyAzJjD+UiOQyp
WnnOzHxkH2awj1UONGHhmsRWdR15bJWJIHXql8TmUlpIyY3RSds15zjOuUjY6Dw58LvC6j69Pkf/
LRx/VTgiMqFe+e+F4zJnu/ldJV/flo/f/+yP8vE7OoESZAk0QhlH3tOfAVJADT7osEAYlzFPWwAK
/xm0WQtVgWBllumUAm8HbczgkBI4HpQGOjLUbv+kfBTvFoc6SVS2ITxM/+yVfWG/m7MRvp7PMirT
69YckunZrmzRBaXtQiXQ4afRJVuylem0TxBlFtqhMuNatAvOmj2gTPQd6s/pWwuyqFhpei1WKuV5
c1RQvn9v2txdJ47rtHOzL/vIIZMyyHI52feQYWZviIJxME1yFHLQhrSEU8ROepPNGKL9Wz3Revfj
WA2jYdF79W093VuvSTWOHHtKCUuidKJI0HgKtHGlszpIUNCvYJAjCB+JWEQ9Fc0iU/E128em9u5j
02XDk1KGWZS6RmH3EAwAWhXdpYMXY2w8kJy5joHV7QnY5tHmmTDJ9aLUj0CDM0wDevM11rp26zb1
dCfMvMQ5MMmUP3Umbf5cl1CYvu/I/r0Bf30DOnRbP78Bn5j5vuneLPQR/zHiISP1BJs+d4nf+kMt
+md+m//BxXNnU4p9DzJG1fJnfpv4AELdE5BNlraKnOv/dG+Y9WxyuAXrSt37Pjf/B93bDyukV4CO
oE1hbu4572VBnODNqOsRg0MPLuoqKyNxa7WyPs0527u/fDV/04r9sGnltTx/0SKgnuUR+q4ZYtyN
o8wzyoNrSRxJVFWnlPHUw8Q3cA3h0/+HrR9ZNGidTKKlIWWxTnh3sjDFNN3a03k9anPAP3pN5ZQy
Pzn1yrYOrAaByFH4GxfpJObl5x/2ndGR1LhFEeTYrA8Qhi+H5Ju1cqPpHXN0EKszm8dvRV5w8uTG
6F1PxqxoMmb/geiJX33kv/mKBd8Wy8oFMo7X8u2r9h0Zu9JzYZ8WhrrL8rj/xkKTPBw/aYED6NM/
fkEHGoXOy9kky1kIi96+YKprqjZZR+xjLaRZBASwnpi7bwrP0j5b7HCffv61Lnumt5oWAg1RBvG8
8vlyf9CATJ2hz1Goxv1Qse4NBifsTKasjQ66TdqEBEx4SE4ecYEHFx/aGShp+VDWtYv538lmmii3
c8/9ZKIkbPE0jwFs1u7aUL56nEzvF1eBcP/m/bLo597HRMu+a1lY/XU6UgIwI4CkH/bCtSL7ohWm
CI9dlOPjiaqF69pEhrxiljrl1E69MC7cg9NZ80HkIxN1nCsSCqwDoDXxHFld6wSxk3MtYR6qjsXs
GZTdMZEZo27mxQY+r3EqTJ5EqyYTswFWrkMJoLWJGcjJnL1tLZRxouDV2s0AdO9Ya5M6G3T/d2FC
MA2jg7ESXzxms4SmtbMa6egbMz22llB3DqeEs06I3MAATsbYpzQn8OfctMxKD2BYGtg7bjfBtKcJ
jA3jd65Sui6SOZJUAVH0R/sjQk55XSI+ZfEkYG2OLAhNxuocBC3pp3D8xk7daWBM7/ysab0V7qH6
aUhNiNetbh2cEb/FSo1j/eQV1ninY5Vmmd/MHF8QSv1NarTi2Wt1kBptbphBMYb1k7UgNjQ4xBfR
o9tO5kQ8k+VmlgdcMOoJyS7PcMc2KhqIUKjzYLd8UjYmhFChsGiw1SXhg5lm4JgGgm6fX1Ee3jzy
vbW2cQFVMJ1nr/EfZDOLZ0cjPyuJkA83lhTWFrB176E40GDXvCY9fb9W4zSixYqtRA43SaYoQ1Ii
BQOEPPUTrXvd7To55jNQhimLkSOHSXHIGq0p+sAxfW/Y9PANP8XIoR+8mvN0TWgzKW7FZHOd0BXY
z1XHgI2elJuf9PBrf2r9hzovyKlDxbZoRDIEFDZo5mOLjwt4Tl2pO5ZTtWS4bvKVcnfXT0qxKFtF
FWu97Ti0/Eh+bFgHwrvI3pD18lklwSIkBZMq9Pr9M0HAmzR49ibOGDWhcou7VVP6+un1n+lDzKHF
pKecG3O81/isH5lLjGtJV7gdmo4LmOR1Ztx9Bquh69IwPBrdyBRr7OSwzhrl+WdLBynJfINaClIP
a8L01DdOV4sAspKp7sEF6nAtQpJ+x21OwncQ4rJDQ5gnhn6QRu/SNeLxLqEydH2i7SYdRe66ibQp
PNd1KYBHVYIZRRkPfXhtzv705Pim/DZOWjNin+vm5E4CK5SfOr7+eNeV5bjr2FXAMQQ/GWjeSD4v
rKxAE6Pge+4utRXGi8YQP3rpT7TT4B3jRh2k1djb2mMuIrwKJOoo96E/qWMfVerigCRexXUIkcTU
ppMtMmfVubHx2IFOWdfx5CBpVsYtCcf9WSLpjogpG8Xn3s58m+urY5kEZ0wdR1cb9xBBInYTOuDO
QK/mk9cOjJA6jk22ZO5VmcTOqdZLf5FI29M1IKuCH1wtuYYzmREUpXP/zUeNJ9edRvzbmovbhyLe
q3LtM29kr+W6DIvKri9ZJNu/9Qx8SHVpnkvDTcnK1oW9bzDIjfyDFhddq49cUlMmum+xwf+zsCbU
mccc17IZIpKDbxTylF5ENXAc6ydB5/xQTDFMZKjwTAnFOKozy8LwYcHNn2rbqJ8IVQVbNGbyWVVe
9JAKhwOzMjMg4nr6iSkcNxbTGesQMh7cJa5lHbza16H2+IRM8RitLo4g8y8Bo9zxMaKtYRWeAO85
E7M8d7XxuWg1bT7MsT14B6toZ0uujLojyrw1Fq2UaVlf5mgUzqYt2eb4dXgttTq6a5muHvDqXNw4
bh7yvn2eCrWc/onx0BVwOFNw2yc86pzzojaSK+yV5udBA5G2wlULvNuX7r3pMGtdJ6M8ECmkIT6S
jbHivnSPdli1HglzZnmrBlMhSYXCWTAtXleKcS4bfAK9sV82WGNzW4xBYYXlqXQ1+0tuWPzzNU+s
9jfC3Mzwi+/JpA2apg6r7exVLM6w2A/ARLtMu4a2OfDVFTCHZlaLj5PrYeK2S4CwsaWvUz7SDtoO
27TJDLsnRNnUInUvvGtrCaLLmEhfJGPkdoOOzeawsPOoPbGMnwhgT72TpiYeC0VFhJeWO903PU/9
a4F5ZfEEzlw07PDUuYt0bx0pbbmU2KuyMo4r40QTy1navNL3UpycDyMWqZ3To1QiFNJiEQaZKIL2
Df0rcD3EnElt81/EWcklqCyGhU6OSpgFdMZ5347tfopHzkFiSjqwL8Lxrn30AKuUxON8ic/i0LKA
mN7VFi/vCNnku9cUvgof084KZ/t5Zl86rF6PQEY3YbuBs79c+sRhxXe9LAHQDLW0r+UwoA3JBdFF
Ldytb6WFD4N9eMsVwXhVPKNZVHddIjinC5aZZHM1BMWj3CJq+Armn4E94/VtGSWazF0Tp1QSobbQ
BF08s8cmJzMNbqC660dq38LDUWMAQZuuWKqTaB4MU2GrG3KvwE/prc/c0EQMcGuKkXedFDWfVY4z
L1my+XTPhBXkcIjpku0KLEQcLUts6emj664iZTtXQ9alwHcaMd2HWiWenNjgYJ1aEAeybhUjxHxI
Ox4ZRnSR9MgT52buXNskM3Sci65xn1eaflWzrXjp28bfxYMk5Y73TJWTaK7/YCp8v4h7mSOgyO2N
i9Uu0VAR+2jCLZlMA8hRyfKNNjDh0Q9OPNaH2gNFX7QcVffh8oumqcXPNBRL5CSxWyeNEVgY9Oas
E78lulpLNrmHXW6JGraFzfdEaXnvWIk23APvyBEtJjKOYu+cZ56PLQZU1sxGwIuaKdlOWaJFxm/M
TMOKkDfZg8VjUHcGjS82iW4DMgzzIln3ErQR4C1zV7CZl8AIY/0qs9v4BCBxXCVajBErnhpgAsK/
ytO5vuHnb84VKbOHbIy1R6X5yZXWY+QZu5hHz+QV+4h1IEQLV9vmgxR8jsaBaQUAW3f9I9lz4Qox
4MfI40i38BhuDT3Cp4MeGJG7gsI29lEQ9blxLm2OGMj30E8IeySmKqMi6Z0ie9ESW2y9sQohb1TM
b/sGt4lZgd7iVHgpAZdo+XTrK1seuK4pDIZGv/X7Wr9F4sB4Vy9WTjcVezWIZkNtHN4rZ8AszkN0
jWZAbpRtY9Xp7RviGMqP/No8l0uVX/HkK3YgnTQo2EiyvcLZ4B64GTK7C8jXmm71qY5+qzEqPbWV
aZ2qkXCWlRXhYugUGYl+Xq6d8c4qjDOVX7kBRqC/CCcU6FNfFSYFDn9s1KUr7dDba+n8u2gcfhB7
4BbeCmHJeF0MC8WMimCsVxpP4C6YgORzgsQ6JwTPK07DnpHs0JiQuy3CRG66LOciLWJOm8RpuSJn
cl7x56k87u6mTKbIaCi7f9GKL13HWyU9cyz4OwwWkI+ABX7blUCRTn2eeORKi9ein9UtrOml8P15
u/ZD94NTFQk8swzafpvG7e3rsBvsh7Ri35Rj0obmgYXm0gCSyJGOGdXRwWgYX70ehz9/3aW7fvf5
vEUK6Dh0pjad4tvXpSXPrbQi8lyluUPmF4HdRadytZVuzPlVFeV0JrN3CcMZlyr356/+oxsJNwQi
RIcbnDfx3tkFE4LpieFUe0nwhBlAojYv3nLqAg3ntO8jPEOBXre0JUvlzU6dw/31Lfw7sfvlxM5Z
rCc/mdjxsI3/Z/2cVf3z26nd6x/+MTT3nQ/Mb5zltyPIDCwkP/EfUzvyrT68/rQYoZZJ1jJP/3Nq
xzidiR0Dbe4pnfEPl+UfHC1bfECJgVebGcB3xtY/GZrb7ttLDNu3uyDEGWCZjAnxSr0b9DB2qjuy
Pc3rmWI6mndJF019uK5MPSim7kaj197UBVVCMHogVgO0IPOThmvTWJmJse/GWrsOee+bqdGKbUT1
AAxh7m6qCHtXaw1XXiPdNWlZzrEaSu2eZTCZnjDfjvigjIB4H+ceT4ziUQYZiN1Qqu2MuqmCYnnM
Ox1gVv59xtYEvcASdAwtCBwstHjfCldvhEY7vnGoma8QvSFEasKPcm5uFXYI93/ZO48tyY0s2/5K
r54jFwzKDIOeuAOuQuvMnGClhJYG/fVvI5N8ZLK62FXzqlmRjPBwBdg995x9eB13DiSrU6txFpK1
z2nM9i7CiWiPwaTO4eLr4ArQwBlerHLssn1nV8sNtTkQtOh/mkcTiRyzVltoI4yyjBiwua5Hd6sb
qWLruG1m31hiZqFuNotg4YSU5tyBqnVCruY0BFm9fSgkPMQGMNDJLjk9iVLoHa+UE/SV8k+LHtJH
yUkTF7pYT01u4TutF27bTTOeiIPfdYtv7ludr9zIUhxr4Cko8m3sMGEpE8Sp4YImHbBdwDW55Km8
SQQzF0PGo2+W9OGBIfNL6kUdUhsR3Se7xacFzOGeFViReTTSTOzdZHmlIwiLWr89CeoNgn6wIyI9
Q7zvXMPjLj98LrUf2PNcXhqKoK4w4hDFtOawXuXBSPFSupC+QOh6xi5F4WJ37538yL/0C6gwlVvN
Ll0j43Wx03rHqO2GugZraA/zfLCc2KeTpFzOFnbAZ+BI61mzPQ2kpDVHz8IFvmUsgZ5Nhy4qQnOu
4uAzeFCSbM8JffrPm7lxrlpDnRdon3sA+m0w6G7a2UV85BItd8Sr2qAojDDP2udae69qXgFXT3IX
j55zMKrUDJEFk6Nsyk+rm33M2h78Zx11zOgTFSd+Zlxay//mUOMS9CO7bD4Tz/h2d97ER0J18QNs
K7q+Y8x+VgwSII9xQCjIsI4uTKpE3DMimPi4OKugJVtfzUb+eV2cmWizasIsZT/lVoRKVlCjDFV8
FuBItoGMG+eUkMIP6TifaX3mn+Wie2/ovtxK73G1kNvY63ppj0LxDtZAHw4e3upDZGcvHdCAG7Sy
8mCrz1s184WNfrt3G894LhxB0AeXsBPIIk0fSwjl+0pjFqX4fjmCh+uezWpWAWuJ/HFlPxFovd7g
Hy4OCmoSk3XiHdYc76GL8yysZjBlUGxNgGTdGporaFRwVsl+cKlZSXqbJb3MvLOwADilsRpPlhWf
eywsV7BQCe2wl3sZXJtXUUV2YDmZ3HsxjdDuRHDEdEl6aDczX8DYUWZmCODE1AlDUW8kWY9VgBzK
q6fcsBf6SQbzIno9ufS8eETGJiNPQq9RExbdkrhZUeWhzXx/4E8drqWBh973DAIo0I5pzLsFffA5
HXETwccrzmNL3++AFBPIldezWbV7knSdwYgyv89RooIZqOilgaO0y7z+yVTpme4b76KACW0QmEcP
aTOcsGuECSi83ToVXuAgce2s1v9CUftjuqADigGWRkX0L0vFcUmNb6WzLoeiI3bcy+t04r/Xsjpy
rIcfBAeKil6j2zN7NMGynRUTaaudcNJPLbXhu1itT7q25pPcxJGC6Cjz1NDvOWgtoYVvG9Jty0cq
9rqbxZKHobQ++e02adCgAb9Hu0+RlcR72BvhsNBDxVftODvtt1EXDBQr1Ca3y+yjWQhxwSORH7LC
GkNqazi19nkTTH6pTkzxd3VhffQ8fQ1WOTtrd35Vk5Y7mVInSgTJg2iYVs++P74VlObQLSy/wfOa
9mOU9vspLp4tMVxJp+9uG2Vd0roriezUxQ1g/B363H2RILdEdqL2mK6+d91gwoUg7uyuQ310YPoG
EdjSsJ364nrB+nCEqA31FPTzqcAUBbH5I9Vx/jPEkFNdVOJq9bLhMFpLe+hVMQaz4hGrdX3G15Te
a1D2meAmhFww4wfGIkdZVnHoAA3szNJ9avIyQXZs06ul1ee4a3EgjzbMg34AEpZwe0nK1vtQ5PP7
KRqGk1zk13qwYDnHRXIYrJ70VwUBOq7oGpHlSMlvgUq9AUGAQG5/+HTTtMxaPSrvvoQNma0AD8DL
0lyMHO45xVkkxtvgN9DBjfmrnTY0ohXDcFbj2nGtSaGjRJF34vqbXvD8TMfY4CoH2M/dD4ADmYEt
+0gi1j3EcrIPeBChgjkN9QAye5vG1D2vhnpeen2lUdh3jRF/t41GXoqqiA6GLPCbNZ44uLWk78gp
zYtqGA8wRVUIgHV0gMpGzk8tq119RpWp+hcn7SOKBWNltH51mmnapDEI9peqp1fmIEgb+wxlNgP7
z6evVHdIOD4uMplY+fYlQ+BxtX1qgVaN2LEbIg8v9jBVtgdVcenI3Iaurrl6k6ddmynN4ZlE7qPt
YJ7vPtQjLZ/UotujlnRg10SUXdIgBWMytSNNt3bdfxbimPjTfvm/jteO+/cL8TtQo3X1y8H654/8
7kYR3jtWhZCTQEPYHGA5Iv9+sLYcDt02E6PL8ZUzNGfe3w/W3juLhQY/xy7X/JkI+/1gLd4R3XWw
qOCvlRy8/X/nYI0B+tfJkdPyNhVjFzYtnKMc43+dHHM9rPk0+Ol9lmN18/ccRrnid3Hu3flR4zgP
jtd2mkCiSZMRpcYYtnd8pTzaWcd6mm851ZBZkDm7ScTPvLcfYWSDpn9zuQHlQEhyrkbNWOUnHGTm
dN8Xrfm1NBsM+azOqlTtO5Eo2OKDqGMgpnxB1HisfYegSNJmlzKrxHcbkbPewWVTn41tfIWWEF9k
7rS7uo6JL/SyeHSxyh7jFaKo7Rcm6LsUZyVfqGGAZtPBvqakjHjUajvGizSNzyAXEDBcgwQX7vFb
L6HdL8UIc00jWHqWSPIfp83wxwmWc2xXecljB9YwCXQ9L/fjsEZ+AMqu7EK74RnjK157vIVt0QSI
6vA7iakAyttasCbvc4qD5kVzi85uXWs2Ap028i7tTLSuhTa/dF94C5BDBHIWJf7sQyw0+3R5km7P
UoF3YnkfLZBcDNoEqFeco/iJiSny4YssiGgLf/459aLkikD3/J6EEPB4z5nNc1zZI8npXJNaEVkp
DrKnVIO7md28LR1+0Dhu0SGVHMkB68pkieOqZuBCvSqqkiY5cC3eaJsUiGKHk3Oi14BWVd0FXiGX
D9iZW++eZ2KZewub6hz4RTIHAOvsUJsIlCX4mu+y46yXxLAGdOoQsI9tL3C39A1eY/nQkrlmUEny
GKhNT4OAx5y01NwTzbIVD1RnT3SllQi6juTO3nWu93WCwRcwPg23jIwrE9VSlwlX5AXj7qEF+HPt
UHO23JjVYMrmYrHZVA0uqkorLvJZyfUaM23V3Dt5S5nNWqXC2Zl2usQVDSqcs3ZDqRGmgQKIdIcz
VSnQCcKxnaDkCm4/DDrmvVrFKJ9Qh2k0k8bsN6/o5rLlhq9NjAHUFbDsoSVozzSyxXPoUqshpUcd
WnsTJ19LuEUNEW2ZS4LCC5y90WWNuoFxKCcwVHo9VrQDe1E1fbLKxIN7yzowXJCjl/McQ3fmLG1V
dNQWnpmcFo409Yl5vRC7nlpFsaf9yehPZlfKQxWn6X0648egFmAky1R3Uck3O1Jyo3UsaR90Wc3K
pYmacbxe15RSPMtw7H2d8G4GzVhyrzIrowMWgU8tvmfdmBIOAq8ub+a1pBhHu+axy4m0J1Qfg4YS
jkEiTuKSANWV0u1ZF+NhjKIiIb5pel1QFmp6b6WaVgBOmvHFMTV7LXAMDxjZvxirX/GdMrx63jPW
L+5tX9uaQ3SblP0hHpb6/Qwr2tmpZUieV3oDOEFFTVcd+YesNrDTQVjmSrQ8ObQD12fL5aSzxzQN
27kwE2sLYkf22a6b7jsMphd3QBK3U1evT2Nujc1pyhNBFixa5kA1Bg5SrU1wRZn14FQT38fI8bMy
zGKuZu6AXJovbXZcZ1tdMgN2aqAmY56vZzFhFrF1tQY8Un5UKtJhIeKINSHvVX2I6QUJrNWxHyBV
mePBHpIigPxiXRFx8kNbZYYfGmnDUc1JZvHcrE4amHZh8T7nTpx97lqZfSIyaLzYXTF+IGsydsQY
HIfvmjOPxNRWOywFOIMzqoGzL2y2D6FHw0V3xX/gDPSJ4HfekbBplnjnqRWh0tGGixtvISnZMGYt
BT5+RtlkbzF2wXj2upjlMsbqk9F2DAtRX04x3XZuOTjUSjQg8VQFZVossf06Tuubw0cYBoeeOeH7
lWmdPDXJB88lrADiYAl6K2nPEsqySTi0t8LCcGGLb4y8xyrSzm1RWhhY6M4pxc3U1fXN2nP4Paq2
tt+3PVSbeR79Xe+l7EhESh0Qe2WzZ7kzZvNwUzYlNqxF6Eek8IzGF+5f8YOY2fAwCDnFsi6n0pa9
dGlEMEiwXFqA4urWUbk4/Eeu/FfOU7Ygqf53cuVTPSBX7j+RsEmrXwTL3370t3OVVO9cfhUESw+x
/Qd48rdjlbLfcaIBzQMKCEnT+iNMb7vvUCnRD1l2eg6NX3/IlTYgS6gxrsTRJQhOYVv6d0yG/iZH
/lmPJ4qGHsr5TPF3sA/4y6lqIIJddVlan2bKvKbQT3JW5VWVssbDFnvwKpAo2PMz9QDAnxWdlVbp
7eSBExmLRBElZy8I8iG13+hUWu6J/lZPo/aijxgN2beyeG9OclrdEzxv1nU+r9FVuoHOyNdzrZxm
bqEBxW0ZUzYarX3NCYU0saghr7EBty/D2hZt2Pop/vduWeAl5Xyx6Zqmau27LukG2kl/cQ65oZ27
hIjBfU6bI83B82iEZmvYoOlh7RJ3civ6Wu3ESsjDaWbHevFuLKOLGsAgXFqH0rYv04qlC/6IWYVz
0Y4fTL5mfsCisf/GowhWlE7FYErXMFhM1bSkTyUdIOEPuwKxGK+jyKyv85BGAYiGJnJxaK9m+T3l
DT+xH8eqRYEy/QFrGn1dPbdtd7mY9BuEf8nv5S97c6hreqsmM3/0cxP1AhvZ3TRE1XND7OuuBw+w
XM3tHLuBM2BE20WJVJoUfCEi7mMtydM1adTDnPN3tWBYIH6ICOA6ZwYGa2DPksL7tfkoYqXuo4Ko
645YmCmCCG2bIxwdDAdJ3zFzvjzPTdnc5aL1710aO2mlc3z3pHn9DiOhl+vCS+lYSZLpOhkobJl/
rOEpN66fhGjVg4GXCd5Xgg1sUe6pFAhx0FrEc0Sm75zS4HWh1NQ5E5Wr7/KuHY2n1SmX0JOZ4KKO
VtEWWBqg3FiuPq1G2fOchX2A099+niDBfOgIP7w15sLN31+RR7e8g/4qjFKFrBuIsqtp8R9mjjCM
q47/BO0lfpjtldibP9OLtndH+yMoTK0ZzrmJBD1huE9qRbLLtfCvm8aW8WFYTO74c1alp0i2/XrG
iAWWLI0G49qKjHHaT6S6QtucVUW5K8nunkqF3EUsmprhkdiXS62SPfv3jTKEDdnb814qsTg3CRLd
RCtF4VBbpDK6aSjHEhhWjjHUfFRnI8umZtkZvBDYHNy0Vh/Y3G5JP3+iV6Lx7Ij3ZwvwOT6owilk
NaIOcSdWEmHYTYz+0nvIdueCeGH6hqXe7y8u/6Ofj4/PezoxjCe6vIBN5tGNLEv6e8ZevyVteUv3
e3xdwObxv2TMH6O1s+yydoxLXJqyCqRVmC+uTbotXbeeB+5xYYQh7mB6/N/eNotzu4JWT3srDQw/
qW+w17Qo+/1jNgi69orGIimTWUIRwEumV8+LYtQTLzGeq9iOjnWHQkDOzi4bfPmiCehpADifz7Qd
9vgnv7oVf8NpMdN52PICQ7D083xl4Dc702XuBotfPdaruu5pLiNnKjRrjnq+TGk2hHJOCyCtHI3J
YR05UxlfUdvDFq2MXt/1iP04Qyzk4LI0vbylGu+pX3WMcjxt6Tv3VXQbSWJgbKMYor7DU/EobJop
xg6oHOlI3C4OGvZY4MFRjUe3UEUreOZWV2bV6G/ZIm/N1Yo+0IY6ocy0xVPFPvkuG2tNFyFuIKfQ
470YIvuwtTLvphT12PHW27RVy7Fg175PoO0f4K4LRDN+SkDWw87V1Q3t4OuHOqLIbSnk3dp0N/2U
R3gGE7ifdt0d24gpOSOofkPL1nTnaRoJOdx+JlzUHhkxVJhGS3RgZ5dR9eUCsweJcFprxOJiHOkX
KFNxtRTLyOo4/rjlu4JYMB3mcqkCEPf1rqCU/G3K2ulklnH/Ajmx54MxGUd8H9+HziuOS5ItYd9N
4nkUVvTRzl2j3CH7UhWbOSXmWGWZ58EjOsWex3GvKlwjByxJ7KsbmiCPDR6Ci4og982GIR+GJvER
17g1ZSW+sd51qH4avVXeLrqtoKyR2MtC1aY95U5t9Oq3mMhst4zYmgzJ7eqr9nNV5zUD+Jzm7xtZ
lCS8xm4XpZY6lLr3j/U6Nh+aKTLfqOUywn4cqBSbqvUWNHuNLDmxzcaK9mDzL25YAxp3CGSvEoen
uRc+wH36rr3bzorEvBvmPhcXd87iaz8vlQ9tkl6Kok8Huc8t+Es4pOhpdCaiwC7mnf1oCfvWpmxu
x5F3ZpJimDtKpiK2KzK/UFtGTrKJURFoMX3FuaGpm9RVG6QD3Xum3W1qef0ANte8tbO8ClS/lfIW
fAwc4Cezpffzhj+22CPgTXEMpgmZfbPhUX8bym4rg7DLlX1WhPzfOd5yqSR37H22tG6wHY1farp1
HhM/V19nEjxhA3biuo2sj4Y/fE/TKn5PHn6m16Yy99pxXyrHNW74TkF0sHO8hcBQ+Cq10UvcOUdQ
pR8jb/iirNY9rrXT79aIClXm3vfLuPhBXyC0S0lfDS0Uu9E2zzBfyF8Lq/kWR3Lc5ZmBwUXZ2WnE
kFLvLbZCoH4jcY9LuwsZT/OHSni3VUzuE3LOEJa9hRPVQgtBHk+6qQm1KNfbbX/LylZ/HbLkGaAv
RynOF6i4EC/ssThJkRGkjDB8Ivxwcc3ddjvMtGrfw0fbzdzlwqSK4Ofn+bNheZCop9b8SOAoPVEF
IL/hSXwkyvQ9Yh2juhRLsyE/VAX829bFnzbnprz4S7ReN+ZA/andfkBLag7QVi5TlUdcO5smJMXE
EBeP9imbl/Jsj80Znse2NxEv6bTk1wWfeUrUkI9Fp4H2ZT2ZbjM7AkNqLnU/Pzlrog9iTSoY4ejV
SbZ+7Tl/7nt7qJ+Y83E3UZHGxrO0F9aY1Rhi3Ox3S6XLwzxgLusM9SUCbQPZP/pgtq59h15V7LFm
PtBnwufK/VJapUC8GkBW00hw1VTQrfHcfJPlBFpGfIUf2iY0yxbNXlR6OqkGBop2GidMccqxMveS
IycW+YjJKw7IW2YHRsn5zqpkdE8VxKXjTa+L7pgm5m2yaMrlJRp7BgsblWNmNSMyDIhN9oK/2oNP
ngxHVGt3wMhV1Y9Dgp03A6omqSRxqW5lLTyra6PVHhyQ9bXPUqonnEMrqjtyqvHemXx4afV3tBA0
8hJbsmHeRZO+Wwu6hpIe0YGNTNaUHyGMI9Lr+XnSw30j+rveqG44rbF881aYlX0075dlwGY2siBe
Mr7mrqIQJHCZ8oE+S8e9Jnivrr2yrUhMdDtrkQTyAEau9xY21v8wQf4lIX2b3hi3/rlP5efg948+
ld9+8A+fCjsj4bkbfdXFcPQnOX3zqQCXtnEAgh5i9PtDTseMAvvDV/ZW6GZLRkLuPX3yP//tWO9I
LlkkIm0Sntsk+e/MfT8wJ3+e+0i8MD2aJt1yAkOU+yPN8ycWtG+yHIqi1rgiAD4+IPzjp2ahei6L
NQ9lQxuSiRft0S48ws81pAnBRfeshOJUk9fTM207JRoTootoe4VpxBzdHYaOal/VIttLr0pojokf
Y3C7Tt6P6E8becKpXqchv58sruf0A9FqSWPkju65GcTphp8sq4Lve45o0zqF9dRXtH00jbV1MMXl
rTON+hkVnDM2MdRgGbriq2kgMyv7BaXku91QUg3T7WHxFw6Ztece24lmn52dDeVjSlr/gkGivVok
oKXd3Jb5kXrGNMiKar5eIK2dy5gGogz4xcXpIv/Q64GrB2Q3D7Oxad52nmHNu8mhaW6cmY2QmVtg
3YtZLafNiBoC+eCY5bbutdmpE/LdY2MKCcXDFzdlLq6qaC4BekKbiBW6UZ7klD21Kjr0hOD2fGDq
kFYwbN1xju2ZEz5lv92eN6u8WgkNHKRrSFYNNAhH1MvtBkc2h9miIuo0V7agflgz2eTF+tS63Pmn
JXllbLVeaH7wzrMjxw+VqGlJAspALaddR7dNt1hmWNRJ2vn71kiEeTVWkb0+VR1dsEOYTrUyvuTF
LOS6gzZirIeBfSHH8qrW6x77gMMw4vSUY1OqvjySNFLUH/lQoiZ4/zND+9jC6CSLdgKZSeNSWXEY
Q8SWd3MJr8OQvcldJDXKpN+pVdsjPrzUvZZ5B11JcBQLjXxlisUewgU2G5z81ljYChiBUc5AlY4o
ldsisf5tr5j/XDPyi7alY/NzBSmjqt8Wkttysvu5qPR1nW57y46DajY9wAcpj1VbKxnf0VRNzuOA
S9Ic1qPD+Xk7MzLyeS+TOWjzyRgXNjuh4WdF6WNMwS1kHUxQcwwVGOBr15xvprRamvbARrka9qIw
xRtYuflhojGnBM9VtZSupgKva27E7CEEhs+9MWiiSekyGq9J7qY5Uqvk/IeDd74Bf0a7cuW3zClx
i0DbWtFjRU9rg7ndZRue5U3yGrlVXt4a2WKJfYlEe7eOk0fIxgBHth/YINDS1lfVZclEcqorvDsp
ZNCY9rmBWiC0hBhXbkdbT1r4lEG3nv2xTRwrKOIyvmtxNt95tKhx9G1ghyZEUI78ASjNpnbDMm7N
cK6K9ZQuLCw8UpaviOUMZ7IV20CzZLrYCV8A38syisWUFxHtkAaatO4lS5F+dgMIh/26M0Ulecsx
u2zA537ZiTGxMGjpnrOSrO5hJcRHCZQhEaN752dj/BwVkEvpTrRcjsDx+uE/Sui/pITa+Cn/7ob4
/K2qvmn97dufl8v2z5/67W6oxDsPfxph2583td8UUN98xzUJu6QFLIuWAEU6+7fFsu298xSLFeVY
UAh+3O9+vxXazjtukNvK2QfTvN0o/51boSP/AQVlkVgVcKOFzZKaWPCvi2W5dNjQJ7c6GyOST3Mc
kUSyMYyMaQLYWCI8cIOS1nTdW8uyLzWd5ULP9lEyZpza0kmB+ka6DNFxxa1uHQ+au5mHHiJiEMee
dvdTx0oj9ub3XK9a+p1t1/7kx5U4W41Z7AffRedKYgfGufw6VE1/Hm0dH+H0xAEey3YvaAPGwNYP
x2U0TfROWpd3qz/rg4tMA2tUkenI2DE5Tas+VZ0uzwMXxoOZeodBk/Ize1o2xiyN70SHR75aUsw/
gEvAM2qH7ADb+Pp9Iob2SJXhetFjsakXlud9ZufWJLu5pIGIdUYc39TAnl7yrFfXc7aaj8PUWUFV
yAdKkP0bM8MiqMo4/ohJnrwWYx0AxWGkHpnhI8rM7thxJT5NKTElSkge6qaW54481MGjC3C3Mgbd
VdK/xFUeuPWc3xvM99zRAYXSeqNCaFv1bshb96mDSxZOrWPuzdVx6JOb9XnQq3GKjBXtME+MC2j1
JsytljUiW6VAU7B603qJTMJWGazTJ6oHBNGi0BLgvuKodI94ccqD1VLfBl9+fWhGS99I2tZ2+WA9
e3M5f1mQn0M9QeGKZK4f1pwBZVq84uCRew6MZl4enTSTnwfO8021fKRsTh9Fwxg6jBhcOfxFr6NK
6wMXQO8r+9t8ATxvZTexy+q/4A6R7Oe5L0NVYpFK0dhPjKvdgbhUGiymsEIFUG07PZCpIjT6WXXV
9D1G5Tysm6sQ7aqsQr43GCJgSePMypoXiqizFza1yyfDwwuN6co1byCTjlfK2AxE2BySXeonTdjE
aMmYfFSQoIFeItOr7mwx1jf45l+S2YAMT3dHe6LSL3+Y69a4ACEd76yyI6jSpoz3TeGwskqRYOVp
MCCHHDqctuPO58ZNY/owTxd0jUNWWWzA1nmDpjqN2ltMjZsUZ5WnZVCITqtPxxvbB7PaFxZeSHvi
QErUJJaE/giwzNZa3gMkOvkulo6EKtObzrM+1UUro+vWLubkihb4N4+eyceSanJgWcI463RwIutY
4Jpkkz36U+V/IUvZUtEVLSs3y1nf68FS5ReKQBi5nYpeG9UPL24z2wAihwShAM/fsxNpyNzdIEJK
KP3LVEsLqlaki4XYp9c8NrNRZoRrljHGKMxh5sUqJoeGUBcQaU86y5M1kU7tKm3g7sgsk1OHx+te
jrBnIy9jl0BPfGTCnsRhtzcxg93SRVvKN84ZQJBD7S7ioeIoGX3NIsqC3HT1d1zhuCM6BowWpnY+
uW6+o3tsmCjxckS+n8ct1WL2fvZZGtFinFQ1Ardy64KqxVoNQx78zBFvo7FzM8Xlluck4p7DK+ST
YkKFwgXXm+Ouaqf5Hvya8xX1vc+PqOjsoSnQQBoejZTTQ8/ewQ8rN+chKVfv8FjMJvEvzC8l8npB
zNmkyPPItW9LX+Ss23eWr9kdlzFeSdDmflXfkQC0ag98QJvY/RWQGNcEhzli/JOzjGHRVN7dTMLr
4DosVkyzGClodXmNEdKj5RlchnXFuV13u5zmYXO/lv5ERRKN0ZXvtOc89fnez24UuD+qpa3BlsdB
WMmxkqM61lsHdWUV1+uPWupOuPX1vHVVR/gpwTr1FFgXjpLbfjnFDT1sHdd95lkXRe21u/Vf813l
mCliLw27uLaNAxwY80kWMFg9S+NbJolu7KjKrqgPG+pHNUqo6B7rJyBT1G9btn+1ELrdFW1H0/zs
xMe+QzfbreuAB7rU6/KlXdrP3KO62w0IcZjktrAH56V2ltmaT/EqogMZfPVCJkE/OCyNuTlUxbkA
unBX94rgmbGYl5HQ2ZeVkZWiHBFoSTMal87oRGe3+T6XIg1IwaoPo2jnmiCz1dDQ3M5XcpXrjeNa
ahe3Mw1205Ihb9mom20NriueD4gdzm7uzTVDTkrwYWWj7YQZotY95oGMLLp/1DCzX1ZZ9+cF8OpR
dBXBAFg9OHoEm6BV49CYGFTuJDuoLOhmS12lNpd4H8NYwH6RKk0e/2n2HXdnCVZzMU7qe1wCWF5p
1gudzI+PHk/g0Gia43ZichIujavz3rZbwnKj6zefwPr0N8w64hsLhfrg9tgRchGJk6db+82YeTwQ
2XHQCB0fSNk3RIj74jY3p/Z14Ht4g87d3YNU8q/JRlZwbCEoIU2mRwbF8Tav3RVSduGdinX82Con
vV6cJHmL2FfcRpHw+SXa4yQA7hlrNDb/urTNWz3jI9mnfPPv3UzOR9/yuk9KVqQYvJwEwdo/dBiA
aVUulXcu0SHxJm0dcMyunyd4hbtmLk08xPSVg8d9ozHBQ2FDloZSRNjYWGzqCXPsu6YgolhFZuiA
+r1x09QERqaZarj7k2o07CZwUIkBFIj+Bb5Sr8gEELvdOWTCfYNloh5nj1GSFM4eTX2hUTu2qGIp
lYWv2Mw9EfPbzEmttuJLDew8qCnt+WTNiFuzg+y4k2a2JYbBueEPHlkmyScbRDgJR6AAaZw8a29p
0of/nO//pfM9hkpcAf9c8Hr9Ro676n853f/8md8tDuIdp2qIIcQJfwBtOcb/dsKX9juMZnhDIXT8
UK14pN+toz9ISpbF2/7/54I/xC5cqAD+QY8xBFCv92+d8H+1OFj+9mXz8aHaDB8O4KFfz/dKYIFk
beqelNIgppNE7QCO2rs/vSb3Py0T/1UN5X1NXYD+n//epoQ/GymUJ+jggnzDRIKV4q+VH9Ewtixt
4ug0ZBV0yNH08RTh+fq4EcDvSw+YZAF3tQsAOTc/R9N/WiG3vV//8OCE4mgT4mWTvNi/PkXAM8Vs
k2o+xY5fIxJ1GkrIjAEDSHr+mFHn+yn2ywYTZpXaAfeL9NtsoAKEXufZQcGymDws2nY/0s1mwzEh
Fc6FVquM8piswC9PMR/rkDimw0DL6LH0iin4+xfwf30SEh4UQgeCJJCEX5+E2TkNGerVP7UrWMbZ
AX5aGiU2ATktL60NCjgSubRDgzwyYYu5+TD5EGPcOt4Mqam/WSus+R6wClexcUWp94F8j8xGZ2yq
+UGNbBrLdKBjBc8W68WS/dnfPwfm4n94H5T0wC4rhannrx5l7dgYA+Tkg8Qj/9+ZXMOxty1s6bLv
f/9If3FDU2QLTUqZtosqDGzsr0Oryy6bIB6PNJI6o1yv5c3zVHvpert9MF18Fn//eNsn6K8fb5/c
pGPxEYfZtX0C/6QXWwKCSkm1zIlu9+6BKwqnj4Fo9N8/yv/y+jGGY/QGm4356a/IQb/jcsFBVJ06
a0rRnbPvje2np1yr579/oM3N/tfn41oIZjQ7cF34h4tCFgvLn/gMniyo7edVarQlCp+PywbYWUq8
iVTyeBrbdp8/LiNcjKbgTutgpXlk1qDqxnXbh27xWEZ7I3sYaCCciUeaEU7xxtgm8IJBhM/myxgD
5tzjAnI4smawUnZOzIOQrYMzqKz0pC1Pv03emp7+/kn+BKn98q6pTeLn5bSAXPu+u6XA//SubYxX
mmC7+TRlbCvLuMZGGkf6jAsyP9S5tnaeXX8Hqm9sh1803UVmJyBEpHRE0x/ypiMblKcTuICKhh+v
Mt8EtvZblyXYRzmV5RsCITvXyXoSVJFyz54Kse88rJSWmfuHBEYusb5kfkniCp0gTpdjDq4Fte4j
l7P85PWuexcPFvVOaU3g2vOTU9lEtA1wWj7h3YU24aZlmADyOmq7Vs9k4bNzZkCBqESLYsyu8f+x
d2a9bWNJFP4rQb/T4E7xoRsYS7Isr4njLJ0XgrEUcafEVdSvn+9qcUR5SaYpDIzBEHlIIunysniX
ulXnnHrwSJcQmAmp/zZfVbfzSKkXp9XK0q/iHlIflWMaQ47yet/UAYybQAqifqHM0vMwS8PPBYjz
iNpJlAJppFt8wGbSNI3AA3nFEM6pNjIcHXxaYHpqf0XacCBZK/2DAQPrnkRJ/AWuafhjrngptCXZ
JkZkZ+R7T+uUk3aaeMuvVo9whhWr2blh29E4aILlFUUZzFsTKYpB0fOFlmbs17cl+Y7v8GMMV17k
Q2DaQd9zwqkUSr1riVjtQJ/5RJ2t7CKOqe4AaXhBgMMWVWSTm9SZO5SATmrqrCL4fSpBaaPOw5Ww
JznRgDAxak/g8FHgVmLtb8OjWAQVX4Heh3F8BRy5+SRFYaHyqby6UZC1QRpBRF1l9pd+ENfaCO3b
3hiPWXMzx8zfB9gpGRdyib9n5dp9qJ8lQJKG5JRRgFtomptSauss9FRpoM2XMKAEBvxTAkW3n4bL
mleDki96fLPzuinPPE/7oDpxOWRtq8Zk+JvTRloWvdPMUyd4gPEgM5X5hyaLrn3HoHREXXFcnUWg
850QoV/U3PqZjBaJCqRanun6aWAvZx+TYHYNsOibB6Lq3CsK+c5RVs0wyMwv8OmAqyfJAABU0JcC
0/5cGE7vTMsy5cpaljXlVEL7NK1Wy34sa7AVg4VEWFp2iMJJHksUMHQlTsDhomoA8mhmj8J8mfQb
Ald/SwhA0ZmlcwZZBLknkDcpMPsFlEI2I2vANgRTctYzqfFW+/6gnJnqKMtz6dIAaXNVSLj/GWU5
3KDOZaSTc4v4f8Pp/1RWg/ntKhXiFUqukNBqFH3sIbdxrmi+fG6lTBdTwtsP4eiqcEmHqMd4EBk9
SJKF5whBtuQhq/TZ1wB65MS08uarVmX1RdzrVQiV2PDTocheZbKElDNH8z4Ih2pcKswvqQnnlPlo
AEtDqbRyZQxe1FotBsrCjIexjIbVUlotP+mVnJwRJ/bGcjibD/Uo1QGLIIBva+htKOYiufKRYoRr
iEgJFPDkKkhK+I1EkRYXaP+HAzMtm5FkEpJa5HJ45gRV86MCMZTeIAgbDRxRHwC5ShnxepVzp0rt
DX/GzqGsUHxX5XI+lKtaHfLE2YVlkm+rgacNkGxpyKaBj1nZtX6rMlFvGl9eIAnjwDlBACKtpqj9
12Ah5RVchSB78CxAZ+hYW5/XOuEJsd57Sca/iFLEdygGhHdS4fIB1ZZPYdeiWe5EBHtPSwU52aVs
hncRcLCvqNiEg1Be1Ujj4BdKxhwoV4hkW011mbP5zC4/p0UOcA5o/2QleTJUSoRSgoyHXMxxv8wo
RTydejTnTaPNbzRv5VxYudDfqjUQpKgmoMcCpJ3YVMWTw+a/FaT1gVFq6hDoIjwhYgC3K2uOLjko
M36j2hGi5qYpSIpobdVhacujqkLOxiFcSGCGdBjsoDAwhqRejVuFhaG/SsBYzQt1dS4HZtS3rdK5
wFcxIGWYNkCNKLuoTMaronnND3zg6rNfZazrqbq4CJqI4ze+jTpSIM6MnEQyLossle4abuCtFaWA
+1jomBkwR77VkBJRi0NJ5g6KDH+jduFdJoMFzITWmtwz4EuC1rOqRTrKA5WimPiL2qWxlEckJsm+
ZaVGVRsh5OYh6YYGndmvogBZbiH6libEgR1J7ddF4VPjHgUeAjTASRLYTaE3q0bZWkQO81vhQ6b3
Ft4VMXaE5iB6kPZcJlRKKGJkiDIN7NSVTSR5zsraoPYGMEz3bpa1uoxX4/X2/n8lkV9QHUn9qDgy
Lx9Yv8CgIjfSOrBufrM9sK6VQgw0OkwZH12B8vh4YKUuKMrbZJZ+IjD2z6twD3dsRlEyZHdelQXV
0RL5VxD0FsVWOpxXOcUZwge2OQPpSORowkned9rKWgHxs6hvyngyyyNQTt/3rPF+4//tH1WF17fn
FT65gThb7N0gW2pRPF9ygx515zw25dJ2/erGt/tePHn9VsbByZTkGKxReKE42UiIG/IBvwAOixIZ
KCJcB0aEqiSCShJgFbM5Rd+cNM63PFjOeg8eKMZCxltBkmLVT1EA85MLWZMXs3iSblLys1L3KKY7
QktEHlHUu5z6PfQA4qsyg/2jX8omAhdRbgdOdt9DURIJIyl17ptFcRaovnGBAK/yPqBSN6ULCNMl
RV9NVBQmtIwprFamhFdUV5pdDIwoXnjhx4UNEjDDZUwqKx3QCTYpH+Ev9qtSvciUuf+pWUblZeQs
QGyyC0X1GXHSSIsvLZAQA2MJVLenAAL/xj6OLJ5E7OoU0EfWp5yQrt3qkjVfXQaF7UkfaxlidjLU
qpljk89nrS2WDjpzGcmj/61VY7v8icqVw3X46kM5zZq7aV5GRb6juohP14GY+/Sffen1ht5Nfy9w
hr7P3nR47NS6x6+1EbkwusvJFFiXdaKvD2g9yiGJi7kaodaz/VhSVGpMGaaAlLK6cG1uuGekl8zw
+hNu7Pn6d1pP8ICYUCHew8w/ZJETKmitxesePbXBQQs/baDZJwaBDFjACIOJiwT9vg1sxJsUEv4I
rGxstLnhf98G7oRtZeAjxOI/FPu7i8Gx7feMcNDEnhGsExWYIKEj6omJixe9bwRFsU8oCSZipQQz
xbU/7R+H3jPz4fWX/B8PhIMn2MyU8eTPPyjipXSdDhDfDKphWJBGNg95MB0s+0RhO0EOH/k2cbF1
Mfbe0FAgAtw75A2+MCEOLNkaC4ZqqT3TAJkiLjyN/bHQgx6IhDxyW3gb4sJDeFtWIMco9Bt+Z1l4
2Qo21Uw0gtkoPqwvXIt9KwhPjQOEqgJDeWvPrwCioLudnl+FOCpSF/r2JR+uCD2BCKb+CxSGjX1Y
Nt/WKICjLurudbICRTXQajSRHdleB+uiZZ0QKoZGaW1XDObKG7MCE7nr7kB1bVYERcyGjRkO5gJb
JHkycmY7O729FcEEytd1LOgnOAEUzBQwvfXVXhF6lG0BP8Vu/FZnhAZJYPNqNrm9x337qbv08rpI
thUxHsgFG4/wcF1gLGjQDJkRP3eP350Rv7GRPvrgfc+PJmvv25/mzznpL31h55A8/Xzrca69iT1i
+/qLIiiwufdP5/yvlpHWbsDehzu3YP/n2wd8eutnO7X7z3N/mrnE+Jr14zbbbt64MR78vyL3uxu7
++4g74Vl72dP/vyj1c+9WfCLhvPwoF2REOvcLtVc07ZiAeBXRmX3hkM3yd1815J4jRCbWbC7ttx3
I/9HmiV+yxwbr7tz22mUZu6kVacNkg0uRfeWwUU/FD46g7vGhEngRLJHdW18MI3c2s2mu5ZEyz0K
v+3+/WwM7XEnfm3c7Q4479If7wi1lPH3ttlFeavudyEunvmT1vvcOk1dLTOaptms3WVO0QL10bXl
cyzu+7t21sNbW7O3ujY8nrheawBCflGOsISMI7RJUr89IzmfHGH8jZOJ7x6sInqvh1/S2Rhp3R4W
QGo4BnZt9vLp2mQq6hHmyyU9Kx/CZtfF9bjYnAK79vkqJaf3xMzU1jrC2Lh2/aS1egi41REm9rVL
SVw3meybAwrHMV7htZvn7oNX5tOiaI1pCIz6MUziP3j+zG2LJBJ4OcJecO0LjsyhsjmxnCNMmGs/
z8Wf+by1NkFakI/Uelpmh00fpeOgCg/WEGqa9uzd0Pnne9jN9HvmHnhPQIfEOazrnLyZVm573yJf
IXI03Ruu35278TyHadmamLQvwsLHaP9imuXTZteWWKlAYQvu7zEaf7ne7cvR9N/ySEQx3ZdqeXZt
el104DkVr204s7NhflHVoGP/qUrechxUndHS/XXehhEeSftUQ9P2ERbZl3VoO5riPTTEHOCAe3BM
2Eahur7IOy+dTN+N8yd7G8puR/AtP/5STq6jeTY3eFm2oGPzr5JAO7e9bJ8qt2GUrq/0U+F6u7ki
1sJt1Lprs6/g5Tsa4rPPyeZgeMMVPcb4++Ky7yB1007uIbQsUpxdLfJlmhfvnu088IsjHEa++PlD
Ct6o5blpm4hj576/DCZ59W0+F2l6zFQ9jT/t8nDP/awdXBPfeIimbvbXvwEAAP//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304799</xdr:colOff>
      <xdr:row>5</xdr:row>
      <xdr:rowOff>66675</xdr:rowOff>
    </xdr:from>
    <xdr:to>
      <xdr:col>9</xdr:col>
      <xdr:colOff>409574</xdr:colOff>
      <xdr:row>29</xdr:row>
      <xdr:rowOff>180975</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BE98D2B-2E4A-4983-9BF9-B0BB52E7CB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62199" y="971550"/>
              <a:ext cx="4219575" cy="4457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0</xdr:colOff>
      <xdr:row>5</xdr:row>
      <xdr:rowOff>57150</xdr:rowOff>
    </xdr:from>
    <xdr:to>
      <xdr:col>17</xdr:col>
      <xdr:colOff>304800</xdr:colOff>
      <xdr:row>19</xdr:row>
      <xdr:rowOff>133350</xdr:rowOff>
    </xdr:to>
    <xdr:graphicFrame macro="">
      <xdr:nvGraphicFramePr>
        <xdr:cNvPr id="3" name="Chart 2">
          <a:extLst>
            <a:ext uri="{FF2B5EF4-FFF2-40B4-BE49-F238E27FC236}">
              <a16:creationId xmlns:a16="http://schemas.microsoft.com/office/drawing/2014/main" id="{92B3633F-7FA6-4691-BED3-BD43320BA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600075</xdr:colOff>
      <xdr:row>20</xdr:row>
      <xdr:rowOff>95250</xdr:rowOff>
    </xdr:from>
    <xdr:to>
      <xdr:col>17</xdr:col>
      <xdr:colOff>295275</xdr:colOff>
      <xdr:row>34</xdr:row>
      <xdr:rowOff>171450</xdr:rowOff>
    </xdr:to>
    <xdr:graphicFrame macro="">
      <xdr:nvGraphicFramePr>
        <xdr:cNvPr id="4" name="Chart 3">
          <a:extLst>
            <a:ext uri="{FF2B5EF4-FFF2-40B4-BE49-F238E27FC236}">
              <a16:creationId xmlns:a16="http://schemas.microsoft.com/office/drawing/2014/main" id="{F56E86F4-F8E8-4BDE-8283-627461215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400050</xdr:colOff>
      <xdr:row>5</xdr:row>
      <xdr:rowOff>76200</xdr:rowOff>
    </xdr:from>
    <xdr:to>
      <xdr:col>24</xdr:col>
      <xdr:colOff>523875</xdr:colOff>
      <xdr:row>19</xdr:row>
      <xdr:rowOff>152400</xdr:rowOff>
    </xdr:to>
    <xdr:graphicFrame macro="">
      <xdr:nvGraphicFramePr>
        <xdr:cNvPr id="5" name="Chart 4">
          <a:extLst>
            <a:ext uri="{FF2B5EF4-FFF2-40B4-BE49-F238E27FC236}">
              <a16:creationId xmlns:a16="http://schemas.microsoft.com/office/drawing/2014/main" id="{BB0026B8-7A60-4EEC-B2DB-391DE5ABA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466725</xdr:colOff>
      <xdr:row>20</xdr:row>
      <xdr:rowOff>142875</xdr:rowOff>
    </xdr:from>
    <xdr:to>
      <xdr:col>25</xdr:col>
      <xdr:colOff>161925</xdr:colOff>
      <xdr:row>35</xdr:row>
      <xdr:rowOff>28575</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9846FA25-5AFC-41B2-9321-7FA463986D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125325" y="3762375"/>
              <a:ext cx="5181600" cy="26003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161925</xdr:colOff>
      <xdr:row>30</xdr:row>
      <xdr:rowOff>85725</xdr:rowOff>
    </xdr:from>
    <xdr:to>
      <xdr:col>9</xdr:col>
      <xdr:colOff>466725</xdr:colOff>
      <xdr:row>44</xdr:row>
      <xdr:rowOff>161925</xdr:rowOff>
    </xdr:to>
    <xdr:graphicFrame macro="">
      <xdr:nvGraphicFramePr>
        <xdr:cNvPr id="7" name="Chart 6">
          <a:extLst>
            <a:ext uri="{FF2B5EF4-FFF2-40B4-BE49-F238E27FC236}">
              <a16:creationId xmlns:a16="http://schemas.microsoft.com/office/drawing/2014/main" id="{98037551-54A3-471B-AEC4-1AB182C6F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228598</xdr:colOff>
      <xdr:row>35</xdr:row>
      <xdr:rowOff>152400</xdr:rowOff>
    </xdr:from>
    <xdr:to>
      <xdr:col>14</xdr:col>
      <xdr:colOff>47625</xdr:colOff>
      <xdr:row>45</xdr:row>
      <xdr:rowOff>85725</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6541BAB6-9FDA-4057-9428-BB82DC9E6C9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086598" y="6486525"/>
              <a:ext cx="2562227"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28574</xdr:colOff>
      <xdr:row>1</xdr:row>
      <xdr:rowOff>28576</xdr:rowOff>
    </xdr:from>
    <xdr:to>
      <xdr:col>17</xdr:col>
      <xdr:colOff>371475</xdr:colOff>
      <xdr:row>5</xdr:row>
      <xdr:rowOff>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AA4B2B62-277C-4F13-8CE2-6D961093DC5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86574" y="209551"/>
              <a:ext cx="5143501" cy="695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7.113392129628" createdVersion="8" refreshedVersion="8" minRefreshableVersion="3" recordCount="2000" xr:uid="{C418FAF2-9A1A-4879-96C4-A141DF3862EC}">
  <cacheSource type="worksheet">
    <worksheetSource name="Sales_data"/>
  </cacheSource>
  <cacheFields count="12">
    <cacheField name="Order Date" numFmtId="14">
      <sharedItems containsSemiMixedTypes="0" containsNonDate="0" containsDate="1" containsString="0" minDate="2013-01-01T00:00:00" maxDate="2017-12-31T00:00:00"/>
    </cacheField>
    <cacheField name="Year" numFmtId="1">
      <sharedItems containsSemiMixedTypes="0" containsString="0" containsNumber="1" containsInteger="1" minValue="2013" maxValue="2017" count="5">
        <n v="2013"/>
        <n v="2014"/>
        <n v="2015"/>
        <n v="2016"/>
        <n v="2017"/>
      </sharedItems>
    </cacheField>
    <cacheField name="Month" numFmtId="1">
      <sharedItems containsSemiMixedTypes="0" containsString="0" containsNumber="1" containsInteger="1" minValue="1" maxValue="12"/>
    </cacheField>
    <cacheField name="Month Name" numFmtId="1">
      <sharedItems count="12">
        <s v="Jan"/>
        <s v="Feb"/>
        <s v="Mar"/>
        <s v="Apr"/>
        <s v="May"/>
        <s v="Jun"/>
        <s v="Jul"/>
        <s v="Aug"/>
        <s v="Sep"/>
        <s v="Oct"/>
        <s v="Nov"/>
        <s v="Dec"/>
      </sharedItems>
    </cacheField>
    <cacheField name="Customer Name" numFmtId="0">
      <sharedItems count="13">
        <s v="Darrin Van Huff"/>
        <s v="Claire Gute"/>
        <s v="Emily Burns"/>
        <s v="Irene Maddox"/>
        <s v="Zuschuess Donatelli"/>
        <s v="Alejandro Grove"/>
        <s v="Sean O'Donnell"/>
        <s v="Ken Black"/>
        <s v="Andrew Allen"/>
        <s v="Sandra Flanagan"/>
        <s v="Pete Kriz"/>
        <s v="Harold Pawlan"/>
        <s v="Brosina Hoffman"/>
      </sharedItems>
    </cacheField>
    <cacheField name="State" numFmtId="0">
      <sharedItems count="10">
        <s v="Nebraska"/>
        <s v="Florida"/>
        <s v="Pennsylvania"/>
        <s v="Wisconsin"/>
        <s v="California"/>
        <s v="Washington"/>
        <s v="Kentucky"/>
        <s v="North Carolina"/>
        <s v="Texas"/>
        <s v="Utah"/>
      </sharedItems>
    </cacheField>
    <cacheField name="Category" numFmtId="0">
      <sharedItems count="3">
        <s v="Technology"/>
        <s v="Office Supplies"/>
        <s v="Furniture"/>
      </sharedItems>
    </cacheField>
    <cacheField name="Sub-Category" numFmtId="0">
      <sharedItems count="9">
        <s v="Appliances"/>
        <s v="Tables"/>
        <s v="Paper"/>
        <s v="Storage"/>
        <s v="Chairs"/>
        <s v="Bookcases"/>
        <s v="Phones"/>
        <s v="Art"/>
        <s v="Binders"/>
      </sharedItems>
    </cacheField>
    <cacheField name="Product Name" numFmtId="0">
      <sharedItems/>
    </cacheField>
    <cacheField name="Sales" numFmtId="2">
      <sharedItems containsSemiMixedTypes="0" containsString="0" containsNumber="1" minValue="10.11" maxValue="1999.02"/>
    </cacheField>
    <cacheField name="Quantity" numFmtId="1">
      <sharedItems containsSemiMixedTypes="0" containsString="0" containsNumber="1" containsInteger="1" minValue="1" maxValue="9"/>
    </cacheField>
    <cacheField name="Profit" numFmtId="2">
      <sharedItems containsSemiMixedTypes="0" containsString="0" containsNumber="1" minValue="-199.93" maxValue="399.89"/>
    </cacheField>
  </cacheFields>
  <extLst>
    <ext xmlns:x14="http://schemas.microsoft.com/office/spreadsheetml/2009/9/main" uri="{725AE2AE-9491-48be-B2B4-4EB974FC3084}">
      <x14:pivotCacheDefinition pivotCacheId="18937654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7.135449421294" createdVersion="8" refreshedVersion="8" minRefreshableVersion="3" recordCount="2000" xr:uid="{FAC9026F-55F3-4EC3-AD0C-5B7B999AA86A}">
  <cacheSource type="worksheet">
    <worksheetSource name="Table2"/>
  </cacheSource>
  <cacheFields count="2">
    <cacheField name="Custmer Name" numFmtId="0">
      <sharedItems count="13">
        <s v="Darrin Van Huff"/>
        <s v="Claire Gute"/>
        <s v="Emily Burns"/>
        <s v="Irene Maddox"/>
        <s v="Zuschuess Donatelli"/>
        <s v="Alejandro Grove"/>
        <s v="Sean O'Donnell"/>
        <s v="Ken Black"/>
        <s v="Andrew Allen"/>
        <s v="Sandra Flanagan"/>
        <s v="Pete Kriz"/>
        <s v="Harold Pawlan"/>
        <s v="Brosina Hoffman"/>
      </sharedItems>
    </cacheField>
    <cacheField name="Year" numFmtId="1">
      <sharedItems containsSemiMixedTypes="0" containsString="0" containsNumber="1" containsInteger="1" minValue="2013" maxValue="2017" count="5">
        <n v="2013"/>
        <n v="2014"/>
        <n v="2015"/>
        <n v="2016"/>
        <n v="201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13-01-01T00:00:00"/>
    <x v="0"/>
    <n v="1"/>
    <x v="0"/>
    <x v="0"/>
    <x v="0"/>
    <x v="0"/>
    <x v="0"/>
    <s v="Self-Adhesive Address Labels"/>
    <n v="1566.97"/>
    <n v="7"/>
    <n v="12.73"/>
  </r>
  <r>
    <d v="2013-01-01T00:00:00"/>
    <x v="0"/>
    <n v="1"/>
    <x v="0"/>
    <x v="1"/>
    <x v="1"/>
    <x v="0"/>
    <x v="1"/>
    <s v="Bush Somerset Collection Bookcase"/>
    <n v="1999.02"/>
    <n v="8"/>
    <n v="317.88"/>
  </r>
  <r>
    <d v="2013-01-02T00:00:00"/>
    <x v="0"/>
    <n v="1"/>
    <x v="0"/>
    <x v="2"/>
    <x v="2"/>
    <x v="0"/>
    <x v="0"/>
    <s v="Fellowes PB200 Comb Binding Machine"/>
    <n v="1728.52"/>
    <n v="7"/>
    <n v="275.18"/>
  </r>
  <r>
    <d v="2013-01-02T00:00:00"/>
    <x v="0"/>
    <n v="1"/>
    <x v="0"/>
    <x v="3"/>
    <x v="1"/>
    <x v="0"/>
    <x v="1"/>
    <s v="Bush Somerset Collection Bookcase"/>
    <n v="157.75"/>
    <n v="9"/>
    <n v="168.47"/>
  </r>
  <r>
    <d v="2013-01-03T00:00:00"/>
    <x v="0"/>
    <n v="1"/>
    <x v="0"/>
    <x v="1"/>
    <x v="3"/>
    <x v="1"/>
    <x v="2"/>
    <s v="Newell 322"/>
    <n v="1112.1300000000001"/>
    <n v="9"/>
    <n v="152.22"/>
  </r>
  <r>
    <d v="2013-01-03T00:00:00"/>
    <x v="0"/>
    <n v="1"/>
    <x v="0"/>
    <x v="1"/>
    <x v="0"/>
    <x v="1"/>
    <x v="3"/>
    <s v="Eldon Fold 'N Roll Cart System"/>
    <n v="1869.77"/>
    <n v="5"/>
    <n v="296.63"/>
  </r>
  <r>
    <d v="2013-01-04T00:00:00"/>
    <x v="0"/>
    <n v="1"/>
    <x v="0"/>
    <x v="0"/>
    <x v="3"/>
    <x v="0"/>
    <x v="3"/>
    <s v="Bush Somerset Collection Bookcase"/>
    <n v="1663.54"/>
    <n v="3"/>
    <n v="-67.94"/>
  </r>
  <r>
    <d v="2013-01-04T00:00:00"/>
    <x v="0"/>
    <n v="1"/>
    <x v="0"/>
    <x v="2"/>
    <x v="0"/>
    <x v="1"/>
    <x v="4"/>
    <s v="Bretford CR4500 Series Table"/>
    <n v="707.44"/>
    <n v="2"/>
    <n v="21.96"/>
  </r>
  <r>
    <d v="2013-01-05T00:00:00"/>
    <x v="0"/>
    <n v="1"/>
    <x v="0"/>
    <x v="4"/>
    <x v="4"/>
    <x v="1"/>
    <x v="1"/>
    <s v="Bush Somerset Collection Bookcase"/>
    <n v="1585.89"/>
    <n v="4"/>
    <n v="-131.84"/>
  </r>
  <r>
    <d v="2013-01-05T00:00:00"/>
    <x v="0"/>
    <n v="1"/>
    <x v="0"/>
    <x v="4"/>
    <x v="5"/>
    <x v="1"/>
    <x v="5"/>
    <s v="Eldon Fold 'N Roll Cart System"/>
    <n v="630.88"/>
    <n v="2"/>
    <n v="183.02"/>
  </r>
  <r>
    <d v="2013-01-06T00:00:00"/>
    <x v="0"/>
    <n v="1"/>
    <x v="0"/>
    <x v="0"/>
    <x v="1"/>
    <x v="1"/>
    <x v="2"/>
    <s v="Bush Somerset Collection Bookcase"/>
    <n v="1440.62"/>
    <n v="1"/>
    <n v="134.16999999999999"/>
  </r>
  <r>
    <d v="2013-01-07T00:00:00"/>
    <x v="0"/>
    <n v="1"/>
    <x v="0"/>
    <x v="5"/>
    <x v="6"/>
    <x v="0"/>
    <x v="3"/>
    <s v="Fellowes PB200 Comb Binding Machine"/>
    <n v="1251.25"/>
    <n v="4"/>
    <n v="-190.95"/>
  </r>
  <r>
    <d v="2013-01-08T00:00:00"/>
    <x v="0"/>
    <n v="1"/>
    <x v="0"/>
    <x v="2"/>
    <x v="3"/>
    <x v="1"/>
    <x v="1"/>
    <s v="Eldon Expressions Desk Accessories"/>
    <n v="430.2"/>
    <n v="2"/>
    <n v="8.85"/>
  </r>
  <r>
    <d v="2013-01-09T00:00:00"/>
    <x v="0"/>
    <n v="1"/>
    <x v="0"/>
    <x v="6"/>
    <x v="7"/>
    <x v="1"/>
    <x v="6"/>
    <s v="Self-Adhesive Address Labels"/>
    <n v="1040.0999999999999"/>
    <n v="5"/>
    <n v="217.02"/>
  </r>
  <r>
    <d v="2013-01-10T00:00:00"/>
    <x v="0"/>
    <n v="1"/>
    <x v="0"/>
    <x v="0"/>
    <x v="8"/>
    <x v="2"/>
    <x v="6"/>
    <s v="Cisco SPA 501G IP Phone"/>
    <n v="692.8"/>
    <n v="2"/>
    <n v="-62.1"/>
  </r>
  <r>
    <d v="2013-01-10T00:00:00"/>
    <x v="0"/>
    <n v="1"/>
    <x v="0"/>
    <x v="7"/>
    <x v="6"/>
    <x v="1"/>
    <x v="4"/>
    <s v="Eldon Expressions Desk Accessories"/>
    <n v="1500.94"/>
    <n v="8"/>
    <n v="319.10000000000002"/>
  </r>
  <r>
    <d v="2013-01-11T00:00:00"/>
    <x v="0"/>
    <n v="1"/>
    <x v="0"/>
    <x v="8"/>
    <x v="8"/>
    <x v="1"/>
    <x v="1"/>
    <s v="Newell 322"/>
    <n v="1966.06"/>
    <n v="5"/>
    <n v="-138.31"/>
  </r>
  <r>
    <d v="2013-01-11T00:00:00"/>
    <x v="0"/>
    <n v="1"/>
    <x v="0"/>
    <x v="9"/>
    <x v="7"/>
    <x v="1"/>
    <x v="0"/>
    <s v="Self-Adhesive Address Labels"/>
    <n v="1298.94"/>
    <n v="1"/>
    <n v="220.1"/>
  </r>
  <r>
    <d v="2013-01-11T00:00:00"/>
    <x v="0"/>
    <n v="1"/>
    <x v="0"/>
    <x v="10"/>
    <x v="7"/>
    <x v="1"/>
    <x v="5"/>
    <s v="Hon Deluxe Fabric Upholstered Stacking Chairs"/>
    <n v="1506.23"/>
    <n v="6"/>
    <n v="292.13"/>
  </r>
  <r>
    <d v="2013-01-12T00:00:00"/>
    <x v="0"/>
    <n v="1"/>
    <x v="0"/>
    <x v="9"/>
    <x v="1"/>
    <x v="2"/>
    <x v="7"/>
    <s v="Cisco SPA 501G IP Phone"/>
    <n v="430.41"/>
    <n v="3"/>
    <n v="386.43"/>
  </r>
  <r>
    <d v="2013-01-12T00:00:00"/>
    <x v="0"/>
    <n v="1"/>
    <x v="0"/>
    <x v="11"/>
    <x v="0"/>
    <x v="1"/>
    <x v="7"/>
    <s v="Eldon Fold 'N Roll Cart System"/>
    <n v="1948.32"/>
    <n v="7"/>
    <n v="324.63"/>
  </r>
  <r>
    <d v="2013-01-13T00:00:00"/>
    <x v="0"/>
    <n v="1"/>
    <x v="0"/>
    <x v="12"/>
    <x v="4"/>
    <x v="1"/>
    <x v="6"/>
    <s v="Cisco SPA 501G IP Phone"/>
    <n v="585.80999999999995"/>
    <n v="5"/>
    <n v="334.19"/>
  </r>
  <r>
    <d v="2013-01-14T00:00:00"/>
    <x v="0"/>
    <n v="1"/>
    <x v="0"/>
    <x v="7"/>
    <x v="2"/>
    <x v="0"/>
    <x v="3"/>
    <s v="Fellowes PB200 Comb Binding Machine"/>
    <n v="307.60000000000002"/>
    <n v="4"/>
    <n v="-151.94"/>
  </r>
  <r>
    <d v="2013-01-15T00:00:00"/>
    <x v="0"/>
    <n v="1"/>
    <x v="0"/>
    <x v="12"/>
    <x v="1"/>
    <x v="2"/>
    <x v="6"/>
    <s v="Self-Adhesive Address Labels"/>
    <n v="1984.11"/>
    <n v="1"/>
    <n v="339.93"/>
  </r>
  <r>
    <d v="2013-01-15T00:00:00"/>
    <x v="0"/>
    <n v="1"/>
    <x v="0"/>
    <x v="6"/>
    <x v="6"/>
    <x v="2"/>
    <x v="2"/>
    <s v="Self-Adhesive Address Labels"/>
    <n v="959.49"/>
    <n v="5"/>
    <n v="-90.33"/>
  </r>
  <r>
    <d v="2013-01-16T00:00:00"/>
    <x v="0"/>
    <n v="1"/>
    <x v="0"/>
    <x v="6"/>
    <x v="9"/>
    <x v="2"/>
    <x v="2"/>
    <s v="Bretford CR4500 Series Table"/>
    <n v="1478.53"/>
    <n v="2"/>
    <n v="98.93"/>
  </r>
  <r>
    <d v="2013-01-17T00:00:00"/>
    <x v="0"/>
    <n v="1"/>
    <x v="0"/>
    <x v="1"/>
    <x v="6"/>
    <x v="1"/>
    <x v="1"/>
    <s v="Self-Adhesive Address Labels"/>
    <n v="279.48"/>
    <n v="1"/>
    <n v="237.95"/>
  </r>
  <r>
    <d v="2013-01-18T00:00:00"/>
    <x v="0"/>
    <n v="1"/>
    <x v="0"/>
    <x v="8"/>
    <x v="8"/>
    <x v="2"/>
    <x v="2"/>
    <s v="Bush Somerset Collection Bookcase"/>
    <n v="544.42999999999995"/>
    <n v="4"/>
    <n v="55.3"/>
  </r>
  <r>
    <d v="2013-01-18T00:00:00"/>
    <x v="0"/>
    <n v="1"/>
    <x v="0"/>
    <x v="9"/>
    <x v="0"/>
    <x v="1"/>
    <x v="2"/>
    <s v="Hon Deluxe Fabric Upholstered Stacking Chairs"/>
    <n v="1952.21"/>
    <n v="3"/>
    <n v="246.5"/>
  </r>
  <r>
    <d v="2013-01-20T00:00:00"/>
    <x v="0"/>
    <n v="1"/>
    <x v="0"/>
    <x v="12"/>
    <x v="6"/>
    <x v="2"/>
    <x v="2"/>
    <s v="Bush Somerset Collection Bookcase"/>
    <n v="549.22"/>
    <n v="8"/>
    <n v="328.88"/>
  </r>
  <r>
    <d v="2013-01-21T00:00:00"/>
    <x v="0"/>
    <n v="1"/>
    <x v="0"/>
    <x v="2"/>
    <x v="9"/>
    <x v="1"/>
    <x v="7"/>
    <s v="Fellowes PB200 Comb Binding Machine"/>
    <n v="1185.5999999999999"/>
    <n v="2"/>
    <n v="-16.36"/>
  </r>
  <r>
    <d v="2013-01-22T00:00:00"/>
    <x v="0"/>
    <n v="1"/>
    <x v="0"/>
    <x v="2"/>
    <x v="8"/>
    <x v="2"/>
    <x v="8"/>
    <s v="Bush Somerset Collection Bookcase"/>
    <n v="1779.35"/>
    <n v="1"/>
    <n v="58.49"/>
  </r>
  <r>
    <d v="2013-01-23T00:00:00"/>
    <x v="0"/>
    <n v="1"/>
    <x v="0"/>
    <x v="0"/>
    <x v="4"/>
    <x v="0"/>
    <x v="2"/>
    <s v="Bretford CR4500 Series Table"/>
    <n v="1081.27"/>
    <n v="3"/>
    <n v="22.72"/>
  </r>
  <r>
    <d v="2013-01-23T00:00:00"/>
    <x v="0"/>
    <n v="1"/>
    <x v="0"/>
    <x v="12"/>
    <x v="3"/>
    <x v="2"/>
    <x v="0"/>
    <s v="Bush Somerset Collection Bookcase"/>
    <n v="1180.98"/>
    <n v="8"/>
    <n v="26.88"/>
  </r>
  <r>
    <d v="2013-01-25T00:00:00"/>
    <x v="0"/>
    <n v="1"/>
    <x v="0"/>
    <x v="10"/>
    <x v="3"/>
    <x v="2"/>
    <x v="8"/>
    <s v="Bretford CR4500 Series Table"/>
    <n v="497.46"/>
    <n v="2"/>
    <n v="183.8"/>
  </r>
  <r>
    <d v="2013-01-25T00:00:00"/>
    <x v="0"/>
    <n v="1"/>
    <x v="0"/>
    <x v="5"/>
    <x v="9"/>
    <x v="0"/>
    <x v="7"/>
    <s v="Bretford CR4500 Series Table"/>
    <n v="789.42"/>
    <n v="7"/>
    <n v="378.85"/>
  </r>
  <r>
    <d v="2013-01-25T00:00:00"/>
    <x v="0"/>
    <n v="1"/>
    <x v="0"/>
    <x v="5"/>
    <x v="9"/>
    <x v="0"/>
    <x v="3"/>
    <s v="Belkin 6 Outlet Surge"/>
    <n v="1521.53"/>
    <n v="4"/>
    <n v="-57.84"/>
  </r>
  <r>
    <d v="2013-01-27T00:00:00"/>
    <x v="0"/>
    <n v="1"/>
    <x v="0"/>
    <x v="9"/>
    <x v="5"/>
    <x v="2"/>
    <x v="8"/>
    <s v="Bretford CR4500 Series Table"/>
    <n v="804.09"/>
    <n v="5"/>
    <n v="122.56"/>
  </r>
  <r>
    <d v="2013-01-27T00:00:00"/>
    <x v="0"/>
    <n v="1"/>
    <x v="0"/>
    <x v="4"/>
    <x v="4"/>
    <x v="2"/>
    <x v="3"/>
    <s v="Belkin 6 Outlet Surge"/>
    <n v="14.26"/>
    <n v="4"/>
    <n v="75.3"/>
  </r>
  <r>
    <d v="2013-01-28T00:00:00"/>
    <x v="0"/>
    <n v="1"/>
    <x v="0"/>
    <x v="12"/>
    <x v="4"/>
    <x v="1"/>
    <x v="7"/>
    <s v="Newell 322"/>
    <n v="835.32"/>
    <n v="5"/>
    <n v="150.5"/>
  </r>
  <r>
    <d v="2013-01-28T00:00:00"/>
    <x v="0"/>
    <n v="1"/>
    <x v="0"/>
    <x v="12"/>
    <x v="4"/>
    <x v="0"/>
    <x v="2"/>
    <s v="Eldon Expressions Desk Accessories"/>
    <n v="993.03"/>
    <n v="2"/>
    <n v="343.35"/>
  </r>
  <r>
    <d v="2013-01-29T00:00:00"/>
    <x v="0"/>
    <n v="1"/>
    <x v="0"/>
    <x v="5"/>
    <x v="3"/>
    <x v="2"/>
    <x v="5"/>
    <s v="Self-Adhesive Address Labels"/>
    <n v="1909.73"/>
    <n v="6"/>
    <n v="-49.69"/>
  </r>
  <r>
    <d v="2013-01-29T00:00:00"/>
    <x v="0"/>
    <n v="1"/>
    <x v="0"/>
    <x v="3"/>
    <x v="1"/>
    <x v="1"/>
    <x v="5"/>
    <s v="Belkin 6 Outlet Surge"/>
    <n v="1135.6300000000001"/>
    <n v="6"/>
    <n v="6.29"/>
  </r>
  <r>
    <d v="2013-01-29T00:00:00"/>
    <x v="0"/>
    <n v="1"/>
    <x v="0"/>
    <x v="11"/>
    <x v="8"/>
    <x v="1"/>
    <x v="4"/>
    <s v="Hon Deluxe Fabric Upholstered Stacking Chairs"/>
    <n v="1095.27"/>
    <n v="1"/>
    <n v="304.3"/>
  </r>
  <r>
    <d v="2013-01-29T00:00:00"/>
    <x v="0"/>
    <n v="1"/>
    <x v="0"/>
    <x v="11"/>
    <x v="9"/>
    <x v="2"/>
    <x v="0"/>
    <s v="Hon Deluxe Fabric Upholstered Stacking Chairs"/>
    <n v="469.76"/>
    <n v="1"/>
    <n v="-126.03"/>
  </r>
  <r>
    <d v="2013-02-01T00:00:00"/>
    <x v="0"/>
    <n v="2"/>
    <x v="1"/>
    <x v="0"/>
    <x v="0"/>
    <x v="1"/>
    <x v="4"/>
    <s v="Self-Adhesive Address Labels"/>
    <n v="1047.32"/>
    <n v="1"/>
    <n v="384.84"/>
  </r>
  <r>
    <d v="2013-02-03T00:00:00"/>
    <x v="0"/>
    <n v="2"/>
    <x v="1"/>
    <x v="8"/>
    <x v="8"/>
    <x v="0"/>
    <x v="5"/>
    <s v="Cisco SPA 501G IP Phone"/>
    <n v="1890.45"/>
    <n v="5"/>
    <n v="86.11"/>
  </r>
  <r>
    <d v="2013-02-03T00:00:00"/>
    <x v="0"/>
    <n v="2"/>
    <x v="1"/>
    <x v="0"/>
    <x v="4"/>
    <x v="2"/>
    <x v="8"/>
    <s v="Bretford CR4500 Series Table"/>
    <n v="1186.28"/>
    <n v="5"/>
    <n v="-21.05"/>
  </r>
  <r>
    <d v="2013-02-03T00:00:00"/>
    <x v="0"/>
    <n v="2"/>
    <x v="1"/>
    <x v="10"/>
    <x v="7"/>
    <x v="1"/>
    <x v="0"/>
    <s v="Hon Deluxe Fabric Upholstered Stacking Chairs"/>
    <n v="876.66"/>
    <n v="6"/>
    <n v="-157.15"/>
  </r>
  <r>
    <d v="2013-02-04T00:00:00"/>
    <x v="0"/>
    <n v="2"/>
    <x v="1"/>
    <x v="5"/>
    <x v="4"/>
    <x v="1"/>
    <x v="6"/>
    <s v="Eldon Expressions Desk Accessories"/>
    <n v="49.02"/>
    <n v="9"/>
    <n v="337.74"/>
  </r>
  <r>
    <d v="2013-02-04T00:00:00"/>
    <x v="0"/>
    <n v="2"/>
    <x v="1"/>
    <x v="0"/>
    <x v="6"/>
    <x v="0"/>
    <x v="6"/>
    <s v="Bush Somerset Collection Bookcase"/>
    <n v="1087.5999999999999"/>
    <n v="6"/>
    <n v="25"/>
  </r>
  <r>
    <d v="2013-02-05T00:00:00"/>
    <x v="0"/>
    <n v="2"/>
    <x v="1"/>
    <x v="9"/>
    <x v="9"/>
    <x v="0"/>
    <x v="2"/>
    <s v="Bush Somerset Collection Bookcase"/>
    <n v="1709.36"/>
    <n v="5"/>
    <n v="-5"/>
  </r>
  <r>
    <d v="2013-02-06T00:00:00"/>
    <x v="0"/>
    <n v="2"/>
    <x v="1"/>
    <x v="4"/>
    <x v="0"/>
    <x v="0"/>
    <x v="3"/>
    <s v="Cisco SPA 501G IP Phone"/>
    <n v="1160.3699999999999"/>
    <n v="9"/>
    <n v="123.52"/>
  </r>
  <r>
    <d v="2013-02-07T00:00:00"/>
    <x v="0"/>
    <n v="2"/>
    <x v="1"/>
    <x v="11"/>
    <x v="6"/>
    <x v="0"/>
    <x v="2"/>
    <s v="Hon Deluxe Fabric Upholstered Stacking Chairs"/>
    <n v="416.96"/>
    <n v="4"/>
    <n v="335.12"/>
  </r>
  <r>
    <d v="2013-02-08T00:00:00"/>
    <x v="0"/>
    <n v="2"/>
    <x v="1"/>
    <x v="9"/>
    <x v="5"/>
    <x v="0"/>
    <x v="4"/>
    <s v="Eldon Fold 'N Roll Cart System"/>
    <n v="96.36"/>
    <n v="9"/>
    <n v="321.88"/>
  </r>
  <r>
    <d v="2013-02-08T00:00:00"/>
    <x v="0"/>
    <n v="2"/>
    <x v="1"/>
    <x v="12"/>
    <x v="0"/>
    <x v="0"/>
    <x v="2"/>
    <s v="Bretford CR4500 Series Table"/>
    <n v="1906.69"/>
    <n v="8"/>
    <n v="-156.26"/>
  </r>
  <r>
    <d v="2013-02-10T00:00:00"/>
    <x v="0"/>
    <n v="2"/>
    <x v="1"/>
    <x v="5"/>
    <x v="6"/>
    <x v="1"/>
    <x v="2"/>
    <s v="Bush Somerset Collection Bookcase"/>
    <n v="153.97"/>
    <n v="3"/>
    <n v="180.73"/>
  </r>
  <r>
    <d v="2013-02-10T00:00:00"/>
    <x v="0"/>
    <n v="2"/>
    <x v="1"/>
    <x v="4"/>
    <x v="1"/>
    <x v="2"/>
    <x v="3"/>
    <s v="Hon Deluxe Fabric Upholstered Stacking Chairs"/>
    <n v="766.5"/>
    <n v="5"/>
    <n v="268.26"/>
  </r>
  <r>
    <d v="2013-02-10T00:00:00"/>
    <x v="0"/>
    <n v="2"/>
    <x v="1"/>
    <x v="5"/>
    <x v="1"/>
    <x v="1"/>
    <x v="2"/>
    <s v="Eldon Fold 'N Roll Cart System"/>
    <n v="222.7"/>
    <n v="6"/>
    <n v="-173.42"/>
  </r>
  <r>
    <d v="2013-02-11T00:00:00"/>
    <x v="0"/>
    <n v="2"/>
    <x v="1"/>
    <x v="9"/>
    <x v="4"/>
    <x v="0"/>
    <x v="0"/>
    <s v="Eldon Expressions Desk Accessories"/>
    <n v="1160.8699999999999"/>
    <n v="9"/>
    <n v="-136.38"/>
  </r>
  <r>
    <d v="2013-02-11T00:00:00"/>
    <x v="0"/>
    <n v="2"/>
    <x v="1"/>
    <x v="1"/>
    <x v="2"/>
    <x v="1"/>
    <x v="3"/>
    <s v="Bretford CR4500 Series Table"/>
    <n v="1390.55"/>
    <n v="7"/>
    <n v="386.48"/>
  </r>
  <r>
    <d v="2013-02-12T00:00:00"/>
    <x v="0"/>
    <n v="2"/>
    <x v="1"/>
    <x v="12"/>
    <x v="7"/>
    <x v="0"/>
    <x v="8"/>
    <s v="Newell 322"/>
    <n v="260.07"/>
    <n v="7"/>
    <n v="196.94"/>
  </r>
  <r>
    <d v="2013-02-16T00:00:00"/>
    <x v="0"/>
    <n v="2"/>
    <x v="1"/>
    <x v="10"/>
    <x v="7"/>
    <x v="2"/>
    <x v="0"/>
    <s v="Bush Somerset Collection Bookcase"/>
    <n v="1078.3699999999999"/>
    <n v="7"/>
    <n v="-24.04"/>
  </r>
  <r>
    <d v="2013-02-16T00:00:00"/>
    <x v="0"/>
    <n v="2"/>
    <x v="1"/>
    <x v="8"/>
    <x v="8"/>
    <x v="0"/>
    <x v="8"/>
    <s v="Bretford CR4500 Series Table"/>
    <n v="1190.3800000000001"/>
    <n v="7"/>
    <n v="206.8"/>
  </r>
  <r>
    <d v="2013-02-16T00:00:00"/>
    <x v="0"/>
    <n v="2"/>
    <x v="1"/>
    <x v="2"/>
    <x v="0"/>
    <x v="1"/>
    <x v="5"/>
    <s v="Bush Somerset Collection Bookcase"/>
    <n v="848.54"/>
    <n v="9"/>
    <n v="318.88"/>
  </r>
  <r>
    <d v="2013-02-16T00:00:00"/>
    <x v="0"/>
    <n v="2"/>
    <x v="1"/>
    <x v="2"/>
    <x v="0"/>
    <x v="0"/>
    <x v="0"/>
    <s v="Fellowes PB200 Comb Binding Machine"/>
    <n v="523.73"/>
    <n v="8"/>
    <n v="365.78"/>
  </r>
  <r>
    <d v="2013-02-16T00:00:00"/>
    <x v="0"/>
    <n v="2"/>
    <x v="1"/>
    <x v="5"/>
    <x v="2"/>
    <x v="2"/>
    <x v="8"/>
    <s v="Eldon Expressions Desk Accessories"/>
    <n v="108.4"/>
    <n v="1"/>
    <n v="205.84"/>
  </r>
  <r>
    <d v="2013-02-17T00:00:00"/>
    <x v="0"/>
    <n v="2"/>
    <x v="1"/>
    <x v="2"/>
    <x v="0"/>
    <x v="1"/>
    <x v="4"/>
    <s v="Self-Adhesive Address Labels"/>
    <n v="791.64"/>
    <n v="1"/>
    <n v="197.03"/>
  </r>
  <r>
    <d v="2013-02-20T00:00:00"/>
    <x v="0"/>
    <n v="2"/>
    <x v="1"/>
    <x v="11"/>
    <x v="0"/>
    <x v="0"/>
    <x v="8"/>
    <s v="Belkin 6 Outlet Surge"/>
    <n v="1355.52"/>
    <n v="1"/>
    <n v="297.69"/>
  </r>
  <r>
    <d v="2013-02-20T00:00:00"/>
    <x v="0"/>
    <n v="2"/>
    <x v="1"/>
    <x v="7"/>
    <x v="9"/>
    <x v="2"/>
    <x v="5"/>
    <s v="Fellowes PB200 Comb Binding Machine"/>
    <n v="1066.19"/>
    <n v="8"/>
    <n v="370.89"/>
  </r>
  <r>
    <d v="2013-02-20T00:00:00"/>
    <x v="0"/>
    <n v="2"/>
    <x v="1"/>
    <x v="11"/>
    <x v="6"/>
    <x v="2"/>
    <x v="8"/>
    <s v="Bretford CR4500 Series Table"/>
    <n v="81.14"/>
    <n v="2"/>
    <n v="116.51"/>
  </r>
  <r>
    <d v="2013-02-22T00:00:00"/>
    <x v="0"/>
    <n v="2"/>
    <x v="1"/>
    <x v="11"/>
    <x v="1"/>
    <x v="0"/>
    <x v="1"/>
    <s v="Bush Somerset Collection Bookcase"/>
    <n v="285.17"/>
    <n v="8"/>
    <n v="-32.340000000000003"/>
  </r>
  <r>
    <d v="2013-02-23T00:00:00"/>
    <x v="0"/>
    <n v="2"/>
    <x v="1"/>
    <x v="4"/>
    <x v="0"/>
    <x v="0"/>
    <x v="7"/>
    <s v="Fellowes PB200 Comb Binding Machine"/>
    <n v="1668.22"/>
    <n v="3"/>
    <n v="249.99"/>
  </r>
  <r>
    <d v="2013-02-23T00:00:00"/>
    <x v="0"/>
    <n v="2"/>
    <x v="1"/>
    <x v="2"/>
    <x v="0"/>
    <x v="0"/>
    <x v="3"/>
    <s v="Eldon Fold 'N Roll Cart System"/>
    <n v="538.42999999999995"/>
    <n v="3"/>
    <n v="339.24"/>
  </r>
  <r>
    <d v="2013-02-24T00:00:00"/>
    <x v="0"/>
    <n v="2"/>
    <x v="1"/>
    <x v="10"/>
    <x v="6"/>
    <x v="0"/>
    <x v="1"/>
    <s v="Eldon Expressions Desk Accessories"/>
    <n v="395.54"/>
    <n v="7"/>
    <n v="-181.46"/>
  </r>
  <r>
    <d v="2013-02-24T00:00:00"/>
    <x v="0"/>
    <n v="2"/>
    <x v="1"/>
    <x v="10"/>
    <x v="7"/>
    <x v="0"/>
    <x v="1"/>
    <s v="Hon Deluxe Fabric Upholstered Stacking Chairs"/>
    <n v="1548.45"/>
    <n v="1"/>
    <n v="-27.8"/>
  </r>
  <r>
    <d v="2013-02-24T00:00:00"/>
    <x v="0"/>
    <n v="2"/>
    <x v="1"/>
    <x v="8"/>
    <x v="5"/>
    <x v="1"/>
    <x v="8"/>
    <s v="Belkin 6 Outlet Surge"/>
    <n v="1185.27"/>
    <n v="3"/>
    <n v="-124.03"/>
  </r>
  <r>
    <d v="2013-02-25T00:00:00"/>
    <x v="0"/>
    <n v="2"/>
    <x v="1"/>
    <x v="12"/>
    <x v="7"/>
    <x v="1"/>
    <x v="1"/>
    <s v="Bretford CR4500 Series Table"/>
    <n v="1032.92"/>
    <n v="9"/>
    <n v="158.94999999999999"/>
  </r>
  <r>
    <d v="2013-02-27T00:00:00"/>
    <x v="0"/>
    <n v="2"/>
    <x v="1"/>
    <x v="9"/>
    <x v="6"/>
    <x v="1"/>
    <x v="2"/>
    <s v="Self-Adhesive Address Labels"/>
    <n v="651.45000000000005"/>
    <n v="4"/>
    <n v="68.37"/>
  </r>
  <r>
    <d v="2013-02-28T00:00:00"/>
    <x v="0"/>
    <n v="2"/>
    <x v="1"/>
    <x v="3"/>
    <x v="1"/>
    <x v="1"/>
    <x v="3"/>
    <s v="Belkin 6 Outlet Surge"/>
    <n v="1110.1600000000001"/>
    <n v="5"/>
    <n v="382.1"/>
  </r>
  <r>
    <d v="2013-03-02T00:00:00"/>
    <x v="0"/>
    <n v="3"/>
    <x v="2"/>
    <x v="1"/>
    <x v="0"/>
    <x v="0"/>
    <x v="3"/>
    <s v="Bretford CR4500 Series Table"/>
    <n v="1866.23"/>
    <n v="7"/>
    <n v="-83.4"/>
  </r>
  <r>
    <d v="2013-03-02T00:00:00"/>
    <x v="0"/>
    <n v="3"/>
    <x v="2"/>
    <x v="6"/>
    <x v="9"/>
    <x v="1"/>
    <x v="5"/>
    <s v="Cisco SPA 501G IP Phone"/>
    <n v="1006.46"/>
    <n v="2"/>
    <n v="-66.680000000000007"/>
  </r>
  <r>
    <d v="2013-03-02T00:00:00"/>
    <x v="0"/>
    <n v="3"/>
    <x v="2"/>
    <x v="11"/>
    <x v="7"/>
    <x v="1"/>
    <x v="0"/>
    <s v="Eldon Expressions Desk Accessories"/>
    <n v="1325.99"/>
    <n v="9"/>
    <n v="-96.13"/>
  </r>
  <r>
    <d v="2013-03-03T00:00:00"/>
    <x v="0"/>
    <n v="3"/>
    <x v="2"/>
    <x v="8"/>
    <x v="9"/>
    <x v="0"/>
    <x v="0"/>
    <s v="Self-Adhesive Address Labels"/>
    <n v="1456.69"/>
    <n v="5"/>
    <n v="82.14"/>
  </r>
  <r>
    <d v="2013-03-03T00:00:00"/>
    <x v="0"/>
    <n v="3"/>
    <x v="2"/>
    <x v="11"/>
    <x v="0"/>
    <x v="1"/>
    <x v="1"/>
    <s v="Self-Adhesive Address Labels"/>
    <n v="1690.41"/>
    <n v="1"/>
    <n v="-165.2"/>
  </r>
  <r>
    <d v="2013-03-04T00:00:00"/>
    <x v="0"/>
    <n v="3"/>
    <x v="2"/>
    <x v="8"/>
    <x v="1"/>
    <x v="0"/>
    <x v="6"/>
    <s v="Belkin 6 Outlet Surge"/>
    <n v="1378.92"/>
    <n v="8"/>
    <n v="364.28"/>
  </r>
  <r>
    <d v="2013-03-04T00:00:00"/>
    <x v="0"/>
    <n v="3"/>
    <x v="2"/>
    <x v="0"/>
    <x v="8"/>
    <x v="1"/>
    <x v="4"/>
    <s v="Newell 322"/>
    <n v="1042.5899999999999"/>
    <n v="3"/>
    <n v="217.87"/>
  </r>
  <r>
    <d v="2013-03-06T00:00:00"/>
    <x v="0"/>
    <n v="3"/>
    <x v="2"/>
    <x v="2"/>
    <x v="2"/>
    <x v="0"/>
    <x v="2"/>
    <s v="Self-Adhesive Address Labels"/>
    <n v="1376.43"/>
    <n v="5"/>
    <n v="-28.9"/>
  </r>
  <r>
    <d v="2013-03-08T00:00:00"/>
    <x v="0"/>
    <n v="3"/>
    <x v="2"/>
    <x v="2"/>
    <x v="4"/>
    <x v="2"/>
    <x v="4"/>
    <s v="Fellowes PB200 Comb Binding Machine"/>
    <n v="1719.38"/>
    <n v="5"/>
    <n v="345.35"/>
  </r>
  <r>
    <d v="2013-03-10T00:00:00"/>
    <x v="0"/>
    <n v="3"/>
    <x v="2"/>
    <x v="7"/>
    <x v="9"/>
    <x v="0"/>
    <x v="6"/>
    <s v="Self-Adhesive Address Labels"/>
    <n v="930.03"/>
    <n v="6"/>
    <n v="147.78"/>
  </r>
  <r>
    <d v="2013-03-10T00:00:00"/>
    <x v="0"/>
    <n v="3"/>
    <x v="2"/>
    <x v="8"/>
    <x v="7"/>
    <x v="1"/>
    <x v="0"/>
    <s v="Belkin 6 Outlet Surge"/>
    <n v="1274.83"/>
    <n v="6"/>
    <n v="58.87"/>
  </r>
  <r>
    <d v="2013-03-10T00:00:00"/>
    <x v="0"/>
    <n v="3"/>
    <x v="2"/>
    <x v="12"/>
    <x v="0"/>
    <x v="2"/>
    <x v="1"/>
    <s v="Newell 322"/>
    <n v="482.26"/>
    <n v="1"/>
    <n v="-70.2"/>
  </r>
  <r>
    <d v="2013-03-14T00:00:00"/>
    <x v="0"/>
    <n v="3"/>
    <x v="2"/>
    <x v="10"/>
    <x v="9"/>
    <x v="1"/>
    <x v="7"/>
    <s v="Belkin 6 Outlet Surge"/>
    <n v="175.03"/>
    <n v="5"/>
    <n v="225.03"/>
  </r>
  <r>
    <d v="2013-03-16T00:00:00"/>
    <x v="0"/>
    <n v="3"/>
    <x v="2"/>
    <x v="7"/>
    <x v="4"/>
    <x v="1"/>
    <x v="5"/>
    <s v="Belkin 6 Outlet Surge"/>
    <n v="1112.3399999999999"/>
    <n v="5"/>
    <n v="290.69"/>
  </r>
  <r>
    <d v="2013-03-16T00:00:00"/>
    <x v="0"/>
    <n v="3"/>
    <x v="2"/>
    <x v="7"/>
    <x v="6"/>
    <x v="1"/>
    <x v="0"/>
    <s v="Self-Adhesive Address Labels"/>
    <n v="1362.84"/>
    <n v="2"/>
    <n v="311.7"/>
  </r>
  <r>
    <d v="2013-03-16T00:00:00"/>
    <x v="0"/>
    <n v="3"/>
    <x v="2"/>
    <x v="10"/>
    <x v="6"/>
    <x v="2"/>
    <x v="3"/>
    <s v="Belkin 6 Outlet Surge"/>
    <n v="1717.32"/>
    <n v="1"/>
    <n v="149.32"/>
  </r>
  <r>
    <d v="2013-03-16T00:00:00"/>
    <x v="0"/>
    <n v="3"/>
    <x v="2"/>
    <x v="9"/>
    <x v="8"/>
    <x v="1"/>
    <x v="2"/>
    <s v="Newell 322"/>
    <n v="981.3"/>
    <n v="4"/>
    <n v="-88.43"/>
  </r>
  <r>
    <d v="2013-03-17T00:00:00"/>
    <x v="0"/>
    <n v="3"/>
    <x v="2"/>
    <x v="12"/>
    <x v="8"/>
    <x v="0"/>
    <x v="8"/>
    <s v="Eldon Expressions Desk Accessories"/>
    <n v="820.28"/>
    <n v="4"/>
    <n v="-164.9"/>
  </r>
  <r>
    <d v="2013-03-19T00:00:00"/>
    <x v="0"/>
    <n v="3"/>
    <x v="2"/>
    <x v="7"/>
    <x v="4"/>
    <x v="2"/>
    <x v="8"/>
    <s v="Fellowes PB200 Comb Binding Machine"/>
    <n v="1861.4"/>
    <n v="8"/>
    <n v="242.75"/>
  </r>
  <r>
    <d v="2013-03-19T00:00:00"/>
    <x v="0"/>
    <n v="3"/>
    <x v="2"/>
    <x v="9"/>
    <x v="6"/>
    <x v="2"/>
    <x v="1"/>
    <s v="Eldon Expressions Desk Accessories"/>
    <n v="1120.8800000000001"/>
    <n v="6"/>
    <n v="316.32"/>
  </r>
  <r>
    <d v="2013-03-21T00:00:00"/>
    <x v="0"/>
    <n v="3"/>
    <x v="2"/>
    <x v="10"/>
    <x v="4"/>
    <x v="1"/>
    <x v="1"/>
    <s v="Self-Adhesive Address Labels"/>
    <n v="197.98"/>
    <n v="7"/>
    <n v="66.78"/>
  </r>
  <r>
    <d v="2013-03-22T00:00:00"/>
    <x v="0"/>
    <n v="3"/>
    <x v="2"/>
    <x v="2"/>
    <x v="5"/>
    <x v="0"/>
    <x v="6"/>
    <s v="Eldon Expressions Desk Accessories"/>
    <n v="384.2"/>
    <n v="6"/>
    <n v="33.26"/>
  </r>
  <r>
    <d v="2013-03-23T00:00:00"/>
    <x v="0"/>
    <n v="3"/>
    <x v="2"/>
    <x v="7"/>
    <x v="8"/>
    <x v="1"/>
    <x v="4"/>
    <s v="Self-Adhesive Address Labels"/>
    <n v="295.95"/>
    <n v="5"/>
    <n v="-1.79"/>
  </r>
  <r>
    <d v="2013-03-24T00:00:00"/>
    <x v="0"/>
    <n v="3"/>
    <x v="2"/>
    <x v="8"/>
    <x v="7"/>
    <x v="2"/>
    <x v="3"/>
    <s v="Self-Adhesive Address Labels"/>
    <n v="1007.08"/>
    <n v="5"/>
    <n v="75.58"/>
  </r>
  <r>
    <d v="2013-03-27T00:00:00"/>
    <x v="0"/>
    <n v="3"/>
    <x v="2"/>
    <x v="4"/>
    <x v="4"/>
    <x v="0"/>
    <x v="6"/>
    <s v="Hon Deluxe Fabric Upholstered Stacking Chairs"/>
    <n v="1325.92"/>
    <n v="2"/>
    <n v="383.55"/>
  </r>
  <r>
    <d v="2013-03-28T00:00:00"/>
    <x v="0"/>
    <n v="3"/>
    <x v="2"/>
    <x v="5"/>
    <x v="1"/>
    <x v="1"/>
    <x v="3"/>
    <s v="Fellowes PB200 Comb Binding Machine"/>
    <n v="1165.43"/>
    <n v="6"/>
    <n v="-73.099999999999994"/>
  </r>
  <r>
    <d v="2013-03-29T00:00:00"/>
    <x v="0"/>
    <n v="3"/>
    <x v="2"/>
    <x v="3"/>
    <x v="7"/>
    <x v="0"/>
    <x v="4"/>
    <s v="Bush Somerset Collection Bookcase"/>
    <n v="1042.69"/>
    <n v="2"/>
    <n v="-148.49"/>
  </r>
  <r>
    <d v="2013-03-30T00:00:00"/>
    <x v="0"/>
    <n v="3"/>
    <x v="2"/>
    <x v="12"/>
    <x v="3"/>
    <x v="0"/>
    <x v="1"/>
    <s v="Newell 322"/>
    <n v="947.51"/>
    <n v="8"/>
    <n v="-112.48"/>
  </r>
  <r>
    <d v="2013-03-31T00:00:00"/>
    <x v="0"/>
    <n v="3"/>
    <x v="2"/>
    <x v="12"/>
    <x v="9"/>
    <x v="0"/>
    <x v="4"/>
    <s v="Belkin 6 Outlet Surge"/>
    <n v="126.01"/>
    <n v="4"/>
    <n v="-189.08"/>
  </r>
  <r>
    <d v="2013-03-31T00:00:00"/>
    <x v="0"/>
    <n v="3"/>
    <x v="2"/>
    <x v="3"/>
    <x v="5"/>
    <x v="1"/>
    <x v="6"/>
    <s v="Self-Adhesive Address Labels"/>
    <n v="1245.46"/>
    <n v="4"/>
    <n v="299.36"/>
  </r>
  <r>
    <d v="2013-03-31T00:00:00"/>
    <x v="0"/>
    <n v="3"/>
    <x v="2"/>
    <x v="12"/>
    <x v="5"/>
    <x v="1"/>
    <x v="6"/>
    <s v="Bush Somerset Collection Bookcase"/>
    <n v="1672.11"/>
    <n v="4"/>
    <n v="69.12"/>
  </r>
  <r>
    <d v="2013-04-01T00:00:00"/>
    <x v="0"/>
    <n v="4"/>
    <x v="3"/>
    <x v="3"/>
    <x v="4"/>
    <x v="1"/>
    <x v="2"/>
    <s v="Newell 322"/>
    <n v="208.46"/>
    <n v="4"/>
    <n v="-10.66"/>
  </r>
  <r>
    <d v="2013-04-02T00:00:00"/>
    <x v="0"/>
    <n v="4"/>
    <x v="3"/>
    <x v="2"/>
    <x v="6"/>
    <x v="2"/>
    <x v="6"/>
    <s v="Newell 322"/>
    <n v="355.41"/>
    <n v="8"/>
    <n v="269.77"/>
  </r>
  <r>
    <d v="2013-04-03T00:00:00"/>
    <x v="0"/>
    <n v="4"/>
    <x v="3"/>
    <x v="5"/>
    <x v="2"/>
    <x v="0"/>
    <x v="1"/>
    <s v="Self-Adhesive Address Labels"/>
    <n v="620.52"/>
    <n v="8"/>
    <n v="-80.760000000000005"/>
  </r>
  <r>
    <d v="2013-04-04T00:00:00"/>
    <x v="0"/>
    <n v="4"/>
    <x v="3"/>
    <x v="1"/>
    <x v="3"/>
    <x v="0"/>
    <x v="2"/>
    <s v="Self-Adhesive Address Labels"/>
    <n v="678.97"/>
    <n v="2"/>
    <n v="235.81"/>
  </r>
  <r>
    <d v="2013-04-05T00:00:00"/>
    <x v="0"/>
    <n v="4"/>
    <x v="3"/>
    <x v="9"/>
    <x v="6"/>
    <x v="2"/>
    <x v="5"/>
    <s v="Cisco SPA 501G IP Phone"/>
    <n v="1286.93"/>
    <n v="8"/>
    <n v="-28.99"/>
  </r>
  <r>
    <d v="2013-04-05T00:00:00"/>
    <x v="0"/>
    <n v="4"/>
    <x v="3"/>
    <x v="12"/>
    <x v="8"/>
    <x v="2"/>
    <x v="1"/>
    <s v="Bush Somerset Collection Bookcase"/>
    <n v="1375.87"/>
    <n v="7"/>
    <n v="356.4"/>
  </r>
  <r>
    <d v="2013-04-05T00:00:00"/>
    <x v="0"/>
    <n v="4"/>
    <x v="3"/>
    <x v="8"/>
    <x v="1"/>
    <x v="0"/>
    <x v="1"/>
    <s v="Eldon Expressions Desk Accessories"/>
    <n v="1365.61"/>
    <n v="1"/>
    <n v="334.92"/>
  </r>
  <r>
    <d v="2013-04-06T00:00:00"/>
    <x v="0"/>
    <n v="4"/>
    <x v="3"/>
    <x v="9"/>
    <x v="4"/>
    <x v="1"/>
    <x v="6"/>
    <s v="Bretford CR4500 Series Table"/>
    <n v="841.82"/>
    <n v="4"/>
    <n v="-152.69"/>
  </r>
  <r>
    <d v="2013-04-06T00:00:00"/>
    <x v="0"/>
    <n v="4"/>
    <x v="3"/>
    <x v="3"/>
    <x v="3"/>
    <x v="1"/>
    <x v="8"/>
    <s v="Bush Somerset Collection Bookcase"/>
    <n v="824.8"/>
    <n v="7"/>
    <n v="76.760000000000005"/>
  </r>
  <r>
    <d v="2013-04-06T00:00:00"/>
    <x v="0"/>
    <n v="4"/>
    <x v="3"/>
    <x v="8"/>
    <x v="8"/>
    <x v="0"/>
    <x v="7"/>
    <s v="Belkin 6 Outlet Surge"/>
    <n v="1366.24"/>
    <n v="9"/>
    <n v="155.24"/>
  </r>
  <r>
    <d v="2013-04-08T00:00:00"/>
    <x v="0"/>
    <n v="4"/>
    <x v="3"/>
    <x v="0"/>
    <x v="0"/>
    <x v="1"/>
    <x v="1"/>
    <s v="Bretford CR4500 Series Table"/>
    <n v="1694.64"/>
    <n v="8"/>
    <n v="223.05"/>
  </r>
  <r>
    <d v="2013-04-08T00:00:00"/>
    <x v="0"/>
    <n v="4"/>
    <x v="3"/>
    <x v="3"/>
    <x v="6"/>
    <x v="1"/>
    <x v="1"/>
    <s v="Bush Somerset Collection Bookcase"/>
    <n v="545.85"/>
    <n v="3"/>
    <n v="-120.74"/>
  </r>
  <r>
    <d v="2013-04-09T00:00:00"/>
    <x v="0"/>
    <n v="4"/>
    <x v="3"/>
    <x v="1"/>
    <x v="5"/>
    <x v="2"/>
    <x v="2"/>
    <s v="Cisco SPA 501G IP Phone"/>
    <n v="1011.11"/>
    <n v="3"/>
    <n v="280.99"/>
  </r>
  <r>
    <d v="2013-04-09T00:00:00"/>
    <x v="0"/>
    <n v="4"/>
    <x v="3"/>
    <x v="5"/>
    <x v="5"/>
    <x v="1"/>
    <x v="7"/>
    <s v="Hon Deluxe Fabric Upholstered Stacking Chairs"/>
    <n v="1146.93"/>
    <n v="4"/>
    <n v="250.21"/>
  </r>
  <r>
    <d v="2013-04-09T00:00:00"/>
    <x v="0"/>
    <n v="4"/>
    <x v="3"/>
    <x v="4"/>
    <x v="1"/>
    <x v="1"/>
    <x v="3"/>
    <s v="Bretford CR4500 Series Table"/>
    <n v="1084.6600000000001"/>
    <n v="5"/>
    <n v="116.18"/>
  </r>
  <r>
    <d v="2013-04-12T00:00:00"/>
    <x v="0"/>
    <n v="4"/>
    <x v="3"/>
    <x v="6"/>
    <x v="3"/>
    <x v="2"/>
    <x v="3"/>
    <s v="Eldon Fold 'N Roll Cart System"/>
    <n v="1460.52"/>
    <n v="3"/>
    <n v="328.75"/>
  </r>
  <r>
    <d v="2013-04-13T00:00:00"/>
    <x v="0"/>
    <n v="4"/>
    <x v="3"/>
    <x v="3"/>
    <x v="6"/>
    <x v="1"/>
    <x v="4"/>
    <s v="Bush Somerset Collection Bookcase"/>
    <n v="578.19000000000005"/>
    <n v="2"/>
    <n v="279.83999999999997"/>
  </r>
  <r>
    <d v="2013-04-14T00:00:00"/>
    <x v="0"/>
    <n v="4"/>
    <x v="3"/>
    <x v="12"/>
    <x v="4"/>
    <x v="1"/>
    <x v="8"/>
    <s v="Hon Deluxe Fabric Upholstered Stacking Chairs"/>
    <n v="639.41999999999996"/>
    <n v="3"/>
    <n v="259.04000000000002"/>
  </r>
  <r>
    <d v="2013-04-14T00:00:00"/>
    <x v="0"/>
    <n v="4"/>
    <x v="3"/>
    <x v="2"/>
    <x v="7"/>
    <x v="0"/>
    <x v="6"/>
    <s v="Eldon Fold 'N Roll Cart System"/>
    <n v="671.99"/>
    <n v="4"/>
    <n v="2.86"/>
  </r>
  <r>
    <d v="2013-04-15T00:00:00"/>
    <x v="0"/>
    <n v="4"/>
    <x v="3"/>
    <x v="12"/>
    <x v="4"/>
    <x v="1"/>
    <x v="5"/>
    <s v="Hon Deluxe Fabric Upholstered Stacking Chairs"/>
    <n v="1485.79"/>
    <n v="8"/>
    <n v="323.47000000000003"/>
  </r>
  <r>
    <d v="2013-04-17T00:00:00"/>
    <x v="0"/>
    <n v="4"/>
    <x v="3"/>
    <x v="8"/>
    <x v="3"/>
    <x v="2"/>
    <x v="5"/>
    <s v="Hon Deluxe Fabric Upholstered Stacking Chairs"/>
    <n v="1234.6500000000001"/>
    <n v="6"/>
    <n v="-167.73"/>
  </r>
  <r>
    <d v="2013-04-18T00:00:00"/>
    <x v="0"/>
    <n v="4"/>
    <x v="3"/>
    <x v="11"/>
    <x v="2"/>
    <x v="2"/>
    <x v="1"/>
    <s v="Bretford CR4500 Series Table"/>
    <n v="794.57"/>
    <n v="6"/>
    <n v="221.11"/>
  </r>
  <r>
    <d v="2013-04-19T00:00:00"/>
    <x v="0"/>
    <n v="4"/>
    <x v="3"/>
    <x v="0"/>
    <x v="9"/>
    <x v="2"/>
    <x v="8"/>
    <s v="Eldon Expressions Desk Accessories"/>
    <n v="385.85"/>
    <n v="2"/>
    <n v="292.92"/>
  </r>
  <r>
    <d v="2013-04-19T00:00:00"/>
    <x v="0"/>
    <n v="4"/>
    <x v="3"/>
    <x v="9"/>
    <x v="3"/>
    <x v="1"/>
    <x v="3"/>
    <s v="Fellowes PB200 Comb Binding Machine"/>
    <n v="595.14"/>
    <n v="6"/>
    <n v="246.11"/>
  </r>
  <r>
    <d v="2013-04-21T00:00:00"/>
    <x v="0"/>
    <n v="4"/>
    <x v="3"/>
    <x v="0"/>
    <x v="5"/>
    <x v="1"/>
    <x v="3"/>
    <s v="Eldon Expressions Desk Accessories"/>
    <n v="1498.84"/>
    <n v="2"/>
    <n v="322.95"/>
  </r>
  <r>
    <d v="2013-04-21T00:00:00"/>
    <x v="0"/>
    <n v="4"/>
    <x v="3"/>
    <x v="7"/>
    <x v="4"/>
    <x v="0"/>
    <x v="2"/>
    <s v="Cisco SPA 501G IP Phone"/>
    <n v="239.65"/>
    <n v="7"/>
    <n v="147.68"/>
  </r>
  <r>
    <d v="2013-04-21T00:00:00"/>
    <x v="0"/>
    <n v="4"/>
    <x v="3"/>
    <x v="1"/>
    <x v="5"/>
    <x v="2"/>
    <x v="4"/>
    <s v="Belkin 6 Outlet Surge"/>
    <n v="1697.46"/>
    <n v="5"/>
    <n v="-14.45"/>
  </r>
  <r>
    <d v="2013-04-23T00:00:00"/>
    <x v="0"/>
    <n v="4"/>
    <x v="3"/>
    <x v="1"/>
    <x v="8"/>
    <x v="1"/>
    <x v="6"/>
    <s v="Cisco SPA 501G IP Phone"/>
    <n v="786.23"/>
    <n v="9"/>
    <n v="-78.790000000000006"/>
  </r>
  <r>
    <d v="2013-04-23T00:00:00"/>
    <x v="0"/>
    <n v="4"/>
    <x v="3"/>
    <x v="9"/>
    <x v="2"/>
    <x v="1"/>
    <x v="0"/>
    <s v="Cisco SPA 501G IP Phone"/>
    <n v="1068.5"/>
    <n v="1"/>
    <n v="-199.62"/>
  </r>
  <r>
    <d v="2013-04-24T00:00:00"/>
    <x v="0"/>
    <n v="4"/>
    <x v="3"/>
    <x v="11"/>
    <x v="5"/>
    <x v="1"/>
    <x v="5"/>
    <s v="Hon Deluxe Fabric Upholstered Stacking Chairs"/>
    <n v="1361.1"/>
    <n v="6"/>
    <n v="302.24"/>
  </r>
  <r>
    <d v="2013-04-25T00:00:00"/>
    <x v="0"/>
    <n v="4"/>
    <x v="3"/>
    <x v="11"/>
    <x v="0"/>
    <x v="2"/>
    <x v="4"/>
    <s v="Belkin 6 Outlet Surge"/>
    <n v="702"/>
    <n v="5"/>
    <n v="87.57"/>
  </r>
  <r>
    <d v="2013-04-27T00:00:00"/>
    <x v="0"/>
    <n v="4"/>
    <x v="3"/>
    <x v="5"/>
    <x v="1"/>
    <x v="0"/>
    <x v="1"/>
    <s v="Newell 322"/>
    <n v="47.57"/>
    <n v="6"/>
    <n v="89.35"/>
  </r>
  <r>
    <d v="2013-04-27T00:00:00"/>
    <x v="0"/>
    <n v="4"/>
    <x v="3"/>
    <x v="12"/>
    <x v="9"/>
    <x v="0"/>
    <x v="3"/>
    <s v="Bretford CR4500 Series Table"/>
    <n v="943.91"/>
    <n v="6"/>
    <n v="221.15"/>
  </r>
  <r>
    <d v="2013-04-28T00:00:00"/>
    <x v="0"/>
    <n v="4"/>
    <x v="3"/>
    <x v="11"/>
    <x v="0"/>
    <x v="1"/>
    <x v="8"/>
    <s v="Newell 322"/>
    <n v="1491.76"/>
    <n v="4"/>
    <n v="-77.010000000000005"/>
  </r>
  <r>
    <d v="2013-04-28T00:00:00"/>
    <x v="0"/>
    <n v="4"/>
    <x v="3"/>
    <x v="11"/>
    <x v="9"/>
    <x v="1"/>
    <x v="7"/>
    <s v="Self-Adhesive Address Labels"/>
    <n v="55.99"/>
    <n v="5"/>
    <n v="-190.64"/>
  </r>
  <r>
    <d v="2013-04-30T00:00:00"/>
    <x v="0"/>
    <n v="4"/>
    <x v="3"/>
    <x v="5"/>
    <x v="9"/>
    <x v="0"/>
    <x v="2"/>
    <s v="Bush Somerset Collection Bookcase"/>
    <n v="774.06"/>
    <n v="4"/>
    <n v="125.93"/>
  </r>
  <r>
    <d v="2013-05-02T00:00:00"/>
    <x v="0"/>
    <n v="5"/>
    <x v="4"/>
    <x v="10"/>
    <x v="1"/>
    <x v="1"/>
    <x v="4"/>
    <s v="Bush Somerset Collection Bookcase"/>
    <n v="384.24"/>
    <n v="8"/>
    <n v="80.75"/>
  </r>
  <r>
    <d v="2013-05-03T00:00:00"/>
    <x v="0"/>
    <n v="5"/>
    <x v="4"/>
    <x v="5"/>
    <x v="1"/>
    <x v="1"/>
    <x v="5"/>
    <s v="Hon Deluxe Fabric Upholstered Stacking Chairs"/>
    <n v="1118.06"/>
    <n v="3"/>
    <n v="-127.5"/>
  </r>
  <r>
    <d v="2013-05-06T00:00:00"/>
    <x v="0"/>
    <n v="5"/>
    <x v="4"/>
    <x v="12"/>
    <x v="0"/>
    <x v="0"/>
    <x v="7"/>
    <s v="Cisco SPA 501G IP Phone"/>
    <n v="416.92"/>
    <n v="4"/>
    <n v="366.74"/>
  </r>
  <r>
    <d v="2013-05-06T00:00:00"/>
    <x v="0"/>
    <n v="5"/>
    <x v="4"/>
    <x v="0"/>
    <x v="4"/>
    <x v="1"/>
    <x v="0"/>
    <s v="Self-Adhesive Address Labels"/>
    <n v="1791.87"/>
    <n v="5"/>
    <n v="-106.29"/>
  </r>
  <r>
    <d v="2013-05-07T00:00:00"/>
    <x v="0"/>
    <n v="5"/>
    <x v="4"/>
    <x v="10"/>
    <x v="9"/>
    <x v="2"/>
    <x v="4"/>
    <s v="Fellowes PB200 Comb Binding Machine"/>
    <n v="1409.03"/>
    <n v="1"/>
    <n v="-191.44"/>
  </r>
  <r>
    <d v="2013-05-08T00:00:00"/>
    <x v="0"/>
    <n v="5"/>
    <x v="4"/>
    <x v="7"/>
    <x v="0"/>
    <x v="0"/>
    <x v="6"/>
    <s v="Cisco SPA 501G IP Phone"/>
    <n v="1046.42"/>
    <n v="6"/>
    <n v="55.2"/>
  </r>
  <r>
    <d v="2013-05-08T00:00:00"/>
    <x v="0"/>
    <n v="5"/>
    <x v="4"/>
    <x v="7"/>
    <x v="4"/>
    <x v="2"/>
    <x v="2"/>
    <s v="Hon Deluxe Fabric Upholstered Stacking Chairs"/>
    <n v="1911.69"/>
    <n v="1"/>
    <n v="-49.88"/>
  </r>
  <r>
    <d v="2013-05-08T00:00:00"/>
    <x v="0"/>
    <n v="5"/>
    <x v="4"/>
    <x v="0"/>
    <x v="3"/>
    <x v="2"/>
    <x v="7"/>
    <s v="Bretford CR4500 Series Table"/>
    <n v="980.32"/>
    <n v="4"/>
    <n v="53.21"/>
  </r>
  <r>
    <d v="2013-05-10T00:00:00"/>
    <x v="0"/>
    <n v="5"/>
    <x v="4"/>
    <x v="2"/>
    <x v="2"/>
    <x v="0"/>
    <x v="7"/>
    <s v="Newell 322"/>
    <n v="304.79000000000002"/>
    <n v="3"/>
    <n v="-114.44"/>
  </r>
  <r>
    <d v="2013-05-10T00:00:00"/>
    <x v="0"/>
    <n v="5"/>
    <x v="4"/>
    <x v="1"/>
    <x v="6"/>
    <x v="2"/>
    <x v="3"/>
    <s v="Bretford CR4500 Series Table"/>
    <n v="1787.95"/>
    <n v="1"/>
    <n v="-163.95"/>
  </r>
  <r>
    <d v="2013-05-11T00:00:00"/>
    <x v="0"/>
    <n v="5"/>
    <x v="4"/>
    <x v="8"/>
    <x v="0"/>
    <x v="1"/>
    <x v="3"/>
    <s v="Self-Adhesive Address Labels"/>
    <n v="1151.07"/>
    <n v="8"/>
    <n v="278.45"/>
  </r>
  <r>
    <d v="2013-05-11T00:00:00"/>
    <x v="0"/>
    <n v="5"/>
    <x v="4"/>
    <x v="10"/>
    <x v="5"/>
    <x v="0"/>
    <x v="1"/>
    <s v="Belkin 6 Outlet Surge"/>
    <n v="1945.98"/>
    <n v="9"/>
    <n v="-46.06"/>
  </r>
  <r>
    <d v="2013-05-11T00:00:00"/>
    <x v="0"/>
    <n v="5"/>
    <x v="4"/>
    <x v="11"/>
    <x v="6"/>
    <x v="2"/>
    <x v="7"/>
    <s v="Newell 322"/>
    <n v="831.4"/>
    <n v="5"/>
    <n v="13.04"/>
  </r>
  <r>
    <d v="2013-05-12T00:00:00"/>
    <x v="0"/>
    <n v="5"/>
    <x v="4"/>
    <x v="12"/>
    <x v="0"/>
    <x v="1"/>
    <x v="7"/>
    <s v="Eldon Expressions Desk Accessories"/>
    <n v="76.5"/>
    <n v="1"/>
    <n v="146.37"/>
  </r>
  <r>
    <d v="2013-05-13T00:00:00"/>
    <x v="0"/>
    <n v="5"/>
    <x v="4"/>
    <x v="8"/>
    <x v="8"/>
    <x v="1"/>
    <x v="6"/>
    <s v="Self-Adhesive Address Labels"/>
    <n v="1720.73"/>
    <n v="3"/>
    <n v="32.200000000000003"/>
  </r>
  <r>
    <d v="2013-05-14T00:00:00"/>
    <x v="0"/>
    <n v="5"/>
    <x v="4"/>
    <x v="11"/>
    <x v="9"/>
    <x v="2"/>
    <x v="0"/>
    <s v="Fellowes PB200 Comb Binding Machine"/>
    <n v="797.02"/>
    <n v="2"/>
    <n v="25.3"/>
  </r>
  <r>
    <d v="2013-05-15T00:00:00"/>
    <x v="0"/>
    <n v="5"/>
    <x v="4"/>
    <x v="11"/>
    <x v="1"/>
    <x v="0"/>
    <x v="0"/>
    <s v="Fellowes PB200 Comb Binding Machine"/>
    <n v="610.65"/>
    <n v="6"/>
    <n v="120.26"/>
  </r>
  <r>
    <d v="2013-05-17T00:00:00"/>
    <x v="0"/>
    <n v="5"/>
    <x v="4"/>
    <x v="9"/>
    <x v="4"/>
    <x v="2"/>
    <x v="1"/>
    <s v="Cisco SPA 501G IP Phone"/>
    <n v="79.78"/>
    <n v="9"/>
    <n v="340.79"/>
  </r>
  <r>
    <d v="2013-05-18T00:00:00"/>
    <x v="0"/>
    <n v="5"/>
    <x v="4"/>
    <x v="8"/>
    <x v="2"/>
    <x v="2"/>
    <x v="1"/>
    <s v="Cisco SPA 501G IP Phone"/>
    <n v="966.62"/>
    <n v="6"/>
    <n v="325.77999999999997"/>
  </r>
  <r>
    <d v="2013-05-19T00:00:00"/>
    <x v="0"/>
    <n v="5"/>
    <x v="4"/>
    <x v="0"/>
    <x v="5"/>
    <x v="2"/>
    <x v="4"/>
    <s v="Hon Deluxe Fabric Upholstered Stacking Chairs"/>
    <n v="462.62"/>
    <n v="4"/>
    <n v="83.57"/>
  </r>
  <r>
    <d v="2013-05-20T00:00:00"/>
    <x v="0"/>
    <n v="5"/>
    <x v="4"/>
    <x v="8"/>
    <x v="4"/>
    <x v="1"/>
    <x v="8"/>
    <s v="Hon Deluxe Fabric Upholstered Stacking Chairs"/>
    <n v="192.78"/>
    <n v="8"/>
    <n v="80"/>
  </r>
  <r>
    <d v="2013-05-21T00:00:00"/>
    <x v="0"/>
    <n v="5"/>
    <x v="4"/>
    <x v="6"/>
    <x v="2"/>
    <x v="1"/>
    <x v="6"/>
    <s v="Bush Somerset Collection Bookcase"/>
    <n v="839.33"/>
    <n v="3"/>
    <n v="353.14"/>
  </r>
  <r>
    <d v="2013-05-23T00:00:00"/>
    <x v="0"/>
    <n v="5"/>
    <x v="4"/>
    <x v="0"/>
    <x v="1"/>
    <x v="2"/>
    <x v="1"/>
    <s v="Cisco SPA 501G IP Phone"/>
    <n v="958.48"/>
    <n v="9"/>
    <n v="93.01"/>
  </r>
  <r>
    <d v="2013-05-24T00:00:00"/>
    <x v="0"/>
    <n v="5"/>
    <x v="4"/>
    <x v="12"/>
    <x v="9"/>
    <x v="0"/>
    <x v="0"/>
    <s v="Cisco SPA 501G IP Phone"/>
    <n v="1113.0999999999999"/>
    <n v="4"/>
    <n v="370.52"/>
  </r>
  <r>
    <d v="2013-05-24T00:00:00"/>
    <x v="0"/>
    <n v="5"/>
    <x v="4"/>
    <x v="6"/>
    <x v="0"/>
    <x v="2"/>
    <x v="4"/>
    <s v="Cisco SPA 501G IP Phone"/>
    <n v="1163.28"/>
    <n v="4"/>
    <n v="167.82"/>
  </r>
  <r>
    <d v="2013-05-24T00:00:00"/>
    <x v="0"/>
    <n v="5"/>
    <x v="4"/>
    <x v="11"/>
    <x v="7"/>
    <x v="2"/>
    <x v="5"/>
    <s v="Eldon Fold 'N Roll Cart System"/>
    <n v="1200.3800000000001"/>
    <n v="1"/>
    <n v="376.66"/>
  </r>
  <r>
    <d v="2013-05-25T00:00:00"/>
    <x v="0"/>
    <n v="5"/>
    <x v="4"/>
    <x v="12"/>
    <x v="6"/>
    <x v="2"/>
    <x v="6"/>
    <s v="Newell 322"/>
    <n v="246.52"/>
    <n v="3"/>
    <n v="163.61000000000001"/>
  </r>
  <r>
    <d v="2013-05-25T00:00:00"/>
    <x v="0"/>
    <n v="5"/>
    <x v="4"/>
    <x v="9"/>
    <x v="9"/>
    <x v="0"/>
    <x v="5"/>
    <s v="Bretford CR4500 Series Table"/>
    <n v="1291.3"/>
    <n v="1"/>
    <n v="33.22"/>
  </r>
  <r>
    <d v="2013-05-26T00:00:00"/>
    <x v="0"/>
    <n v="5"/>
    <x v="4"/>
    <x v="12"/>
    <x v="4"/>
    <x v="0"/>
    <x v="6"/>
    <s v="Cisco SPA 501G IP Phone"/>
    <n v="1477.08"/>
    <n v="1"/>
    <n v="271.52"/>
  </r>
  <r>
    <d v="2013-05-26T00:00:00"/>
    <x v="0"/>
    <n v="5"/>
    <x v="4"/>
    <x v="10"/>
    <x v="8"/>
    <x v="2"/>
    <x v="6"/>
    <s v="Belkin 6 Outlet Surge"/>
    <n v="287.66000000000003"/>
    <n v="8"/>
    <n v="275.49"/>
  </r>
  <r>
    <d v="2013-05-27T00:00:00"/>
    <x v="0"/>
    <n v="5"/>
    <x v="4"/>
    <x v="0"/>
    <x v="3"/>
    <x v="2"/>
    <x v="5"/>
    <s v="Belkin 6 Outlet Surge"/>
    <n v="511.84"/>
    <n v="5"/>
    <n v="281.17"/>
  </r>
  <r>
    <d v="2013-05-27T00:00:00"/>
    <x v="0"/>
    <n v="5"/>
    <x v="4"/>
    <x v="3"/>
    <x v="3"/>
    <x v="1"/>
    <x v="7"/>
    <s v="Hon Deluxe Fabric Upholstered Stacking Chairs"/>
    <n v="1851.8"/>
    <n v="9"/>
    <n v="-139.97"/>
  </r>
  <r>
    <d v="2013-05-28T00:00:00"/>
    <x v="0"/>
    <n v="5"/>
    <x v="4"/>
    <x v="2"/>
    <x v="2"/>
    <x v="1"/>
    <x v="0"/>
    <s v="Newell 322"/>
    <n v="781.92"/>
    <n v="2"/>
    <n v="245.71"/>
  </r>
  <r>
    <d v="2013-05-29T00:00:00"/>
    <x v="0"/>
    <n v="5"/>
    <x v="4"/>
    <x v="3"/>
    <x v="1"/>
    <x v="2"/>
    <x v="4"/>
    <s v="Newell 322"/>
    <n v="111.9"/>
    <n v="5"/>
    <n v="299.43"/>
  </r>
  <r>
    <d v="2013-05-30T00:00:00"/>
    <x v="0"/>
    <n v="5"/>
    <x v="4"/>
    <x v="12"/>
    <x v="9"/>
    <x v="1"/>
    <x v="1"/>
    <s v="Hon Deluxe Fabric Upholstered Stacking Chairs"/>
    <n v="1630.28"/>
    <n v="6"/>
    <n v="-128.69999999999999"/>
  </r>
  <r>
    <d v="2013-05-31T00:00:00"/>
    <x v="0"/>
    <n v="5"/>
    <x v="4"/>
    <x v="2"/>
    <x v="7"/>
    <x v="0"/>
    <x v="3"/>
    <s v="Eldon Fold 'N Roll Cart System"/>
    <n v="877.74"/>
    <n v="7"/>
    <n v="384.81"/>
  </r>
  <r>
    <d v="2013-05-31T00:00:00"/>
    <x v="0"/>
    <n v="5"/>
    <x v="4"/>
    <x v="9"/>
    <x v="4"/>
    <x v="0"/>
    <x v="1"/>
    <s v="Belkin 6 Outlet Surge"/>
    <n v="824.94"/>
    <n v="7"/>
    <n v="299.93"/>
  </r>
  <r>
    <d v="2013-06-01T00:00:00"/>
    <x v="0"/>
    <n v="6"/>
    <x v="5"/>
    <x v="8"/>
    <x v="4"/>
    <x v="0"/>
    <x v="6"/>
    <s v="Bush Somerset Collection Bookcase"/>
    <n v="734.16"/>
    <n v="8"/>
    <n v="-83.32"/>
  </r>
  <r>
    <d v="2013-06-02T00:00:00"/>
    <x v="0"/>
    <n v="6"/>
    <x v="5"/>
    <x v="12"/>
    <x v="9"/>
    <x v="2"/>
    <x v="7"/>
    <s v="Fellowes PB200 Comb Binding Machine"/>
    <n v="1906.72"/>
    <n v="6"/>
    <n v="166.89"/>
  </r>
  <r>
    <d v="2013-06-03T00:00:00"/>
    <x v="0"/>
    <n v="6"/>
    <x v="5"/>
    <x v="5"/>
    <x v="0"/>
    <x v="1"/>
    <x v="2"/>
    <s v="Eldon Fold 'N Roll Cart System"/>
    <n v="1623.33"/>
    <n v="6"/>
    <n v="-46.78"/>
  </r>
  <r>
    <d v="2013-06-03T00:00:00"/>
    <x v="0"/>
    <n v="6"/>
    <x v="5"/>
    <x v="9"/>
    <x v="5"/>
    <x v="1"/>
    <x v="0"/>
    <s v="Self-Adhesive Address Labels"/>
    <n v="517.46"/>
    <n v="9"/>
    <n v="228.81"/>
  </r>
  <r>
    <d v="2013-06-03T00:00:00"/>
    <x v="0"/>
    <n v="6"/>
    <x v="5"/>
    <x v="7"/>
    <x v="2"/>
    <x v="2"/>
    <x v="1"/>
    <s v="Newell 322"/>
    <n v="216.12"/>
    <n v="9"/>
    <n v="-122.86"/>
  </r>
  <r>
    <d v="2013-06-04T00:00:00"/>
    <x v="0"/>
    <n v="6"/>
    <x v="5"/>
    <x v="12"/>
    <x v="3"/>
    <x v="1"/>
    <x v="0"/>
    <s v="Bretford CR4500 Series Table"/>
    <n v="820.26"/>
    <n v="4"/>
    <n v="-4.49"/>
  </r>
  <r>
    <d v="2013-06-05T00:00:00"/>
    <x v="0"/>
    <n v="6"/>
    <x v="5"/>
    <x v="5"/>
    <x v="2"/>
    <x v="2"/>
    <x v="3"/>
    <s v="Belkin 6 Outlet Surge"/>
    <n v="376.82"/>
    <n v="2"/>
    <n v="171.82"/>
  </r>
  <r>
    <d v="2013-06-06T00:00:00"/>
    <x v="0"/>
    <n v="6"/>
    <x v="5"/>
    <x v="7"/>
    <x v="2"/>
    <x v="2"/>
    <x v="6"/>
    <s v="Belkin 6 Outlet Surge"/>
    <n v="1969.89"/>
    <n v="1"/>
    <n v="-124.84"/>
  </r>
  <r>
    <d v="2013-06-07T00:00:00"/>
    <x v="0"/>
    <n v="6"/>
    <x v="5"/>
    <x v="10"/>
    <x v="4"/>
    <x v="2"/>
    <x v="6"/>
    <s v="Belkin 6 Outlet Surge"/>
    <n v="1624.35"/>
    <n v="5"/>
    <n v="55.3"/>
  </r>
  <r>
    <d v="2013-06-09T00:00:00"/>
    <x v="0"/>
    <n v="6"/>
    <x v="5"/>
    <x v="7"/>
    <x v="9"/>
    <x v="2"/>
    <x v="3"/>
    <s v="Bretford CR4500 Series Table"/>
    <n v="208.86"/>
    <n v="1"/>
    <n v="215.62"/>
  </r>
  <r>
    <d v="2013-06-09T00:00:00"/>
    <x v="0"/>
    <n v="6"/>
    <x v="5"/>
    <x v="12"/>
    <x v="0"/>
    <x v="1"/>
    <x v="4"/>
    <s v="Bretford CR4500 Series Table"/>
    <n v="869.91"/>
    <n v="9"/>
    <n v="179.17"/>
  </r>
  <r>
    <d v="2013-06-10T00:00:00"/>
    <x v="0"/>
    <n v="6"/>
    <x v="5"/>
    <x v="4"/>
    <x v="1"/>
    <x v="2"/>
    <x v="7"/>
    <s v="Newell 322"/>
    <n v="448.02"/>
    <n v="4"/>
    <n v="168.4"/>
  </r>
  <r>
    <d v="2013-06-11T00:00:00"/>
    <x v="0"/>
    <n v="6"/>
    <x v="5"/>
    <x v="8"/>
    <x v="2"/>
    <x v="1"/>
    <x v="5"/>
    <s v="Eldon Expressions Desk Accessories"/>
    <n v="1947.65"/>
    <n v="3"/>
    <n v="-170.31"/>
  </r>
  <r>
    <d v="2013-06-11T00:00:00"/>
    <x v="0"/>
    <n v="6"/>
    <x v="5"/>
    <x v="7"/>
    <x v="5"/>
    <x v="2"/>
    <x v="1"/>
    <s v="Self-Adhesive Address Labels"/>
    <n v="952.78"/>
    <n v="9"/>
    <n v="-183.68"/>
  </r>
  <r>
    <d v="2013-06-14T00:00:00"/>
    <x v="0"/>
    <n v="6"/>
    <x v="5"/>
    <x v="9"/>
    <x v="4"/>
    <x v="0"/>
    <x v="5"/>
    <s v="Belkin 6 Outlet Surge"/>
    <n v="908.16"/>
    <n v="3"/>
    <n v="-153.49"/>
  </r>
  <r>
    <d v="2013-06-15T00:00:00"/>
    <x v="0"/>
    <n v="6"/>
    <x v="5"/>
    <x v="4"/>
    <x v="6"/>
    <x v="1"/>
    <x v="6"/>
    <s v="Eldon Expressions Desk Accessories"/>
    <n v="437.86"/>
    <n v="7"/>
    <n v="-6.87"/>
  </r>
  <r>
    <d v="2013-06-16T00:00:00"/>
    <x v="0"/>
    <n v="6"/>
    <x v="5"/>
    <x v="5"/>
    <x v="6"/>
    <x v="1"/>
    <x v="6"/>
    <s v="Belkin 6 Outlet Surge"/>
    <n v="843.33"/>
    <n v="2"/>
    <n v="223.25"/>
  </r>
  <r>
    <d v="2013-06-16T00:00:00"/>
    <x v="0"/>
    <n v="6"/>
    <x v="5"/>
    <x v="3"/>
    <x v="4"/>
    <x v="2"/>
    <x v="2"/>
    <s v="Eldon Fold 'N Roll Cart System"/>
    <n v="380.77"/>
    <n v="4"/>
    <n v="104.59"/>
  </r>
  <r>
    <d v="2013-06-17T00:00:00"/>
    <x v="0"/>
    <n v="6"/>
    <x v="5"/>
    <x v="12"/>
    <x v="2"/>
    <x v="1"/>
    <x v="3"/>
    <s v="Bretford CR4500 Series Table"/>
    <n v="1207.08"/>
    <n v="5"/>
    <n v="112.66"/>
  </r>
  <r>
    <d v="2013-06-19T00:00:00"/>
    <x v="0"/>
    <n v="6"/>
    <x v="5"/>
    <x v="12"/>
    <x v="7"/>
    <x v="0"/>
    <x v="5"/>
    <s v="Bush Somerset Collection Bookcase"/>
    <n v="1329.66"/>
    <n v="8"/>
    <n v="-56.64"/>
  </r>
  <r>
    <d v="2013-06-19T00:00:00"/>
    <x v="0"/>
    <n v="6"/>
    <x v="5"/>
    <x v="5"/>
    <x v="2"/>
    <x v="2"/>
    <x v="1"/>
    <s v="Eldon Fold 'N Roll Cart System"/>
    <n v="384.52"/>
    <n v="4"/>
    <n v="331.8"/>
  </r>
  <r>
    <d v="2013-06-21T00:00:00"/>
    <x v="0"/>
    <n v="6"/>
    <x v="5"/>
    <x v="2"/>
    <x v="8"/>
    <x v="0"/>
    <x v="7"/>
    <s v="Fellowes PB200 Comb Binding Machine"/>
    <n v="34.24"/>
    <n v="8"/>
    <n v="254.49"/>
  </r>
  <r>
    <d v="2013-06-21T00:00:00"/>
    <x v="0"/>
    <n v="6"/>
    <x v="5"/>
    <x v="3"/>
    <x v="5"/>
    <x v="1"/>
    <x v="2"/>
    <s v="Hon Deluxe Fabric Upholstered Stacking Chairs"/>
    <n v="1357.39"/>
    <n v="1"/>
    <n v="-176.72"/>
  </r>
  <r>
    <d v="2013-06-22T00:00:00"/>
    <x v="0"/>
    <n v="6"/>
    <x v="5"/>
    <x v="1"/>
    <x v="7"/>
    <x v="0"/>
    <x v="5"/>
    <s v="Fellowes PB200 Comb Binding Machine"/>
    <n v="1297.67"/>
    <n v="8"/>
    <n v="-171.86"/>
  </r>
  <r>
    <d v="2013-06-22T00:00:00"/>
    <x v="0"/>
    <n v="6"/>
    <x v="5"/>
    <x v="8"/>
    <x v="5"/>
    <x v="1"/>
    <x v="1"/>
    <s v="Belkin 6 Outlet Surge"/>
    <n v="158.74"/>
    <n v="3"/>
    <n v="-186.72"/>
  </r>
  <r>
    <d v="2013-06-22T00:00:00"/>
    <x v="0"/>
    <n v="6"/>
    <x v="5"/>
    <x v="11"/>
    <x v="5"/>
    <x v="0"/>
    <x v="8"/>
    <s v="Eldon Fold 'N Roll Cart System"/>
    <n v="1216.76"/>
    <n v="9"/>
    <n v="-122.87"/>
  </r>
  <r>
    <d v="2013-06-26T00:00:00"/>
    <x v="0"/>
    <n v="6"/>
    <x v="5"/>
    <x v="11"/>
    <x v="9"/>
    <x v="1"/>
    <x v="3"/>
    <s v="Cisco SPA 501G IP Phone"/>
    <n v="1376.99"/>
    <n v="3"/>
    <n v="-76.64"/>
  </r>
  <r>
    <d v="2013-06-26T00:00:00"/>
    <x v="0"/>
    <n v="6"/>
    <x v="5"/>
    <x v="5"/>
    <x v="0"/>
    <x v="1"/>
    <x v="4"/>
    <s v="Self-Adhesive Address Labels"/>
    <n v="1807.78"/>
    <n v="2"/>
    <n v="-60.42"/>
  </r>
  <r>
    <d v="2013-06-26T00:00:00"/>
    <x v="0"/>
    <n v="6"/>
    <x v="5"/>
    <x v="5"/>
    <x v="3"/>
    <x v="0"/>
    <x v="4"/>
    <s v="Bush Somerset Collection Bookcase"/>
    <n v="1001.32"/>
    <n v="5"/>
    <n v="190.19"/>
  </r>
  <r>
    <d v="2013-06-30T00:00:00"/>
    <x v="0"/>
    <n v="6"/>
    <x v="5"/>
    <x v="5"/>
    <x v="9"/>
    <x v="1"/>
    <x v="2"/>
    <s v="Fellowes PB200 Comb Binding Machine"/>
    <n v="1725.68"/>
    <n v="3"/>
    <n v="319.95999999999998"/>
  </r>
  <r>
    <d v="2013-07-01T00:00:00"/>
    <x v="0"/>
    <n v="7"/>
    <x v="6"/>
    <x v="5"/>
    <x v="6"/>
    <x v="1"/>
    <x v="5"/>
    <s v="Bush Somerset Collection Bookcase"/>
    <n v="774.55"/>
    <n v="2"/>
    <n v="-85.54"/>
  </r>
  <r>
    <d v="2013-07-02T00:00:00"/>
    <x v="0"/>
    <n v="7"/>
    <x v="6"/>
    <x v="5"/>
    <x v="2"/>
    <x v="2"/>
    <x v="3"/>
    <s v="Eldon Fold 'N Roll Cart System"/>
    <n v="71.260000000000005"/>
    <n v="7"/>
    <n v="-58.45"/>
  </r>
  <r>
    <d v="2013-07-03T00:00:00"/>
    <x v="0"/>
    <n v="7"/>
    <x v="6"/>
    <x v="2"/>
    <x v="0"/>
    <x v="0"/>
    <x v="2"/>
    <s v="Eldon Fold 'N Roll Cart System"/>
    <n v="1002.71"/>
    <n v="5"/>
    <n v="143.36000000000001"/>
  </r>
  <r>
    <d v="2013-07-06T00:00:00"/>
    <x v="0"/>
    <n v="7"/>
    <x v="6"/>
    <x v="12"/>
    <x v="9"/>
    <x v="1"/>
    <x v="7"/>
    <s v="Hon Deluxe Fabric Upholstered Stacking Chairs"/>
    <n v="672.31"/>
    <n v="2"/>
    <n v="138.01"/>
  </r>
  <r>
    <d v="2013-07-06T00:00:00"/>
    <x v="0"/>
    <n v="7"/>
    <x v="6"/>
    <x v="11"/>
    <x v="9"/>
    <x v="2"/>
    <x v="5"/>
    <s v="Belkin 6 Outlet Surge"/>
    <n v="564.64"/>
    <n v="2"/>
    <n v="338.44"/>
  </r>
  <r>
    <d v="2013-07-06T00:00:00"/>
    <x v="0"/>
    <n v="7"/>
    <x v="6"/>
    <x v="4"/>
    <x v="3"/>
    <x v="0"/>
    <x v="4"/>
    <s v="Belkin 6 Outlet Surge"/>
    <n v="424.68"/>
    <n v="1"/>
    <n v="366.61"/>
  </r>
  <r>
    <d v="2013-07-07T00:00:00"/>
    <x v="0"/>
    <n v="7"/>
    <x v="6"/>
    <x v="2"/>
    <x v="3"/>
    <x v="1"/>
    <x v="6"/>
    <s v="Eldon Fold 'N Roll Cart System"/>
    <n v="261.83"/>
    <n v="5"/>
    <n v="29.5"/>
  </r>
  <r>
    <d v="2013-07-07T00:00:00"/>
    <x v="0"/>
    <n v="7"/>
    <x v="6"/>
    <x v="10"/>
    <x v="4"/>
    <x v="2"/>
    <x v="7"/>
    <s v="Fellowes PB200 Comb Binding Machine"/>
    <n v="1748.38"/>
    <n v="7"/>
    <n v="242.7"/>
  </r>
  <r>
    <d v="2013-07-09T00:00:00"/>
    <x v="0"/>
    <n v="7"/>
    <x v="6"/>
    <x v="7"/>
    <x v="6"/>
    <x v="1"/>
    <x v="0"/>
    <s v="Newell 322"/>
    <n v="437.34"/>
    <n v="2"/>
    <n v="-5.94"/>
  </r>
  <r>
    <d v="2013-07-09T00:00:00"/>
    <x v="0"/>
    <n v="7"/>
    <x v="6"/>
    <x v="10"/>
    <x v="0"/>
    <x v="2"/>
    <x v="3"/>
    <s v="Newell 322"/>
    <n v="736.52"/>
    <n v="5"/>
    <n v="61.05"/>
  </r>
  <r>
    <d v="2013-07-09T00:00:00"/>
    <x v="0"/>
    <n v="7"/>
    <x v="6"/>
    <x v="4"/>
    <x v="6"/>
    <x v="2"/>
    <x v="7"/>
    <s v="Belkin 6 Outlet Surge"/>
    <n v="329.01"/>
    <n v="4"/>
    <n v="381.62"/>
  </r>
  <r>
    <d v="2013-07-10T00:00:00"/>
    <x v="0"/>
    <n v="7"/>
    <x v="6"/>
    <x v="9"/>
    <x v="3"/>
    <x v="2"/>
    <x v="7"/>
    <s v="Eldon Fold 'N Roll Cart System"/>
    <n v="1923.91"/>
    <n v="3"/>
    <n v="250.65"/>
  </r>
  <r>
    <d v="2013-07-11T00:00:00"/>
    <x v="0"/>
    <n v="7"/>
    <x v="6"/>
    <x v="4"/>
    <x v="8"/>
    <x v="0"/>
    <x v="6"/>
    <s v="Cisco SPA 501G IP Phone"/>
    <n v="1563.76"/>
    <n v="2"/>
    <n v="-183.7"/>
  </r>
  <r>
    <d v="2013-07-13T00:00:00"/>
    <x v="0"/>
    <n v="7"/>
    <x v="6"/>
    <x v="2"/>
    <x v="0"/>
    <x v="0"/>
    <x v="8"/>
    <s v="Cisco SPA 501G IP Phone"/>
    <n v="10.48"/>
    <n v="4"/>
    <n v="254.79"/>
  </r>
  <r>
    <d v="2013-07-13T00:00:00"/>
    <x v="0"/>
    <n v="7"/>
    <x v="6"/>
    <x v="4"/>
    <x v="0"/>
    <x v="0"/>
    <x v="1"/>
    <s v="Self-Adhesive Address Labels"/>
    <n v="1248.81"/>
    <n v="8"/>
    <n v="257.14"/>
  </r>
  <r>
    <d v="2013-07-15T00:00:00"/>
    <x v="0"/>
    <n v="7"/>
    <x v="6"/>
    <x v="12"/>
    <x v="1"/>
    <x v="1"/>
    <x v="4"/>
    <s v="Fellowes PB200 Comb Binding Machine"/>
    <n v="290.13"/>
    <n v="3"/>
    <n v="158.03"/>
  </r>
  <r>
    <d v="2013-07-17T00:00:00"/>
    <x v="0"/>
    <n v="7"/>
    <x v="6"/>
    <x v="10"/>
    <x v="3"/>
    <x v="2"/>
    <x v="1"/>
    <s v="Bush Somerset Collection Bookcase"/>
    <n v="1196.98"/>
    <n v="7"/>
    <n v="378.27"/>
  </r>
  <r>
    <d v="2013-07-17T00:00:00"/>
    <x v="0"/>
    <n v="7"/>
    <x v="6"/>
    <x v="4"/>
    <x v="6"/>
    <x v="2"/>
    <x v="2"/>
    <s v="Bretford CR4500 Series Table"/>
    <n v="38.020000000000003"/>
    <n v="7"/>
    <n v="218.33"/>
  </r>
  <r>
    <d v="2013-07-20T00:00:00"/>
    <x v="0"/>
    <n v="7"/>
    <x v="6"/>
    <x v="2"/>
    <x v="5"/>
    <x v="1"/>
    <x v="2"/>
    <s v="Belkin 6 Outlet Surge"/>
    <n v="1304.0899999999999"/>
    <n v="5"/>
    <n v="200.19"/>
  </r>
  <r>
    <d v="2013-07-20T00:00:00"/>
    <x v="0"/>
    <n v="7"/>
    <x v="6"/>
    <x v="11"/>
    <x v="1"/>
    <x v="1"/>
    <x v="1"/>
    <s v="Eldon Fold 'N Roll Cart System"/>
    <n v="1678.93"/>
    <n v="9"/>
    <n v="-189.08"/>
  </r>
  <r>
    <d v="2013-07-21T00:00:00"/>
    <x v="0"/>
    <n v="7"/>
    <x v="6"/>
    <x v="2"/>
    <x v="5"/>
    <x v="2"/>
    <x v="0"/>
    <s v="Eldon Fold 'N Roll Cart System"/>
    <n v="468.97"/>
    <n v="7"/>
    <n v="333.54"/>
  </r>
  <r>
    <d v="2013-07-21T00:00:00"/>
    <x v="0"/>
    <n v="7"/>
    <x v="6"/>
    <x v="0"/>
    <x v="7"/>
    <x v="0"/>
    <x v="2"/>
    <s v="Cisco SPA 501G IP Phone"/>
    <n v="1138.6500000000001"/>
    <n v="8"/>
    <n v="-141.38"/>
  </r>
  <r>
    <d v="2013-07-22T00:00:00"/>
    <x v="0"/>
    <n v="7"/>
    <x v="6"/>
    <x v="7"/>
    <x v="5"/>
    <x v="2"/>
    <x v="8"/>
    <s v="Bush Somerset Collection Bookcase"/>
    <n v="906.57"/>
    <n v="6"/>
    <n v="104.42"/>
  </r>
  <r>
    <d v="2013-07-22T00:00:00"/>
    <x v="0"/>
    <n v="7"/>
    <x v="6"/>
    <x v="5"/>
    <x v="5"/>
    <x v="1"/>
    <x v="8"/>
    <s v="Hon Deluxe Fabric Upholstered Stacking Chairs"/>
    <n v="165.77"/>
    <n v="8"/>
    <n v="182.89"/>
  </r>
  <r>
    <d v="2013-07-24T00:00:00"/>
    <x v="0"/>
    <n v="7"/>
    <x v="6"/>
    <x v="4"/>
    <x v="8"/>
    <x v="2"/>
    <x v="7"/>
    <s v="Belkin 6 Outlet Surge"/>
    <n v="1643.85"/>
    <n v="9"/>
    <n v="98.51"/>
  </r>
  <r>
    <d v="2013-07-25T00:00:00"/>
    <x v="0"/>
    <n v="7"/>
    <x v="6"/>
    <x v="1"/>
    <x v="8"/>
    <x v="1"/>
    <x v="2"/>
    <s v="Fellowes PB200 Comb Binding Machine"/>
    <n v="1346.02"/>
    <n v="6"/>
    <n v="-36.46"/>
  </r>
  <r>
    <d v="2013-07-26T00:00:00"/>
    <x v="0"/>
    <n v="7"/>
    <x v="6"/>
    <x v="3"/>
    <x v="9"/>
    <x v="2"/>
    <x v="6"/>
    <s v="Self-Adhesive Address Labels"/>
    <n v="968.86"/>
    <n v="7"/>
    <n v="295.85000000000002"/>
  </r>
  <r>
    <d v="2013-07-27T00:00:00"/>
    <x v="0"/>
    <n v="7"/>
    <x v="6"/>
    <x v="11"/>
    <x v="2"/>
    <x v="0"/>
    <x v="5"/>
    <s v="Bretford CR4500 Series Table"/>
    <n v="856.86"/>
    <n v="9"/>
    <n v="-102.52"/>
  </r>
  <r>
    <d v="2013-08-02T00:00:00"/>
    <x v="0"/>
    <n v="8"/>
    <x v="7"/>
    <x v="8"/>
    <x v="5"/>
    <x v="2"/>
    <x v="0"/>
    <s v="Belkin 6 Outlet Surge"/>
    <n v="935.05"/>
    <n v="9"/>
    <n v="28.82"/>
  </r>
  <r>
    <d v="2013-08-03T00:00:00"/>
    <x v="0"/>
    <n v="8"/>
    <x v="7"/>
    <x v="0"/>
    <x v="4"/>
    <x v="0"/>
    <x v="7"/>
    <s v="Bush Somerset Collection Bookcase"/>
    <n v="1859.27"/>
    <n v="3"/>
    <n v="1.3"/>
  </r>
  <r>
    <d v="2013-08-04T00:00:00"/>
    <x v="0"/>
    <n v="8"/>
    <x v="7"/>
    <x v="2"/>
    <x v="3"/>
    <x v="1"/>
    <x v="4"/>
    <s v="Newell 322"/>
    <n v="1808.5"/>
    <n v="2"/>
    <n v="-12.81"/>
  </r>
  <r>
    <d v="2013-08-04T00:00:00"/>
    <x v="0"/>
    <n v="8"/>
    <x v="7"/>
    <x v="6"/>
    <x v="6"/>
    <x v="2"/>
    <x v="5"/>
    <s v="Bush Somerset Collection Bookcase"/>
    <n v="744.08"/>
    <n v="1"/>
    <n v="212.9"/>
  </r>
  <r>
    <d v="2013-08-04T00:00:00"/>
    <x v="0"/>
    <n v="8"/>
    <x v="7"/>
    <x v="11"/>
    <x v="3"/>
    <x v="0"/>
    <x v="5"/>
    <s v="Self-Adhesive Address Labels"/>
    <n v="770.91"/>
    <n v="9"/>
    <n v="-150.32"/>
  </r>
  <r>
    <d v="2013-08-05T00:00:00"/>
    <x v="0"/>
    <n v="8"/>
    <x v="7"/>
    <x v="0"/>
    <x v="7"/>
    <x v="0"/>
    <x v="1"/>
    <s v="Self-Adhesive Address Labels"/>
    <n v="282.56"/>
    <n v="9"/>
    <n v="-23.7"/>
  </r>
  <r>
    <d v="2013-08-05T00:00:00"/>
    <x v="0"/>
    <n v="8"/>
    <x v="7"/>
    <x v="10"/>
    <x v="6"/>
    <x v="1"/>
    <x v="5"/>
    <s v="Bush Somerset Collection Bookcase"/>
    <n v="929.66"/>
    <n v="1"/>
    <n v="289.88"/>
  </r>
  <r>
    <d v="2013-08-05T00:00:00"/>
    <x v="0"/>
    <n v="8"/>
    <x v="7"/>
    <x v="10"/>
    <x v="6"/>
    <x v="2"/>
    <x v="3"/>
    <s v="Newell 322"/>
    <n v="1761.7"/>
    <n v="2"/>
    <n v="362.75"/>
  </r>
  <r>
    <d v="2013-08-06T00:00:00"/>
    <x v="0"/>
    <n v="8"/>
    <x v="7"/>
    <x v="7"/>
    <x v="9"/>
    <x v="1"/>
    <x v="7"/>
    <s v="Cisco SPA 501G IP Phone"/>
    <n v="1445.81"/>
    <n v="8"/>
    <n v="347.08"/>
  </r>
  <r>
    <d v="2013-08-06T00:00:00"/>
    <x v="0"/>
    <n v="8"/>
    <x v="7"/>
    <x v="0"/>
    <x v="6"/>
    <x v="0"/>
    <x v="7"/>
    <s v="Eldon Expressions Desk Accessories"/>
    <n v="1435.19"/>
    <n v="2"/>
    <n v="293.33"/>
  </r>
  <r>
    <d v="2013-08-06T00:00:00"/>
    <x v="0"/>
    <n v="8"/>
    <x v="7"/>
    <x v="10"/>
    <x v="2"/>
    <x v="0"/>
    <x v="1"/>
    <s v="Cisco SPA 501G IP Phone"/>
    <n v="1487.49"/>
    <n v="1"/>
    <n v="257.01"/>
  </r>
  <r>
    <d v="2013-08-08T00:00:00"/>
    <x v="0"/>
    <n v="8"/>
    <x v="7"/>
    <x v="4"/>
    <x v="8"/>
    <x v="2"/>
    <x v="6"/>
    <s v="Eldon Fold 'N Roll Cart System"/>
    <n v="613.87"/>
    <n v="5"/>
    <n v="85.8"/>
  </r>
  <r>
    <d v="2013-08-12T00:00:00"/>
    <x v="0"/>
    <n v="8"/>
    <x v="7"/>
    <x v="6"/>
    <x v="1"/>
    <x v="2"/>
    <x v="0"/>
    <s v="Newell 322"/>
    <n v="1402.43"/>
    <n v="4"/>
    <n v="133.52000000000001"/>
  </r>
  <r>
    <d v="2013-08-13T00:00:00"/>
    <x v="0"/>
    <n v="8"/>
    <x v="7"/>
    <x v="10"/>
    <x v="0"/>
    <x v="0"/>
    <x v="6"/>
    <s v="Eldon Fold 'N Roll Cart System"/>
    <n v="1213.83"/>
    <n v="4"/>
    <n v="-29.02"/>
  </r>
  <r>
    <d v="2013-08-14T00:00:00"/>
    <x v="0"/>
    <n v="8"/>
    <x v="7"/>
    <x v="2"/>
    <x v="6"/>
    <x v="0"/>
    <x v="0"/>
    <s v="Self-Adhesive Address Labels"/>
    <n v="1960.03"/>
    <n v="1"/>
    <n v="95.15"/>
  </r>
  <r>
    <d v="2013-08-14T00:00:00"/>
    <x v="0"/>
    <n v="8"/>
    <x v="7"/>
    <x v="1"/>
    <x v="1"/>
    <x v="0"/>
    <x v="0"/>
    <s v="Fellowes PB200 Comb Binding Machine"/>
    <n v="703.07"/>
    <n v="8"/>
    <n v="-142.72"/>
  </r>
  <r>
    <d v="2013-08-14T00:00:00"/>
    <x v="0"/>
    <n v="8"/>
    <x v="7"/>
    <x v="2"/>
    <x v="7"/>
    <x v="2"/>
    <x v="3"/>
    <s v="Bretford CR4500 Series Table"/>
    <n v="1054.1300000000001"/>
    <n v="5"/>
    <n v="142.46"/>
  </r>
  <r>
    <d v="2013-08-16T00:00:00"/>
    <x v="0"/>
    <n v="8"/>
    <x v="7"/>
    <x v="4"/>
    <x v="3"/>
    <x v="0"/>
    <x v="4"/>
    <s v="Newell 322"/>
    <n v="819.55"/>
    <n v="4"/>
    <n v="-51.89"/>
  </r>
  <r>
    <d v="2013-08-16T00:00:00"/>
    <x v="0"/>
    <n v="8"/>
    <x v="7"/>
    <x v="12"/>
    <x v="8"/>
    <x v="0"/>
    <x v="0"/>
    <s v="Bush Somerset Collection Bookcase"/>
    <n v="925.81"/>
    <n v="7"/>
    <n v="309.85000000000002"/>
  </r>
  <r>
    <d v="2013-08-17T00:00:00"/>
    <x v="0"/>
    <n v="8"/>
    <x v="7"/>
    <x v="9"/>
    <x v="8"/>
    <x v="0"/>
    <x v="0"/>
    <s v="Eldon Expressions Desk Accessories"/>
    <n v="598.89"/>
    <n v="8"/>
    <n v="323.81"/>
  </r>
  <r>
    <d v="2013-08-18T00:00:00"/>
    <x v="0"/>
    <n v="8"/>
    <x v="7"/>
    <x v="8"/>
    <x v="6"/>
    <x v="1"/>
    <x v="2"/>
    <s v="Bush Somerset Collection Bookcase"/>
    <n v="682.56"/>
    <n v="8"/>
    <n v="382.7"/>
  </r>
  <r>
    <d v="2013-08-19T00:00:00"/>
    <x v="0"/>
    <n v="8"/>
    <x v="7"/>
    <x v="6"/>
    <x v="7"/>
    <x v="1"/>
    <x v="3"/>
    <s v="Cisco SPA 501G IP Phone"/>
    <n v="1985.68"/>
    <n v="5"/>
    <n v="344.14"/>
  </r>
  <r>
    <d v="2013-08-19T00:00:00"/>
    <x v="0"/>
    <n v="8"/>
    <x v="7"/>
    <x v="8"/>
    <x v="1"/>
    <x v="1"/>
    <x v="5"/>
    <s v="Bretford CR4500 Series Table"/>
    <n v="1835.03"/>
    <n v="2"/>
    <n v="-32.909999999999997"/>
  </r>
  <r>
    <d v="2013-08-21T00:00:00"/>
    <x v="0"/>
    <n v="8"/>
    <x v="7"/>
    <x v="0"/>
    <x v="3"/>
    <x v="2"/>
    <x v="0"/>
    <s v="Newell 322"/>
    <n v="1895.48"/>
    <n v="5"/>
    <n v="-126.65"/>
  </r>
  <r>
    <d v="2013-08-21T00:00:00"/>
    <x v="0"/>
    <n v="8"/>
    <x v="7"/>
    <x v="8"/>
    <x v="1"/>
    <x v="2"/>
    <x v="4"/>
    <s v="Bush Somerset Collection Bookcase"/>
    <n v="1983.27"/>
    <n v="1"/>
    <n v="-80.63"/>
  </r>
  <r>
    <d v="2013-08-23T00:00:00"/>
    <x v="0"/>
    <n v="8"/>
    <x v="7"/>
    <x v="7"/>
    <x v="6"/>
    <x v="1"/>
    <x v="0"/>
    <s v="Fellowes PB200 Comb Binding Machine"/>
    <n v="766"/>
    <n v="6"/>
    <n v="125.12"/>
  </r>
  <r>
    <d v="2013-08-24T00:00:00"/>
    <x v="0"/>
    <n v="8"/>
    <x v="7"/>
    <x v="9"/>
    <x v="1"/>
    <x v="2"/>
    <x v="1"/>
    <s v="Fellowes PB200 Comb Binding Machine"/>
    <n v="916.08"/>
    <n v="7"/>
    <n v="-34.43"/>
  </r>
  <r>
    <d v="2013-08-24T00:00:00"/>
    <x v="0"/>
    <n v="8"/>
    <x v="7"/>
    <x v="3"/>
    <x v="9"/>
    <x v="1"/>
    <x v="7"/>
    <s v="Eldon Expressions Desk Accessories"/>
    <n v="1145.67"/>
    <n v="2"/>
    <n v="-98.44"/>
  </r>
  <r>
    <d v="2013-08-25T00:00:00"/>
    <x v="0"/>
    <n v="8"/>
    <x v="7"/>
    <x v="5"/>
    <x v="7"/>
    <x v="2"/>
    <x v="7"/>
    <s v="Newell 322"/>
    <n v="1427.01"/>
    <n v="7"/>
    <n v="-9.9499999999999993"/>
  </r>
  <r>
    <d v="2013-08-27T00:00:00"/>
    <x v="0"/>
    <n v="8"/>
    <x v="7"/>
    <x v="9"/>
    <x v="2"/>
    <x v="0"/>
    <x v="7"/>
    <s v="Fellowes PB200 Comb Binding Machine"/>
    <n v="1079.67"/>
    <n v="1"/>
    <n v="-42.38"/>
  </r>
  <r>
    <d v="2013-08-30T00:00:00"/>
    <x v="0"/>
    <n v="8"/>
    <x v="7"/>
    <x v="8"/>
    <x v="8"/>
    <x v="0"/>
    <x v="5"/>
    <s v="Bush Somerset Collection Bookcase"/>
    <n v="216.64"/>
    <n v="3"/>
    <n v="41.94"/>
  </r>
  <r>
    <d v="2013-08-31T00:00:00"/>
    <x v="0"/>
    <n v="8"/>
    <x v="7"/>
    <x v="7"/>
    <x v="0"/>
    <x v="1"/>
    <x v="7"/>
    <s v="Self-Adhesive Address Labels"/>
    <n v="1783.65"/>
    <n v="7"/>
    <n v="204.81"/>
  </r>
  <r>
    <d v="2013-09-01T00:00:00"/>
    <x v="0"/>
    <n v="9"/>
    <x v="8"/>
    <x v="4"/>
    <x v="5"/>
    <x v="1"/>
    <x v="4"/>
    <s v="Bush Somerset Collection Bookcase"/>
    <n v="1561.84"/>
    <n v="7"/>
    <n v="214.94"/>
  </r>
  <r>
    <d v="2013-09-02T00:00:00"/>
    <x v="0"/>
    <n v="9"/>
    <x v="8"/>
    <x v="5"/>
    <x v="9"/>
    <x v="2"/>
    <x v="2"/>
    <s v="Self-Adhesive Address Labels"/>
    <n v="873.8"/>
    <n v="1"/>
    <n v="123.38"/>
  </r>
  <r>
    <d v="2013-09-03T00:00:00"/>
    <x v="0"/>
    <n v="9"/>
    <x v="8"/>
    <x v="4"/>
    <x v="3"/>
    <x v="0"/>
    <x v="1"/>
    <s v="Fellowes PB200 Comb Binding Machine"/>
    <n v="997.19"/>
    <n v="8"/>
    <n v="303.31"/>
  </r>
  <r>
    <d v="2013-09-04T00:00:00"/>
    <x v="0"/>
    <n v="9"/>
    <x v="8"/>
    <x v="7"/>
    <x v="4"/>
    <x v="2"/>
    <x v="1"/>
    <s v="Fellowes PB200 Comb Binding Machine"/>
    <n v="1707.81"/>
    <n v="3"/>
    <n v="-96.53"/>
  </r>
  <r>
    <d v="2013-09-04T00:00:00"/>
    <x v="0"/>
    <n v="9"/>
    <x v="8"/>
    <x v="3"/>
    <x v="7"/>
    <x v="1"/>
    <x v="1"/>
    <s v="Eldon Expressions Desk Accessories"/>
    <n v="1377.91"/>
    <n v="8"/>
    <n v="-54.74"/>
  </r>
  <r>
    <d v="2013-09-06T00:00:00"/>
    <x v="0"/>
    <n v="9"/>
    <x v="8"/>
    <x v="11"/>
    <x v="8"/>
    <x v="0"/>
    <x v="7"/>
    <s v="Self-Adhesive Address Labels"/>
    <n v="1563.66"/>
    <n v="6"/>
    <n v="240.32"/>
  </r>
  <r>
    <d v="2013-09-06T00:00:00"/>
    <x v="0"/>
    <n v="9"/>
    <x v="8"/>
    <x v="10"/>
    <x v="7"/>
    <x v="1"/>
    <x v="2"/>
    <s v="Bush Somerset Collection Bookcase"/>
    <n v="359.5"/>
    <n v="1"/>
    <n v="-87.77"/>
  </r>
  <r>
    <d v="2013-09-07T00:00:00"/>
    <x v="0"/>
    <n v="9"/>
    <x v="8"/>
    <x v="1"/>
    <x v="3"/>
    <x v="1"/>
    <x v="7"/>
    <s v="Eldon Fold 'N Roll Cart System"/>
    <n v="532.47"/>
    <n v="3"/>
    <n v="30.38"/>
  </r>
  <r>
    <d v="2013-09-07T00:00:00"/>
    <x v="0"/>
    <n v="9"/>
    <x v="8"/>
    <x v="3"/>
    <x v="0"/>
    <x v="1"/>
    <x v="5"/>
    <s v="Belkin 6 Outlet Surge"/>
    <n v="284.08"/>
    <n v="4"/>
    <n v="-26.61"/>
  </r>
  <r>
    <d v="2013-09-08T00:00:00"/>
    <x v="0"/>
    <n v="9"/>
    <x v="8"/>
    <x v="3"/>
    <x v="9"/>
    <x v="1"/>
    <x v="3"/>
    <s v="Fellowes PB200 Comb Binding Machine"/>
    <n v="1170.94"/>
    <n v="8"/>
    <n v="214.23"/>
  </r>
  <r>
    <d v="2013-09-10T00:00:00"/>
    <x v="0"/>
    <n v="9"/>
    <x v="8"/>
    <x v="2"/>
    <x v="9"/>
    <x v="1"/>
    <x v="5"/>
    <s v="Eldon Expressions Desk Accessories"/>
    <n v="1692"/>
    <n v="8"/>
    <n v="-165.54"/>
  </r>
  <r>
    <d v="2013-09-10T00:00:00"/>
    <x v="0"/>
    <n v="9"/>
    <x v="8"/>
    <x v="1"/>
    <x v="4"/>
    <x v="1"/>
    <x v="5"/>
    <s v="Fellowes PB200 Comb Binding Machine"/>
    <n v="837.41"/>
    <n v="9"/>
    <n v="-115.5"/>
  </r>
  <r>
    <d v="2013-09-11T00:00:00"/>
    <x v="0"/>
    <n v="9"/>
    <x v="8"/>
    <x v="5"/>
    <x v="9"/>
    <x v="1"/>
    <x v="2"/>
    <s v="Eldon Expressions Desk Accessories"/>
    <n v="87.36"/>
    <n v="8"/>
    <n v="-127.59"/>
  </r>
  <r>
    <d v="2013-09-11T00:00:00"/>
    <x v="0"/>
    <n v="9"/>
    <x v="8"/>
    <x v="9"/>
    <x v="6"/>
    <x v="1"/>
    <x v="1"/>
    <s v="Bush Somerset Collection Bookcase"/>
    <n v="1952.38"/>
    <n v="7"/>
    <n v="-104.87"/>
  </r>
  <r>
    <d v="2013-09-13T00:00:00"/>
    <x v="0"/>
    <n v="9"/>
    <x v="8"/>
    <x v="6"/>
    <x v="1"/>
    <x v="0"/>
    <x v="1"/>
    <s v="Eldon Expressions Desk Accessories"/>
    <n v="533.22"/>
    <n v="7"/>
    <n v="-61.54"/>
  </r>
  <r>
    <d v="2013-09-15T00:00:00"/>
    <x v="0"/>
    <n v="9"/>
    <x v="8"/>
    <x v="2"/>
    <x v="2"/>
    <x v="1"/>
    <x v="2"/>
    <s v="Hon Deluxe Fabric Upholstered Stacking Chairs"/>
    <n v="1419.56"/>
    <n v="7"/>
    <n v="-36.89"/>
  </r>
  <r>
    <d v="2013-09-16T00:00:00"/>
    <x v="0"/>
    <n v="9"/>
    <x v="8"/>
    <x v="4"/>
    <x v="2"/>
    <x v="0"/>
    <x v="0"/>
    <s v="Fellowes PB200 Comb Binding Machine"/>
    <n v="226.13"/>
    <n v="6"/>
    <n v="4.41"/>
  </r>
  <r>
    <d v="2013-09-16T00:00:00"/>
    <x v="0"/>
    <n v="9"/>
    <x v="8"/>
    <x v="10"/>
    <x v="4"/>
    <x v="2"/>
    <x v="0"/>
    <s v="Eldon Fold 'N Roll Cart System"/>
    <n v="1919.28"/>
    <n v="2"/>
    <n v="390.11"/>
  </r>
  <r>
    <d v="2013-09-18T00:00:00"/>
    <x v="0"/>
    <n v="9"/>
    <x v="8"/>
    <x v="0"/>
    <x v="0"/>
    <x v="0"/>
    <x v="5"/>
    <s v="Fellowes PB200 Comb Binding Machine"/>
    <n v="1877.79"/>
    <n v="7"/>
    <n v="58.12"/>
  </r>
  <r>
    <d v="2013-09-18T00:00:00"/>
    <x v="0"/>
    <n v="9"/>
    <x v="8"/>
    <x v="8"/>
    <x v="9"/>
    <x v="2"/>
    <x v="0"/>
    <s v="Hon Deluxe Fabric Upholstered Stacking Chairs"/>
    <n v="264.62"/>
    <n v="2"/>
    <n v="337.95"/>
  </r>
  <r>
    <d v="2013-09-20T00:00:00"/>
    <x v="0"/>
    <n v="9"/>
    <x v="8"/>
    <x v="8"/>
    <x v="8"/>
    <x v="1"/>
    <x v="5"/>
    <s v="Bretford CR4500 Series Table"/>
    <n v="1160.68"/>
    <n v="1"/>
    <n v="293.79000000000002"/>
  </r>
  <r>
    <d v="2013-09-21T00:00:00"/>
    <x v="0"/>
    <n v="9"/>
    <x v="8"/>
    <x v="3"/>
    <x v="9"/>
    <x v="2"/>
    <x v="4"/>
    <s v="Newell 322"/>
    <n v="957.91"/>
    <n v="3"/>
    <n v="153.63"/>
  </r>
  <r>
    <d v="2013-09-22T00:00:00"/>
    <x v="0"/>
    <n v="9"/>
    <x v="8"/>
    <x v="4"/>
    <x v="5"/>
    <x v="2"/>
    <x v="4"/>
    <s v="Bush Somerset Collection Bookcase"/>
    <n v="472.22"/>
    <n v="1"/>
    <n v="152.99"/>
  </r>
  <r>
    <d v="2013-09-23T00:00:00"/>
    <x v="0"/>
    <n v="9"/>
    <x v="8"/>
    <x v="10"/>
    <x v="6"/>
    <x v="0"/>
    <x v="1"/>
    <s v="Cisco SPA 501G IP Phone"/>
    <n v="1802.92"/>
    <n v="6"/>
    <n v="-177.46"/>
  </r>
  <r>
    <d v="2013-09-25T00:00:00"/>
    <x v="0"/>
    <n v="9"/>
    <x v="8"/>
    <x v="8"/>
    <x v="6"/>
    <x v="2"/>
    <x v="8"/>
    <s v="Newell 322"/>
    <n v="1415.4"/>
    <n v="7"/>
    <n v="-77.67"/>
  </r>
  <r>
    <d v="2013-09-25T00:00:00"/>
    <x v="0"/>
    <n v="9"/>
    <x v="8"/>
    <x v="5"/>
    <x v="0"/>
    <x v="1"/>
    <x v="3"/>
    <s v="Eldon Expressions Desk Accessories"/>
    <n v="736.4"/>
    <n v="1"/>
    <n v="-50.96"/>
  </r>
  <r>
    <d v="2013-09-26T00:00:00"/>
    <x v="0"/>
    <n v="9"/>
    <x v="8"/>
    <x v="5"/>
    <x v="7"/>
    <x v="0"/>
    <x v="8"/>
    <s v="Fellowes PB200 Comb Binding Machine"/>
    <n v="1182.6400000000001"/>
    <n v="1"/>
    <n v="310.37"/>
  </r>
  <r>
    <d v="2013-09-27T00:00:00"/>
    <x v="0"/>
    <n v="9"/>
    <x v="8"/>
    <x v="12"/>
    <x v="5"/>
    <x v="2"/>
    <x v="4"/>
    <s v="Bretford CR4500 Series Table"/>
    <n v="684.55"/>
    <n v="1"/>
    <n v="170.04"/>
  </r>
  <r>
    <d v="2013-09-27T00:00:00"/>
    <x v="0"/>
    <n v="9"/>
    <x v="8"/>
    <x v="8"/>
    <x v="6"/>
    <x v="1"/>
    <x v="2"/>
    <s v="Cisco SPA 501G IP Phone"/>
    <n v="1662.05"/>
    <n v="3"/>
    <n v="194.08"/>
  </r>
  <r>
    <d v="2013-09-29T00:00:00"/>
    <x v="0"/>
    <n v="9"/>
    <x v="8"/>
    <x v="2"/>
    <x v="2"/>
    <x v="2"/>
    <x v="3"/>
    <s v="Eldon Expressions Desk Accessories"/>
    <n v="1263.71"/>
    <n v="9"/>
    <n v="64.53"/>
  </r>
  <r>
    <d v="2013-10-02T00:00:00"/>
    <x v="0"/>
    <n v="10"/>
    <x v="9"/>
    <x v="6"/>
    <x v="5"/>
    <x v="1"/>
    <x v="0"/>
    <s v="Bush Somerset Collection Bookcase"/>
    <n v="1806.77"/>
    <n v="3"/>
    <n v="-117.8"/>
  </r>
  <r>
    <d v="2013-10-04T00:00:00"/>
    <x v="0"/>
    <n v="10"/>
    <x v="9"/>
    <x v="10"/>
    <x v="0"/>
    <x v="1"/>
    <x v="5"/>
    <s v="Eldon Fold 'N Roll Cart System"/>
    <n v="1613.88"/>
    <n v="3"/>
    <n v="315.5"/>
  </r>
  <r>
    <d v="2013-10-04T00:00:00"/>
    <x v="0"/>
    <n v="10"/>
    <x v="9"/>
    <x v="11"/>
    <x v="8"/>
    <x v="0"/>
    <x v="0"/>
    <s v="Fellowes PB200 Comb Binding Machine"/>
    <n v="579.26"/>
    <n v="7"/>
    <n v="361.64"/>
  </r>
  <r>
    <d v="2013-10-06T00:00:00"/>
    <x v="0"/>
    <n v="10"/>
    <x v="9"/>
    <x v="4"/>
    <x v="2"/>
    <x v="1"/>
    <x v="1"/>
    <s v="Bretford CR4500 Series Table"/>
    <n v="539.29"/>
    <n v="5"/>
    <n v="354.74"/>
  </r>
  <r>
    <d v="2013-10-07T00:00:00"/>
    <x v="0"/>
    <n v="10"/>
    <x v="9"/>
    <x v="5"/>
    <x v="0"/>
    <x v="0"/>
    <x v="6"/>
    <s v="Bush Somerset Collection Bookcase"/>
    <n v="1146.97"/>
    <n v="3"/>
    <n v="34.799999999999997"/>
  </r>
  <r>
    <d v="2013-10-07T00:00:00"/>
    <x v="0"/>
    <n v="10"/>
    <x v="9"/>
    <x v="4"/>
    <x v="7"/>
    <x v="0"/>
    <x v="4"/>
    <s v="Bretford CR4500 Series Table"/>
    <n v="956.55"/>
    <n v="2"/>
    <n v="174.75"/>
  </r>
  <r>
    <d v="2013-10-08T00:00:00"/>
    <x v="0"/>
    <n v="10"/>
    <x v="9"/>
    <x v="1"/>
    <x v="5"/>
    <x v="1"/>
    <x v="7"/>
    <s v="Newell 322"/>
    <n v="1371.21"/>
    <n v="1"/>
    <n v="200.1"/>
  </r>
  <r>
    <d v="2013-10-11T00:00:00"/>
    <x v="0"/>
    <n v="10"/>
    <x v="9"/>
    <x v="12"/>
    <x v="9"/>
    <x v="2"/>
    <x v="2"/>
    <s v="Cisco SPA 501G IP Phone"/>
    <n v="151.34"/>
    <n v="2"/>
    <n v="7.87"/>
  </r>
  <r>
    <d v="2013-10-12T00:00:00"/>
    <x v="0"/>
    <n v="10"/>
    <x v="9"/>
    <x v="7"/>
    <x v="1"/>
    <x v="1"/>
    <x v="0"/>
    <s v="Bush Somerset Collection Bookcase"/>
    <n v="1435.79"/>
    <n v="7"/>
    <n v="253.11"/>
  </r>
  <r>
    <d v="2013-10-12T00:00:00"/>
    <x v="0"/>
    <n v="10"/>
    <x v="9"/>
    <x v="1"/>
    <x v="7"/>
    <x v="1"/>
    <x v="7"/>
    <s v="Belkin 6 Outlet Surge"/>
    <n v="920.69"/>
    <n v="6"/>
    <n v="-73.709999999999994"/>
  </r>
  <r>
    <d v="2013-10-12T00:00:00"/>
    <x v="0"/>
    <n v="10"/>
    <x v="9"/>
    <x v="5"/>
    <x v="9"/>
    <x v="1"/>
    <x v="6"/>
    <s v="Eldon Expressions Desk Accessories"/>
    <n v="617.80999999999995"/>
    <n v="6"/>
    <n v="67.62"/>
  </r>
  <r>
    <d v="2013-10-13T00:00:00"/>
    <x v="0"/>
    <n v="10"/>
    <x v="9"/>
    <x v="6"/>
    <x v="0"/>
    <x v="2"/>
    <x v="3"/>
    <s v="Fellowes PB200 Comb Binding Machine"/>
    <n v="1579.22"/>
    <n v="3"/>
    <n v="211.11"/>
  </r>
  <r>
    <d v="2013-10-16T00:00:00"/>
    <x v="0"/>
    <n v="10"/>
    <x v="9"/>
    <x v="0"/>
    <x v="4"/>
    <x v="0"/>
    <x v="0"/>
    <s v="Fellowes PB200 Comb Binding Machine"/>
    <n v="720.91"/>
    <n v="6"/>
    <n v="-103.79"/>
  </r>
  <r>
    <d v="2013-10-16T00:00:00"/>
    <x v="0"/>
    <n v="10"/>
    <x v="9"/>
    <x v="3"/>
    <x v="5"/>
    <x v="1"/>
    <x v="0"/>
    <s v="Bretford CR4500 Series Table"/>
    <n v="208.46"/>
    <n v="7"/>
    <n v="-194.67"/>
  </r>
  <r>
    <d v="2013-10-20T00:00:00"/>
    <x v="0"/>
    <n v="10"/>
    <x v="9"/>
    <x v="1"/>
    <x v="8"/>
    <x v="0"/>
    <x v="3"/>
    <s v="Cisco SPA 501G IP Phone"/>
    <n v="1555.77"/>
    <n v="2"/>
    <n v="-144.76"/>
  </r>
  <r>
    <d v="2013-10-21T00:00:00"/>
    <x v="0"/>
    <n v="10"/>
    <x v="9"/>
    <x v="11"/>
    <x v="0"/>
    <x v="2"/>
    <x v="4"/>
    <s v="Belkin 6 Outlet Surge"/>
    <n v="1475.2"/>
    <n v="7"/>
    <n v="-69.150000000000006"/>
  </r>
  <r>
    <d v="2013-10-23T00:00:00"/>
    <x v="0"/>
    <n v="10"/>
    <x v="9"/>
    <x v="1"/>
    <x v="4"/>
    <x v="2"/>
    <x v="4"/>
    <s v="Cisco SPA 501G IP Phone"/>
    <n v="184.67"/>
    <n v="3"/>
    <n v="50.62"/>
  </r>
  <r>
    <d v="2013-10-23T00:00:00"/>
    <x v="0"/>
    <n v="10"/>
    <x v="9"/>
    <x v="6"/>
    <x v="7"/>
    <x v="1"/>
    <x v="4"/>
    <s v="Self-Adhesive Address Labels"/>
    <n v="257.98"/>
    <n v="4"/>
    <n v="-154.16"/>
  </r>
  <r>
    <d v="2013-10-23T00:00:00"/>
    <x v="0"/>
    <n v="10"/>
    <x v="9"/>
    <x v="12"/>
    <x v="9"/>
    <x v="2"/>
    <x v="8"/>
    <s v="Eldon Fold 'N Roll Cart System"/>
    <n v="949.16"/>
    <n v="9"/>
    <n v="186.91"/>
  </r>
  <r>
    <d v="2013-10-29T00:00:00"/>
    <x v="0"/>
    <n v="10"/>
    <x v="9"/>
    <x v="9"/>
    <x v="0"/>
    <x v="1"/>
    <x v="3"/>
    <s v="Fellowes PB200 Comb Binding Machine"/>
    <n v="1876.15"/>
    <n v="4"/>
    <n v="100.95"/>
  </r>
  <r>
    <d v="2013-10-29T00:00:00"/>
    <x v="0"/>
    <n v="10"/>
    <x v="9"/>
    <x v="12"/>
    <x v="9"/>
    <x v="0"/>
    <x v="8"/>
    <s v="Bush Somerset Collection Bookcase"/>
    <n v="999.08"/>
    <n v="2"/>
    <n v="298.61"/>
  </r>
  <r>
    <d v="2013-10-30T00:00:00"/>
    <x v="0"/>
    <n v="10"/>
    <x v="9"/>
    <x v="1"/>
    <x v="8"/>
    <x v="2"/>
    <x v="1"/>
    <s v="Bretford CR4500 Series Table"/>
    <n v="39.770000000000003"/>
    <n v="6"/>
    <n v="-168.41"/>
  </r>
  <r>
    <d v="2013-11-01T00:00:00"/>
    <x v="0"/>
    <n v="11"/>
    <x v="10"/>
    <x v="11"/>
    <x v="7"/>
    <x v="1"/>
    <x v="0"/>
    <s v="Bush Somerset Collection Bookcase"/>
    <n v="1621.48"/>
    <n v="8"/>
    <n v="-128.04"/>
  </r>
  <r>
    <d v="2013-11-07T00:00:00"/>
    <x v="0"/>
    <n v="11"/>
    <x v="10"/>
    <x v="12"/>
    <x v="1"/>
    <x v="2"/>
    <x v="1"/>
    <s v="Eldon Fold 'N Roll Cart System"/>
    <n v="600.04"/>
    <n v="6"/>
    <n v="291.31"/>
  </r>
  <r>
    <d v="2013-11-09T00:00:00"/>
    <x v="0"/>
    <n v="11"/>
    <x v="10"/>
    <x v="7"/>
    <x v="2"/>
    <x v="0"/>
    <x v="0"/>
    <s v="Eldon Fold 'N Roll Cart System"/>
    <n v="73.39"/>
    <n v="2"/>
    <n v="232.23"/>
  </r>
  <r>
    <d v="2013-11-09T00:00:00"/>
    <x v="0"/>
    <n v="11"/>
    <x v="10"/>
    <x v="6"/>
    <x v="7"/>
    <x v="0"/>
    <x v="5"/>
    <s v="Newell 322"/>
    <n v="540.74"/>
    <n v="3"/>
    <n v="370.92"/>
  </r>
  <r>
    <d v="2013-11-10T00:00:00"/>
    <x v="0"/>
    <n v="11"/>
    <x v="10"/>
    <x v="0"/>
    <x v="4"/>
    <x v="0"/>
    <x v="8"/>
    <s v="Bush Somerset Collection Bookcase"/>
    <n v="1808.92"/>
    <n v="4"/>
    <n v="-12.87"/>
  </r>
  <r>
    <d v="2013-11-11T00:00:00"/>
    <x v="0"/>
    <n v="11"/>
    <x v="10"/>
    <x v="6"/>
    <x v="1"/>
    <x v="0"/>
    <x v="4"/>
    <s v="Fellowes PB200 Comb Binding Machine"/>
    <n v="1613.97"/>
    <n v="1"/>
    <n v="204.25"/>
  </r>
  <r>
    <d v="2013-11-12T00:00:00"/>
    <x v="0"/>
    <n v="11"/>
    <x v="10"/>
    <x v="4"/>
    <x v="1"/>
    <x v="2"/>
    <x v="1"/>
    <s v="Fellowes PB200 Comb Binding Machine"/>
    <n v="1014.43"/>
    <n v="8"/>
    <n v="-49.69"/>
  </r>
  <r>
    <d v="2013-11-14T00:00:00"/>
    <x v="0"/>
    <n v="11"/>
    <x v="10"/>
    <x v="3"/>
    <x v="4"/>
    <x v="2"/>
    <x v="2"/>
    <s v="Cisco SPA 501G IP Phone"/>
    <n v="970.96"/>
    <n v="3"/>
    <n v="329.9"/>
  </r>
  <r>
    <d v="2013-11-14T00:00:00"/>
    <x v="0"/>
    <n v="11"/>
    <x v="10"/>
    <x v="11"/>
    <x v="2"/>
    <x v="2"/>
    <x v="6"/>
    <s v="Bretford CR4500 Series Table"/>
    <n v="1180.29"/>
    <n v="2"/>
    <n v="39.36"/>
  </r>
  <r>
    <d v="2013-11-14T00:00:00"/>
    <x v="0"/>
    <n v="11"/>
    <x v="10"/>
    <x v="3"/>
    <x v="5"/>
    <x v="1"/>
    <x v="7"/>
    <s v="Eldon Fold 'N Roll Cart System"/>
    <n v="1702.09"/>
    <n v="8"/>
    <n v="155.94"/>
  </r>
  <r>
    <d v="2013-11-16T00:00:00"/>
    <x v="0"/>
    <n v="11"/>
    <x v="10"/>
    <x v="6"/>
    <x v="9"/>
    <x v="0"/>
    <x v="4"/>
    <s v="Fellowes PB200 Comb Binding Machine"/>
    <n v="1648.22"/>
    <n v="3"/>
    <n v="396.85"/>
  </r>
  <r>
    <d v="2013-11-17T00:00:00"/>
    <x v="0"/>
    <n v="11"/>
    <x v="10"/>
    <x v="8"/>
    <x v="0"/>
    <x v="0"/>
    <x v="5"/>
    <s v="Eldon Expressions Desk Accessories"/>
    <n v="578.4"/>
    <n v="9"/>
    <n v="274.67"/>
  </r>
  <r>
    <d v="2013-11-17T00:00:00"/>
    <x v="0"/>
    <n v="11"/>
    <x v="10"/>
    <x v="4"/>
    <x v="1"/>
    <x v="2"/>
    <x v="3"/>
    <s v="Hon Deluxe Fabric Upholstered Stacking Chairs"/>
    <n v="1027.76"/>
    <n v="6"/>
    <n v="-199.32"/>
  </r>
  <r>
    <d v="2013-11-20T00:00:00"/>
    <x v="0"/>
    <n v="11"/>
    <x v="10"/>
    <x v="3"/>
    <x v="0"/>
    <x v="0"/>
    <x v="5"/>
    <s v="Belkin 6 Outlet Surge"/>
    <n v="85.12"/>
    <n v="7"/>
    <n v="-72.88"/>
  </r>
  <r>
    <d v="2013-11-20T00:00:00"/>
    <x v="0"/>
    <n v="11"/>
    <x v="10"/>
    <x v="12"/>
    <x v="7"/>
    <x v="0"/>
    <x v="7"/>
    <s v="Cisco SPA 501G IP Phone"/>
    <n v="1607.32"/>
    <n v="9"/>
    <n v="262.75"/>
  </r>
  <r>
    <d v="2013-11-22T00:00:00"/>
    <x v="0"/>
    <n v="11"/>
    <x v="10"/>
    <x v="9"/>
    <x v="9"/>
    <x v="1"/>
    <x v="8"/>
    <s v="Newell 322"/>
    <n v="253.81"/>
    <n v="4"/>
    <n v="331.18"/>
  </r>
  <r>
    <d v="2013-11-23T00:00:00"/>
    <x v="0"/>
    <n v="11"/>
    <x v="10"/>
    <x v="1"/>
    <x v="7"/>
    <x v="0"/>
    <x v="2"/>
    <s v="Fellowes PB200 Comb Binding Machine"/>
    <n v="1264.5"/>
    <n v="3"/>
    <n v="-129.77000000000001"/>
  </r>
  <r>
    <d v="2013-11-24T00:00:00"/>
    <x v="0"/>
    <n v="11"/>
    <x v="10"/>
    <x v="4"/>
    <x v="4"/>
    <x v="0"/>
    <x v="0"/>
    <s v="Newell 322"/>
    <n v="1968.49"/>
    <n v="5"/>
    <n v="358.98"/>
  </r>
  <r>
    <d v="2013-11-25T00:00:00"/>
    <x v="0"/>
    <n v="11"/>
    <x v="10"/>
    <x v="9"/>
    <x v="8"/>
    <x v="1"/>
    <x v="2"/>
    <s v="Bretford CR4500 Series Table"/>
    <n v="1348.7"/>
    <n v="7"/>
    <n v="-13.1"/>
  </r>
  <r>
    <d v="2013-11-25T00:00:00"/>
    <x v="0"/>
    <n v="11"/>
    <x v="10"/>
    <x v="12"/>
    <x v="5"/>
    <x v="1"/>
    <x v="8"/>
    <s v="Newell 322"/>
    <n v="1765.28"/>
    <n v="7"/>
    <n v="-90.06"/>
  </r>
  <r>
    <d v="2013-11-26T00:00:00"/>
    <x v="0"/>
    <n v="11"/>
    <x v="10"/>
    <x v="10"/>
    <x v="2"/>
    <x v="1"/>
    <x v="5"/>
    <s v="Eldon Fold 'N Roll Cart System"/>
    <n v="1662.06"/>
    <n v="6"/>
    <n v="69.540000000000006"/>
  </r>
  <r>
    <d v="2013-11-26T00:00:00"/>
    <x v="0"/>
    <n v="11"/>
    <x v="10"/>
    <x v="5"/>
    <x v="6"/>
    <x v="2"/>
    <x v="2"/>
    <s v="Eldon Expressions Desk Accessories"/>
    <n v="1052.75"/>
    <n v="6"/>
    <n v="302.97000000000003"/>
  </r>
  <r>
    <d v="2013-11-27T00:00:00"/>
    <x v="0"/>
    <n v="11"/>
    <x v="10"/>
    <x v="4"/>
    <x v="5"/>
    <x v="0"/>
    <x v="6"/>
    <s v="Bush Somerset Collection Bookcase"/>
    <n v="534.97"/>
    <n v="8"/>
    <n v="135.86000000000001"/>
  </r>
  <r>
    <d v="2013-11-30T00:00:00"/>
    <x v="0"/>
    <n v="11"/>
    <x v="10"/>
    <x v="10"/>
    <x v="3"/>
    <x v="1"/>
    <x v="6"/>
    <s v="Fellowes PB200 Comb Binding Machine"/>
    <n v="973.69"/>
    <n v="7"/>
    <n v="106.4"/>
  </r>
  <r>
    <d v="2013-12-01T00:00:00"/>
    <x v="0"/>
    <n v="12"/>
    <x v="11"/>
    <x v="11"/>
    <x v="7"/>
    <x v="0"/>
    <x v="5"/>
    <s v="Eldon Fold 'N Roll Cart System"/>
    <n v="1061.97"/>
    <n v="7"/>
    <n v="299.12"/>
  </r>
  <r>
    <d v="2013-12-02T00:00:00"/>
    <x v="0"/>
    <n v="12"/>
    <x v="11"/>
    <x v="7"/>
    <x v="8"/>
    <x v="0"/>
    <x v="7"/>
    <s v="Eldon Expressions Desk Accessories"/>
    <n v="537.08000000000004"/>
    <n v="1"/>
    <n v="366.66"/>
  </r>
  <r>
    <d v="2013-12-03T00:00:00"/>
    <x v="0"/>
    <n v="12"/>
    <x v="11"/>
    <x v="5"/>
    <x v="0"/>
    <x v="1"/>
    <x v="6"/>
    <s v="Fellowes PB200 Comb Binding Machine"/>
    <n v="1876.4"/>
    <n v="2"/>
    <n v="230.37"/>
  </r>
  <r>
    <d v="2013-12-04T00:00:00"/>
    <x v="0"/>
    <n v="12"/>
    <x v="11"/>
    <x v="3"/>
    <x v="5"/>
    <x v="0"/>
    <x v="1"/>
    <s v="Eldon Expressions Desk Accessories"/>
    <n v="289.89999999999998"/>
    <n v="3"/>
    <n v="-18.52"/>
  </r>
  <r>
    <d v="2013-12-04T00:00:00"/>
    <x v="0"/>
    <n v="12"/>
    <x v="11"/>
    <x v="6"/>
    <x v="4"/>
    <x v="0"/>
    <x v="4"/>
    <s v="Fellowes PB200 Comb Binding Machine"/>
    <n v="224.77"/>
    <n v="2"/>
    <n v="238.12"/>
  </r>
  <r>
    <d v="2013-12-04T00:00:00"/>
    <x v="0"/>
    <n v="12"/>
    <x v="11"/>
    <x v="0"/>
    <x v="5"/>
    <x v="0"/>
    <x v="0"/>
    <s v="Cisco SPA 501G IP Phone"/>
    <n v="1098.78"/>
    <n v="7"/>
    <n v="104.34"/>
  </r>
  <r>
    <d v="2013-12-05T00:00:00"/>
    <x v="0"/>
    <n v="12"/>
    <x v="11"/>
    <x v="2"/>
    <x v="1"/>
    <x v="2"/>
    <x v="1"/>
    <s v="Cisco SPA 501G IP Phone"/>
    <n v="1029.22"/>
    <n v="7"/>
    <n v="161.91"/>
  </r>
  <r>
    <d v="2013-12-05T00:00:00"/>
    <x v="0"/>
    <n v="12"/>
    <x v="11"/>
    <x v="12"/>
    <x v="3"/>
    <x v="1"/>
    <x v="2"/>
    <s v="Eldon Fold 'N Roll Cart System"/>
    <n v="853.67"/>
    <n v="5"/>
    <n v="222.87"/>
  </r>
  <r>
    <d v="2013-12-06T00:00:00"/>
    <x v="0"/>
    <n v="12"/>
    <x v="11"/>
    <x v="1"/>
    <x v="6"/>
    <x v="1"/>
    <x v="7"/>
    <s v="Self-Adhesive Address Labels"/>
    <n v="1649.21"/>
    <n v="4"/>
    <n v="389.56"/>
  </r>
  <r>
    <d v="2013-12-07T00:00:00"/>
    <x v="0"/>
    <n v="12"/>
    <x v="11"/>
    <x v="4"/>
    <x v="6"/>
    <x v="0"/>
    <x v="8"/>
    <s v="Bretford CR4500 Series Table"/>
    <n v="1467.28"/>
    <n v="3"/>
    <n v="-109.87"/>
  </r>
  <r>
    <d v="2013-12-08T00:00:00"/>
    <x v="0"/>
    <n v="12"/>
    <x v="11"/>
    <x v="9"/>
    <x v="3"/>
    <x v="2"/>
    <x v="8"/>
    <s v="Eldon Expressions Desk Accessories"/>
    <n v="1283.7"/>
    <n v="2"/>
    <n v="375.38"/>
  </r>
  <r>
    <d v="2013-12-08T00:00:00"/>
    <x v="0"/>
    <n v="12"/>
    <x v="11"/>
    <x v="10"/>
    <x v="2"/>
    <x v="1"/>
    <x v="2"/>
    <s v="Bretford CR4500 Series Table"/>
    <n v="1736.73"/>
    <n v="8"/>
    <n v="-45.34"/>
  </r>
  <r>
    <d v="2013-12-10T00:00:00"/>
    <x v="0"/>
    <n v="12"/>
    <x v="11"/>
    <x v="10"/>
    <x v="2"/>
    <x v="0"/>
    <x v="2"/>
    <s v="Fellowes PB200 Comb Binding Machine"/>
    <n v="482.14"/>
    <n v="4"/>
    <n v="156.87"/>
  </r>
  <r>
    <d v="2013-12-12T00:00:00"/>
    <x v="0"/>
    <n v="12"/>
    <x v="11"/>
    <x v="9"/>
    <x v="7"/>
    <x v="0"/>
    <x v="2"/>
    <s v="Bretford CR4500 Series Table"/>
    <n v="580.45000000000005"/>
    <n v="8"/>
    <n v="292.33999999999997"/>
  </r>
  <r>
    <d v="2013-12-12T00:00:00"/>
    <x v="0"/>
    <n v="12"/>
    <x v="11"/>
    <x v="7"/>
    <x v="4"/>
    <x v="1"/>
    <x v="5"/>
    <s v="Eldon Expressions Desk Accessories"/>
    <n v="436.97"/>
    <n v="6"/>
    <n v="-164.22"/>
  </r>
  <r>
    <d v="2013-12-12T00:00:00"/>
    <x v="0"/>
    <n v="12"/>
    <x v="11"/>
    <x v="4"/>
    <x v="7"/>
    <x v="1"/>
    <x v="7"/>
    <s v="Newell 322"/>
    <n v="1315.03"/>
    <n v="6"/>
    <n v="236.36"/>
  </r>
  <r>
    <d v="2013-12-13T00:00:00"/>
    <x v="0"/>
    <n v="12"/>
    <x v="11"/>
    <x v="0"/>
    <x v="6"/>
    <x v="2"/>
    <x v="5"/>
    <s v="Self-Adhesive Address Labels"/>
    <n v="115.71"/>
    <n v="2"/>
    <n v="255.05"/>
  </r>
  <r>
    <d v="2013-12-14T00:00:00"/>
    <x v="0"/>
    <n v="12"/>
    <x v="11"/>
    <x v="11"/>
    <x v="5"/>
    <x v="2"/>
    <x v="8"/>
    <s v="Self-Adhesive Address Labels"/>
    <n v="583.54"/>
    <n v="4"/>
    <n v="185.12"/>
  </r>
  <r>
    <d v="2013-12-16T00:00:00"/>
    <x v="0"/>
    <n v="12"/>
    <x v="11"/>
    <x v="11"/>
    <x v="4"/>
    <x v="2"/>
    <x v="5"/>
    <s v="Self-Adhesive Address Labels"/>
    <n v="804.23"/>
    <n v="2"/>
    <n v="-39.19"/>
  </r>
  <r>
    <d v="2013-12-16T00:00:00"/>
    <x v="0"/>
    <n v="12"/>
    <x v="11"/>
    <x v="10"/>
    <x v="6"/>
    <x v="1"/>
    <x v="3"/>
    <s v="Eldon Expressions Desk Accessories"/>
    <n v="1114.07"/>
    <n v="1"/>
    <n v="72.44"/>
  </r>
  <r>
    <d v="2013-12-22T00:00:00"/>
    <x v="0"/>
    <n v="12"/>
    <x v="11"/>
    <x v="12"/>
    <x v="9"/>
    <x v="2"/>
    <x v="2"/>
    <s v="Bush Somerset Collection Bookcase"/>
    <n v="344.6"/>
    <n v="8"/>
    <n v="348.24"/>
  </r>
  <r>
    <d v="2013-12-23T00:00:00"/>
    <x v="0"/>
    <n v="12"/>
    <x v="11"/>
    <x v="10"/>
    <x v="3"/>
    <x v="0"/>
    <x v="5"/>
    <s v="Belkin 6 Outlet Surge"/>
    <n v="1102.2"/>
    <n v="3"/>
    <n v="-115.81"/>
  </r>
  <r>
    <d v="2013-12-24T00:00:00"/>
    <x v="0"/>
    <n v="12"/>
    <x v="11"/>
    <x v="1"/>
    <x v="6"/>
    <x v="0"/>
    <x v="7"/>
    <s v="Newell 322"/>
    <n v="1014.46"/>
    <n v="4"/>
    <n v="210.03"/>
  </r>
  <r>
    <d v="2013-12-26T00:00:00"/>
    <x v="0"/>
    <n v="12"/>
    <x v="11"/>
    <x v="8"/>
    <x v="1"/>
    <x v="0"/>
    <x v="8"/>
    <s v="Bretford CR4500 Series Table"/>
    <n v="28.6"/>
    <n v="9"/>
    <n v="-180.59"/>
  </r>
  <r>
    <d v="2013-12-29T00:00:00"/>
    <x v="0"/>
    <n v="12"/>
    <x v="11"/>
    <x v="3"/>
    <x v="7"/>
    <x v="2"/>
    <x v="1"/>
    <s v="Fellowes PB200 Comb Binding Machine"/>
    <n v="1556.83"/>
    <n v="2"/>
    <n v="155.47"/>
  </r>
  <r>
    <d v="2013-12-29T00:00:00"/>
    <x v="0"/>
    <n v="12"/>
    <x v="11"/>
    <x v="11"/>
    <x v="7"/>
    <x v="1"/>
    <x v="1"/>
    <s v="Fellowes PB200 Comb Binding Machine"/>
    <n v="73.81"/>
    <n v="3"/>
    <n v="-124.99"/>
  </r>
  <r>
    <d v="2013-12-30T00:00:00"/>
    <x v="0"/>
    <n v="12"/>
    <x v="11"/>
    <x v="4"/>
    <x v="3"/>
    <x v="1"/>
    <x v="3"/>
    <s v="Belkin 6 Outlet Surge"/>
    <n v="1520"/>
    <n v="9"/>
    <n v="-90.44"/>
  </r>
  <r>
    <d v="2013-12-31T00:00:00"/>
    <x v="0"/>
    <n v="12"/>
    <x v="11"/>
    <x v="11"/>
    <x v="2"/>
    <x v="1"/>
    <x v="6"/>
    <s v="Eldon Fold 'N Roll Cart System"/>
    <n v="270.38"/>
    <n v="7"/>
    <n v="288.43"/>
  </r>
  <r>
    <d v="2013-12-31T00:00:00"/>
    <x v="0"/>
    <n v="12"/>
    <x v="11"/>
    <x v="7"/>
    <x v="0"/>
    <x v="2"/>
    <x v="6"/>
    <s v="Bush Somerset Collection Bookcase"/>
    <n v="1682.49"/>
    <n v="1"/>
    <n v="357.88"/>
  </r>
  <r>
    <d v="2014-01-05T00:00:00"/>
    <x v="1"/>
    <n v="1"/>
    <x v="0"/>
    <x v="12"/>
    <x v="6"/>
    <x v="1"/>
    <x v="2"/>
    <s v="Fellowes PB200 Comb Binding Machine"/>
    <n v="1068.9100000000001"/>
    <n v="5"/>
    <n v="-154"/>
  </r>
  <r>
    <d v="2014-01-06T00:00:00"/>
    <x v="1"/>
    <n v="1"/>
    <x v="0"/>
    <x v="8"/>
    <x v="8"/>
    <x v="0"/>
    <x v="3"/>
    <s v="Fellowes PB200 Comb Binding Machine"/>
    <n v="472.35"/>
    <n v="7"/>
    <n v="337.24"/>
  </r>
  <r>
    <d v="2014-01-07T00:00:00"/>
    <x v="1"/>
    <n v="1"/>
    <x v="0"/>
    <x v="9"/>
    <x v="1"/>
    <x v="1"/>
    <x v="5"/>
    <s v="Bretford CR4500 Series Table"/>
    <n v="554.27"/>
    <n v="3"/>
    <n v="262.26"/>
  </r>
  <r>
    <d v="2014-01-08T00:00:00"/>
    <x v="1"/>
    <n v="1"/>
    <x v="0"/>
    <x v="11"/>
    <x v="8"/>
    <x v="0"/>
    <x v="0"/>
    <s v="Eldon Expressions Desk Accessories"/>
    <n v="153.82"/>
    <n v="8"/>
    <n v="8.51"/>
  </r>
  <r>
    <d v="2014-01-09T00:00:00"/>
    <x v="1"/>
    <n v="1"/>
    <x v="0"/>
    <x v="3"/>
    <x v="8"/>
    <x v="0"/>
    <x v="1"/>
    <s v="Self-Adhesive Address Labels"/>
    <n v="992.08"/>
    <n v="7"/>
    <n v="153.09"/>
  </r>
  <r>
    <d v="2014-01-09T00:00:00"/>
    <x v="1"/>
    <n v="1"/>
    <x v="0"/>
    <x v="10"/>
    <x v="6"/>
    <x v="0"/>
    <x v="2"/>
    <s v="Newell 322"/>
    <n v="1613.8"/>
    <n v="1"/>
    <n v="257.35000000000002"/>
  </r>
  <r>
    <d v="2014-01-11T00:00:00"/>
    <x v="1"/>
    <n v="1"/>
    <x v="0"/>
    <x v="6"/>
    <x v="7"/>
    <x v="2"/>
    <x v="2"/>
    <s v="Belkin 6 Outlet Surge"/>
    <n v="1104.46"/>
    <n v="7"/>
    <n v="50"/>
  </r>
  <r>
    <d v="2014-01-11T00:00:00"/>
    <x v="1"/>
    <n v="1"/>
    <x v="0"/>
    <x v="6"/>
    <x v="1"/>
    <x v="1"/>
    <x v="0"/>
    <s v="Cisco SPA 501G IP Phone"/>
    <n v="159.29"/>
    <n v="4"/>
    <n v="307.17"/>
  </r>
  <r>
    <d v="2014-01-12T00:00:00"/>
    <x v="1"/>
    <n v="1"/>
    <x v="0"/>
    <x v="7"/>
    <x v="6"/>
    <x v="0"/>
    <x v="5"/>
    <s v="Bush Somerset Collection Bookcase"/>
    <n v="1812.84"/>
    <n v="3"/>
    <n v="74.95"/>
  </r>
  <r>
    <d v="2014-01-14T00:00:00"/>
    <x v="1"/>
    <n v="1"/>
    <x v="0"/>
    <x v="2"/>
    <x v="1"/>
    <x v="2"/>
    <x v="3"/>
    <s v="Cisco SPA 501G IP Phone"/>
    <n v="1158.3399999999999"/>
    <n v="3"/>
    <n v="-148.72"/>
  </r>
  <r>
    <d v="2014-01-15T00:00:00"/>
    <x v="1"/>
    <n v="1"/>
    <x v="0"/>
    <x v="9"/>
    <x v="1"/>
    <x v="1"/>
    <x v="1"/>
    <s v="Belkin 6 Outlet Surge"/>
    <n v="958.47"/>
    <n v="6"/>
    <n v="46.7"/>
  </r>
  <r>
    <d v="2014-01-15T00:00:00"/>
    <x v="1"/>
    <n v="1"/>
    <x v="0"/>
    <x v="7"/>
    <x v="2"/>
    <x v="2"/>
    <x v="5"/>
    <s v="Bush Somerset Collection Bookcase"/>
    <n v="1770.5"/>
    <n v="8"/>
    <n v="-21.85"/>
  </r>
  <r>
    <d v="2014-01-20T00:00:00"/>
    <x v="1"/>
    <n v="1"/>
    <x v="0"/>
    <x v="11"/>
    <x v="3"/>
    <x v="0"/>
    <x v="4"/>
    <s v="Bush Somerset Collection Bookcase"/>
    <n v="1158.1500000000001"/>
    <n v="2"/>
    <n v="184.25"/>
  </r>
  <r>
    <d v="2014-01-20T00:00:00"/>
    <x v="1"/>
    <n v="1"/>
    <x v="0"/>
    <x v="9"/>
    <x v="3"/>
    <x v="2"/>
    <x v="6"/>
    <s v="Fellowes PB200 Comb Binding Machine"/>
    <n v="1194.76"/>
    <n v="6"/>
    <n v="193.43"/>
  </r>
  <r>
    <d v="2014-01-21T00:00:00"/>
    <x v="1"/>
    <n v="1"/>
    <x v="0"/>
    <x v="4"/>
    <x v="0"/>
    <x v="2"/>
    <x v="1"/>
    <s v="Bush Somerset Collection Bookcase"/>
    <n v="1011.41"/>
    <n v="1"/>
    <n v="72.36"/>
  </r>
  <r>
    <d v="2014-01-21T00:00:00"/>
    <x v="1"/>
    <n v="1"/>
    <x v="0"/>
    <x v="5"/>
    <x v="6"/>
    <x v="1"/>
    <x v="7"/>
    <s v="Belkin 6 Outlet Surge"/>
    <n v="788.84"/>
    <n v="3"/>
    <n v="-81.13"/>
  </r>
  <r>
    <d v="2014-01-22T00:00:00"/>
    <x v="1"/>
    <n v="1"/>
    <x v="0"/>
    <x v="5"/>
    <x v="0"/>
    <x v="2"/>
    <x v="3"/>
    <s v="Newell 322"/>
    <n v="1221.9100000000001"/>
    <n v="1"/>
    <n v="59.43"/>
  </r>
  <r>
    <d v="2014-01-23T00:00:00"/>
    <x v="1"/>
    <n v="1"/>
    <x v="0"/>
    <x v="11"/>
    <x v="4"/>
    <x v="1"/>
    <x v="2"/>
    <s v="Belkin 6 Outlet Surge"/>
    <n v="117.33"/>
    <n v="9"/>
    <n v="-65.099999999999994"/>
  </r>
  <r>
    <d v="2014-01-24T00:00:00"/>
    <x v="1"/>
    <n v="1"/>
    <x v="0"/>
    <x v="12"/>
    <x v="2"/>
    <x v="0"/>
    <x v="0"/>
    <s v="Belkin 6 Outlet Surge"/>
    <n v="1399.17"/>
    <n v="1"/>
    <n v="52.64"/>
  </r>
  <r>
    <d v="2014-01-24T00:00:00"/>
    <x v="1"/>
    <n v="1"/>
    <x v="0"/>
    <x v="5"/>
    <x v="3"/>
    <x v="0"/>
    <x v="2"/>
    <s v="Fellowes PB200 Comb Binding Machine"/>
    <n v="825.58"/>
    <n v="2"/>
    <n v="284.61"/>
  </r>
  <r>
    <d v="2014-01-25T00:00:00"/>
    <x v="1"/>
    <n v="1"/>
    <x v="0"/>
    <x v="0"/>
    <x v="9"/>
    <x v="0"/>
    <x v="7"/>
    <s v="Bretford CR4500 Series Table"/>
    <n v="264.42"/>
    <n v="6"/>
    <n v="-138.56"/>
  </r>
  <r>
    <d v="2014-01-26T00:00:00"/>
    <x v="1"/>
    <n v="1"/>
    <x v="0"/>
    <x v="12"/>
    <x v="9"/>
    <x v="0"/>
    <x v="8"/>
    <s v="Bretford CR4500 Series Table"/>
    <n v="210.61"/>
    <n v="1"/>
    <n v="-70.59"/>
  </r>
  <r>
    <d v="2014-01-26T00:00:00"/>
    <x v="1"/>
    <n v="1"/>
    <x v="0"/>
    <x v="5"/>
    <x v="4"/>
    <x v="2"/>
    <x v="1"/>
    <s v="Cisco SPA 501G IP Phone"/>
    <n v="1228.21"/>
    <n v="4"/>
    <n v="279.76"/>
  </r>
  <r>
    <d v="2014-01-27T00:00:00"/>
    <x v="1"/>
    <n v="1"/>
    <x v="0"/>
    <x v="11"/>
    <x v="8"/>
    <x v="0"/>
    <x v="2"/>
    <s v="Bush Somerset Collection Bookcase"/>
    <n v="1312.7"/>
    <n v="7"/>
    <n v="-140.79"/>
  </r>
  <r>
    <d v="2014-01-28T00:00:00"/>
    <x v="1"/>
    <n v="1"/>
    <x v="0"/>
    <x v="9"/>
    <x v="2"/>
    <x v="0"/>
    <x v="6"/>
    <s v="Newell 322"/>
    <n v="1382.74"/>
    <n v="9"/>
    <n v="113.21"/>
  </r>
  <r>
    <d v="2014-01-31T00:00:00"/>
    <x v="1"/>
    <n v="1"/>
    <x v="0"/>
    <x v="5"/>
    <x v="5"/>
    <x v="0"/>
    <x v="5"/>
    <s v="Hon Deluxe Fabric Upholstered Stacking Chairs"/>
    <n v="1124.19"/>
    <n v="6"/>
    <n v="282.57"/>
  </r>
  <r>
    <d v="2014-01-31T00:00:00"/>
    <x v="1"/>
    <n v="1"/>
    <x v="0"/>
    <x v="8"/>
    <x v="3"/>
    <x v="1"/>
    <x v="5"/>
    <s v="Bush Somerset Collection Bookcase"/>
    <n v="1849.47"/>
    <n v="6"/>
    <n v="320.77999999999997"/>
  </r>
  <r>
    <d v="2014-01-31T00:00:00"/>
    <x v="1"/>
    <n v="1"/>
    <x v="0"/>
    <x v="11"/>
    <x v="1"/>
    <x v="2"/>
    <x v="2"/>
    <s v="Fellowes PB200 Comb Binding Machine"/>
    <n v="1228.5"/>
    <n v="5"/>
    <n v="-118.72"/>
  </r>
  <r>
    <d v="2014-01-31T00:00:00"/>
    <x v="1"/>
    <n v="1"/>
    <x v="0"/>
    <x v="9"/>
    <x v="5"/>
    <x v="2"/>
    <x v="6"/>
    <s v="Eldon Fold 'N Roll Cart System"/>
    <n v="1823.36"/>
    <n v="8"/>
    <n v="69.709999999999994"/>
  </r>
  <r>
    <d v="2014-02-01T00:00:00"/>
    <x v="1"/>
    <n v="2"/>
    <x v="1"/>
    <x v="2"/>
    <x v="2"/>
    <x v="0"/>
    <x v="0"/>
    <s v="Eldon Expressions Desk Accessories"/>
    <n v="779.12"/>
    <n v="3"/>
    <n v="-71.28"/>
  </r>
  <r>
    <d v="2014-02-01T00:00:00"/>
    <x v="1"/>
    <n v="2"/>
    <x v="1"/>
    <x v="6"/>
    <x v="9"/>
    <x v="0"/>
    <x v="1"/>
    <s v="Newell 322"/>
    <n v="926.53"/>
    <n v="2"/>
    <n v="222.03"/>
  </r>
  <r>
    <d v="2014-02-02T00:00:00"/>
    <x v="1"/>
    <n v="2"/>
    <x v="1"/>
    <x v="7"/>
    <x v="4"/>
    <x v="2"/>
    <x v="1"/>
    <s v="Self-Adhesive Address Labels"/>
    <n v="1841.03"/>
    <n v="5"/>
    <n v="242.91"/>
  </r>
  <r>
    <d v="2014-02-02T00:00:00"/>
    <x v="1"/>
    <n v="2"/>
    <x v="1"/>
    <x v="4"/>
    <x v="0"/>
    <x v="1"/>
    <x v="1"/>
    <s v="Eldon Expressions Desk Accessories"/>
    <n v="1706.81"/>
    <n v="3"/>
    <n v="312.73"/>
  </r>
  <r>
    <d v="2014-02-02T00:00:00"/>
    <x v="1"/>
    <n v="2"/>
    <x v="1"/>
    <x v="6"/>
    <x v="4"/>
    <x v="0"/>
    <x v="6"/>
    <s v="Fellowes PB200 Comb Binding Machine"/>
    <n v="1453.88"/>
    <n v="6"/>
    <n v="245.56"/>
  </r>
  <r>
    <d v="2014-02-03T00:00:00"/>
    <x v="1"/>
    <n v="2"/>
    <x v="1"/>
    <x v="10"/>
    <x v="5"/>
    <x v="0"/>
    <x v="3"/>
    <s v="Eldon Fold 'N Roll Cart System"/>
    <n v="1100"/>
    <n v="5"/>
    <n v="-186.78"/>
  </r>
  <r>
    <d v="2014-02-04T00:00:00"/>
    <x v="1"/>
    <n v="2"/>
    <x v="1"/>
    <x v="7"/>
    <x v="6"/>
    <x v="0"/>
    <x v="5"/>
    <s v="Self-Adhesive Address Labels"/>
    <n v="73.45"/>
    <n v="4"/>
    <n v="-28.46"/>
  </r>
  <r>
    <d v="2014-02-05T00:00:00"/>
    <x v="1"/>
    <n v="2"/>
    <x v="1"/>
    <x v="3"/>
    <x v="5"/>
    <x v="1"/>
    <x v="1"/>
    <s v="Hon Deluxe Fabric Upholstered Stacking Chairs"/>
    <n v="1326.43"/>
    <n v="4"/>
    <n v="-67.23"/>
  </r>
  <r>
    <d v="2014-02-05T00:00:00"/>
    <x v="1"/>
    <n v="2"/>
    <x v="1"/>
    <x v="10"/>
    <x v="0"/>
    <x v="2"/>
    <x v="8"/>
    <s v="Hon Deluxe Fabric Upholstered Stacking Chairs"/>
    <n v="70.69"/>
    <n v="1"/>
    <n v="368.06"/>
  </r>
  <r>
    <d v="2014-02-05T00:00:00"/>
    <x v="1"/>
    <n v="2"/>
    <x v="1"/>
    <x v="9"/>
    <x v="2"/>
    <x v="1"/>
    <x v="2"/>
    <s v="Hon Deluxe Fabric Upholstered Stacking Chairs"/>
    <n v="1164.1400000000001"/>
    <n v="3"/>
    <n v="-22.85"/>
  </r>
  <r>
    <d v="2014-02-05T00:00:00"/>
    <x v="1"/>
    <n v="2"/>
    <x v="1"/>
    <x v="10"/>
    <x v="6"/>
    <x v="0"/>
    <x v="3"/>
    <s v="Cisco SPA 501G IP Phone"/>
    <n v="650.47"/>
    <n v="7"/>
    <n v="57.74"/>
  </r>
  <r>
    <d v="2014-02-06T00:00:00"/>
    <x v="1"/>
    <n v="2"/>
    <x v="1"/>
    <x v="0"/>
    <x v="5"/>
    <x v="1"/>
    <x v="1"/>
    <s v="Cisco SPA 501G IP Phone"/>
    <n v="828.71"/>
    <n v="9"/>
    <n v="-83.97"/>
  </r>
  <r>
    <d v="2014-02-06T00:00:00"/>
    <x v="1"/>
    <n v="2"/>
    <x v="1"/>
    <x v="2"/>
    <x v="6"/>
    <x v="2"/>
    <x v="0"/>
    <s v="Cisco SPA 501G IP Phone"/>
    <n v="1639.29"/>
    <n v="8"/>
    <n v="372.9"/>
  </r>
  <r>
    <d v="2014-02-06T00:00:00"/>
    <x v="1"/>
    <n v="2"/>
    <x v="1"/>
    <x v="2"/>
    <x v="4"/>
    <x v="2"/>
    <x v="3"/>
    <s v="Belkin 6 Outlet Surge"/>
    <n v="660.69"/>
    <n v="8"/>
    <n v="215.31"/>
  </r>
  <r>
    <d v="2014-02-07T00:00:00"/>
    <x v="1"/>
    <n v="2"/>
    <x v="1"/>
    <x v="9"/>
    <x v="3"/>
    <x v="2"/>
    <x v="5"/>
    <s v="Eldon Expressions Desk Accessories"/>
    <n v="1885.79"/>
    <n v="9"/>
    <n v="-133.58000000000001"/>
  </r>
  <r>
    <d v="2014-02-08T00:00:00"/>
    <x v="1"/>
    <n v="2"/>
    <x v="1"/>
    <x v="1"/>
    <x v="2"/>
    <x v="0"/>
    <x v="8"/>
    <s v="Fellowes PB200 Comb Binding Machine"/>
    <n v="1423.32"/>
    <n v="7"/>
    <n v="94.74"/>
  </r>
  <r>
    <d v="2014-02-09T00:00:00"/>
    <x v="1"/>
    <n v="2"/>
    <x v="1"/>
    <x v="9"/>
    <x v="4"/>
    <x v="0"/>
    <x v="6"/>
    <s v="Eldon Expressions Desk Accessories"/>
    <n v="1745.69"/>
    <n v="4"/>
    <n v="240.21"/>
  </r>
  <r>
    <d v="2014-02-10T00:00:00"/>
    <x v="1"/>
    <n v="2"/>
    <x v="1"/>
    <x v="8"/>
    <x v="1"/>
    <x v="2"/>
    <x v="2"/>
    <s v="Eldon Expressions Desk Accessories"/>
    <n v="1572.55"/>
    <n v="2"/>
    <n v="385.97"/>
  </r>
  <r>
    <d v="2014-02-11T00:00:00"/>
    <x v="1"/>
    <n v="2"/>
    <x v="1"/>
    <x v="3"/>
    <x v="5"/>
    <x v="0"/>
    <x v="1"/>
    <s v="Newell 322"/>
    <n v="1443.63"/>
    <n v="4"/>
    <n v="97.13"/>
  </r>
  <r>
    <d v="2014-02-12T00:00:00"/>
    <x v="1"/>
    <n v="2"/>
    <x v="1"/>
    <x v="7"/>
    <x v="0"/>
    <x v="2"/>
    <x v="4"/>
    <s v="Bretford CR4500 Series Table"/>
    <n v="1279.48"/>
    <n v="2"/>
    <n v="-50.89"/>
  </r>
  <r>
    <d v="2014-02-17T00:00:00"/>
    <x v="1"/>
    <n v="2"/>
    <x v="1"/>
    <x v="10"/>
    <x v="4"/>
    <x v="1"/>
    <x v="1"/>
    <s v="Newell 322"/>
    <n v="1376.67"/>
    <n v="9"/>
    <n v="215.4"/>
  </r>
  <r>
    <d v="2014-02-18T00:00:00"/>
    <x v="1"/>
    <n v="2"/>
    <x v="1"/>
    <x v="6"/>
    <x v="9"/>
    <x v="0"/>
    <x v="5"/>
    <s v="Bretford CR4500 Series Table"/>
    <n v="1155.68"/>
    <n v="1"/>
    <n v="-188.19"/>
  </r>
  <r>
    <d v="2014-02-22T00:00:00"/>
    <x v="1"/>
    <n v="2"/>
    <x v="1"/>
    <x v="4"/>
    <x v="6"/>
    <x v="2"/>
    <x v="4"/>
    <s v="Newell 322"/>
    <n v="233.64"/>
    <n v="6"/>
    <n v="-147.34"/>
  </r>
  <r>
    <d v="2014-02-22T00:00:00"/>
    <x v="1"/>
    <n v="2"/>
    <x v="1"/>
    <x v="8"/>
    <x v="6"/>
    <x v="1"/>
    <x v="2"/>
    <s v="Eldon Fold 'N Roll Cart System"/>
    <n v="567.63"/>
    <n v="9"/>
    <n v="114.81"/>
  </r>
  <r>
    <d v="2014-02-23T00:00:00"/>
    <x v="1"/>
    <n v="2"/>
    <x v="1"/>
    <x v="0"/>
    <x v="1"/>
    <x v="2"/>
    <x v="6"/>
    <s v="Bretford CR4500 Series Table"/>
    <n v="1176.5"/>
    <n v="3"/>
    <n v="-142.54"/>
  </r>
  <r>
    <d v="2014-02-23T00:00:00"/>
    <x v="1"/>
    <n v="2"/>
    <x v="1"/>
    <x v="10"/>
    <x v="0"/>
    <x v="2"/>
    <x v="8"/>
    <s v="Fellowes PB200 Comb Binding Machine"/>
    <n v="1361.99"/>
    <n v="3"/>
    <n v="-133.97"/>
  </r>
  <r>
    <d v="2014-02-24T00:00:00"/>
    <x v="1"/>
    <n v="2"/>
    <x v="1"/>
    <x v="9"/>
    <x v="8"/>
    <x v="0"/>
    <x v="5"/>
    <s v="Eldon Expressions Desk Accessories"/>
    <n v="20.62"/>
    <n v="9"/>
    <n v="396.21"/>
  </r>
  <r>
    <d v="2014-02-24T00:00:00"/>
    <x v="1"/>
    <n v="2"/>
    <x v="1"/>
    <x v="7"/>
    <x v="5"/>
    <x v="2"/>
    <x v="2"/>
    <s v="Newell 322"/>
    <n v="1644.04"/>
    <n v="6"/>
    <n v="-176.85"/>
  </r>
  <r>
    <d v="2014-02-26T00:00:00"/>
    <x v="1"/>
    <n v="2"/>
    <x v="1"/>
    <x v="10"/>
    <x v="9"/>
    <x v="0"/>
    <x v="5"/>
    <s v="Newell 322"/>
    <n v="672.5"/>
    <n v="1"/>
    <n v="25.44"/>
  </r>
  <r>
    <d v="2014-03-01T00:00:00"/>
    <x v="1"/>
    <n v="3"/>
    <x v="2"/>
    <x v="4"/>
    <x v="7"/>
    <x v="1"/>
    <x v="3"/>
    <s v="Bretford CR4500 Series Table"/>
    <n v="967.95"/>
    <n v="9"/>
    <n v="24.8"/>
  </r>
  <r>
    <d v="2014-03-05T00:00:00"/>
    <x v="1"/>
    <n v="3"/>
    <x v="2"/>
    <x v="4"/>
    <x v="5"/>
    <x v="1"/>
    <x v="0"/>
    <s v="Self-Adhesive Address Labels"/>
    <n v="327.66000000000003"/>
    <n v="6"/>
    <n v="192.06"/>
  </r>
  <r>
    <d v="2014-03-08T00:00:00"/>
    <x v="1"/>
    <n v="3"/>
    <x v="2"/>
    <x v="10"/>
    <x v="7"/>
    <x v="0"/>
    <x v="1"/>
    <s v="Bretford CR4500 Series Table"/>
    <n v="1694.17"/>
    <n v="8"/>
    <n v="300.64999999999998"/>
  </r>
  <r>
    <d v="2014-03-08T00:00:00"/>
    <x v="1"/>
    <n v="3"/>
    <x v="2"/>
    <x v="2"/>
    <x v="5"/>
    <x v="1"/>
    <x v="6"/>
    <s v="Bretford CR4500 Series Table"/>
    <n v="824.2"/>
    <n v="1"/>
    <n v="280.58999999999997"/>
  </r>
  <r>
    <d v="2014-03-11T00:00:00"/>
    <x v="1"/>
    <n v="3"/>
    <x v="2"/>
    <x v="9"/>
    <x v="3"/>
    <x v="0"/>
    <x v="4"/>
    <s v="Self-Adhesive Address Labels"/>
    <n v="906.66"/>
    <n v="3"/>
    <n v="73.37"/>
  </r>
  <r>
    <d v="2014-03-11T00:00:00"/>
    <x v="1"/>
    <n v="3"/>
    <x v="2"/>
    <x v="3"/>
    <x v="7"/>
    <x v="2"/>
    <x v="4"/>
    <s v="Fellowes PB200 Comb Binding Machine"/>
    <n v="1489.57"/>
    <n v="4"/>
    <n v="156.88999999999999"/>
  </r>
  <r>
    <d v="2014-03-11T00:00:00"/>
    <x v="1"/>
    <n v="3"/>
    <x v="2"/>
    <x v="1"/>
    <x v="2"/>
    <x v="0"/>
    <x v="6"/>
    <s v="Hon Deluxe Fabric Upholstered Stacking Chairs"/>
    <n v="1437.69"/>
    <n v="7"/>
    <n v="17.760000000000002"/>
  </r>
  <r>
    <d v="2014-03-14T00:00:00"/>
    <x v="1"/>
    <n v="3"/>
    <x v="2"/>
    <x v="2"/>
    <x v="8"/>
    <x v="1"/>
    <x v="4"/>
    <s v="Eldon Expressions Desk Accessories"/>
    <n v="1512.33"/>
    <n v="7"/>
    <n v="374.08"/>
  </r>
  <r>
    <d v="2014-03-14T00:00:00"/>
    <x v="1"/>
    <n v="3"/>
    <x v="2"/>
    <x v="12"/>
    <x v="4"/>
    <x v="1"/>
    <x v="2"/>
    <s v="Fellowes PB200 Comb Binding Machine"/>
    <n v="617.83000000000004"/>
    <n v="6"/>
    <n v="-114.31"/>
  </r>
  <r>
    <d v="2014-03-18T00:00:00"/>
    <x v="1"/>
    <n v="3"/>
    <x v="2"/>
    <x v="12"/>
    <x v="9"/>
    <x v="1"/>
    <x v="0"/>
    <s v="Bretford CR4500 Series Table"/>
    <n v="1960.3"/>
    <n v="7"/>
    <n v="392.39"/>
  </r>
  <r>
    <d v="2014-03-18T00:00:00"/>
    <x v="1"/>
    <n v="3"/>
    <x v="2"/>
    <x v="8"/>
    <x v="4"/>
    <x v="0"/>
    <x v="1"/>
    <s v="Self-Adhesive Address Labels"/>
    <n v="1694.6"/>
    <n v="6"/>
    <n v="-60.14"/>
  </r>
  <r>
    <d v="2014-03-18T00:00:00"/>
    <x v="1"/>
    <n v="3"/>
    <x v="2"/>
    <x v="12"/>
    <x v="1"/>
    <x v="1"/>
    <x v="2"/>
    <s v="Belkin 6 Outlet Surge"/>
    <n v="261.82"/>
    <n v="2"/>
    <n v="-106.21"/>
  </r>
  <r>
    <d v="2014-03-19T00:00:00"/>
    <x v="1"/>
    <n v="3"/>
    <x v="2"/>
    <x v="9"/>
    <x v="2"/>
    <x v="0"/>
    <x v="8"/>
    <s v="Fellowes PB200 Comb Binding Machine"/>
    <n v="328.55"/>
    <n v="5"/>
    <n v="279.97000000000003"/>
  </r>
  <r>
    <d v="2014-03-20T00:00:00"/>
    <x v="1"/>
    <n v="3"/>
    <x v="2"/>
    <x v="2"/>
    <x v="4"/>
    <x v="1"/>
    <x v="8"/>
    <s v="Newell 322"/>
    <n v="1891.8"/>
    <n v="1"/>
    <n v="-91.62"/>
  </r>
  <r>
    <d v="2014-03-21T00:00:00"/>
    <x v="1"/>
    <n v="3"/>
    <x v="2"/>
    <x v="0"/>
    <x v="3"/>
    <x v="2"/>
    <x v="2"/>
    <s v="Newell 322"/>
    <n v="608.83000000000004"/>
    <n v="3"/>
    <n v="122.21"/>
  </r>
  <r>
    <d v="2014-03-21T00:00:00"/>
    <x v="1"/>
    <n v="3"/>
    <x v="2"/>
    <x v="2"/>
    <x v="1"/>
    <x v="1"/>
    <x v="1"/>
    <s v="Bretford CR4500 Series Table"/>
    <n v="1799.51"/>
    <n v="9"/>
    <n v="179.6"/>
  </r>
  <r>
    <d v="2014-03-23T00:00:00"/>
    <x v="1"/>
    <n v="3"/>
    <x v="2"/>
    <x v="8"/>
    <x v="5"/>
    <x v="2"/>
    <x v="6"/>
    <s v="Bush Somerset Collection Bookcase"/>
    <n v="1068.6600000000001"/>
    <n v="2"/>
    <n v="-183.5"/>
  </r>
  <r>
    <d v="2014-03-25T00:00:00"/>
    <x v="1"/>
    <n v="3"/>
    <x v="2"/>
    <x v="11"/>
    <x v="4"/>
    <x v="1"/>
    <x v="1"/>
    <s v="Eldon Expressions Desk Accessories"/>
    <n v="506.1"/>
    <n v="7"/>
    <n v="-157.13999999999999"/>
  </r>
  <r>
    <d v="2014-03-26T00:00:00"/>
    <x v="1"/>
    <n v="3"/>
    <x v="2"/>
    <x v="12"/>
    <x v="5"/>
    <x v="0"/>
    <x v="8"/>
    <s v="Newell 322"/>
    <n v="1000.54"/>
    <n v="7"/>
    <n v="154.81"/>
  </r>
  <r>
    <d v="2014-03-28T00:00:00"/>
    <x v="1"/>
    <n v="3"/>
    <x v="2"/>
    <x v="10"/>
    <x v="4"/>
    <x v="2"/>
    <x v="4"/>
    <s v="Bretford CR4500 Series Table"/>
    <n v="801.93"/>
    <n v="8"/>
    <n v="93.67"/>
  </r>
  <r>
    <d v="2014-03-29T00:00:00"/>
    <x v="1"/>
    <n v="3"/>
    <x v="2"/>
    <x v="6"/>
    <x v="8"/>
    <x v="0"/>
    <x v="1"/>
    <s v="Eldon Fold 'N Roll Cart System"/>
    <n v="552.39"/>
    <n v="9"/>
    <n v="-199.93"/>
  </r>
  <r>
    <d v="2014-03-29T00:00:00"/>
    <x v="1"/>
    <n v="3"/>
    <x v="2"/>
    <x v="1"/>
    <x v="4"/>
    <x v="2"/>
    <x v="0"/>
    <s v="Bretford CR4500 Series Table"/>
    <n v="1745.49"/>
    <n v="4"/>
    <n v="-129.63999999999999"/>
  </r>
  <r>
    <d v="2014-03-29T00:00:00"/>
    <x v="1"/>
    <n v="3"/>
    <x v="2"/>
    <x v="9"/>
    <x v="0"/>
    <x v="0"/>
    <x v="1"/>
    <s v="Fellowes PB200 Comb Binding Machine"/>
    <n v="168.78"/>
    <n v="2"/>
    <n v="385.51"/>
  </r>
  <r>
    <d v="2014-03-31T00:00:00"/>
    <x v="1"/>
    <n v="3"/>
    <x v="2"/>
    <x v="1"/>
    <x v="0"/>
    <x v="1"/>
    <x v="1"/>
    <s v="Newell 322"/>
    <n v="1074.25"/>
    <n v="1"/>
    <n v="137.05000000000001"/>
  </r>
  <r>
    <d v="2014-03-31T00:00:00"/>
    <x v="1"/>
    <n v="3"/>
    <x v="2"/>
    <x v="4"/>
    <x v="1"/>
    <x v="2"/>
    <x v="7"/>
    <s v="Belkin 6 Outlet Surge"/>
    <n v="934.92"/>
    <n v="1"/>
    <n v="21.98"/>
  </r>
  <r>
    <d v="2014-04-01T00:00:00"/>
    <x v="1"/>
    <n v="4"/>
    <x v="3"/>
    <x v="0"/>
    <x v="7"/>
    <x v="0"/>
    <x v="5"/>
    <s v="Eldon Fold 'N Roll Cart System"/>
    <n v="624.63"/>
    <n v="6"/>
    <n v="49.09"/>
  </r>
  <r>
    <d v="2014-04-01T00:00:00"/>
    <x v="1"/>
    <n v="4"/>
    <x v="3"/>
    <x v="4"/>
    <x v="3"/>
    <x v="2"/>
    <x v="0"/>
    <s v="Hon Deluxe Fabric Upholstered Stacking Chairs"/>
    <n v="1118.1199999999999"/>
    <n v="4"/>
    <n v="-50.96"/>
  </r>
  <r>
    <d v="2014-04-02T00:00:00"/>
    <x v="1"/>
    <n v="4"/>
    <x v="3"/>
    <x v="10"/>
    <x v="9"/>
    <x v="1"/>
    <x v="0"/>
    <s v="Bush Somerset Collection Bookcase"/>
    <n v="1584.79"/>
    <n v="2"/>
    <n v="25.98"/>
  </r>
  <r>
    <d v="2014-04-02T00:00:00"/>
    <x v="1"/>
    <n v="4"/>
    <x v="3"/>
    <x v="5"/>
    <x v="5"/>
    <x v="1"/>
    <x v="6"/>
    <s v="Cisco SPA 501G IP Phone"/>
    <n v="1347.8"/>
    <n v="1"/>
    <n v="337.34"/>
  </r>
  <r>
    <d v="2014-04-05T00:00:00"/>
    <x v="1"/>
    <n v="4"/>
    <x v="3"/>
    <x v="10"/>
    <x v="5"/>
    <x v="2"/>
    <x v="4"/>
    <s v="Eldon Expressions Desk Accessories"/>
    <n v="1331.61"/>
    <n v="2"/>
    <n v="127.63"/>
  </r>
  <r>
    <d v="2014-04-05T00:00:00"/>
    <x v="1"/>
    <n v="4"/>
    <x v="3"/>
    <x v="4"/>
    <x v="6"/>
    <x v="2"/>
    <x v="2"/>
    <s v="Eldon Fold 'N Roll Cart System"/>
    <n v="851.51"/>
    <n v="1"/>
    <n v="133.97"/>
  </r>
  <r>
    <d v="2014-04-06T00:00:00"/>
    <x v="1"/>
    <n v="4"/>
    <x v="3"/>
    <x v="4"/>
    <x v="7"/>
    <x v="2"/>
    <x v="5"/>
    <s v="Eldon Expressions Desk Accessories"/>
    <n v="276.54000000000002"/>
    <n v="6"/>
    <n v="132.99"/>
  </r>
  <r>
    <d v="2014-04-09T00:00:00"/>
    <x v="1"/>
    <n v="4"/>
    <x v="3"/>
    <x v="3"/>
    <x v="8"/>
    <x v="0"/>
    <x v="8"/>
    <s v="Fellowes PB200 Comb Binding Machine"/>
    <n v="1300.9000000000001"/>
    <n v="2"/>
    <n v="20.239999999999998"/>
  </r>
  <r>
    <d v="2014-04-11T00:00:00"/>
    <x v="1"/>
    <n v="4"/>
    <x v="3"/>
    <x v="12"/>
    <x v="4"/>
    <x v="2"/>
    <x v="1"/>
    <s v="Self-Adhesive Address Labels"/>
    <n v="109.54"/>
    <n v="6"/>
    <n v="79.680000000000007"/>
  </r>
  <r>
    <d v="2014-04-12T00:00:00"/>
    <x v="1"/>
    <n v="4"/>
    <x v="3"/>
    <x v="7"/>
    <x v="9"/>
    <x v="0"/>
    <x v="4"/>
    <s v="Bretford CR4500 Series Table"/>
    <n v="861.76"/>
    <n v="1"/>
    <n v="140.52000000000001"/>
  </r>
  <r>
    <d v="2014-04-13T00:00:00"/>
    <x v="1"/>
    <n v="4"/>
    <x v="3"/>
    <x v="8"/>
    <x v="1"/>
    <x v="0"/>
    <x v="1"/>
    <s v="Hon Deluxe Fabric Upholstered Stacking Chairs"/>
    <n v="209.48"/>
    <n v="1"/>
    <n v="29.01"/>
  </r>
  <r>
    <d v="2014-04-14T00:00:00"/>
    <x v="1"/>
    <n v="4"/>
    <x v="3"/>
    <x v="12"/>
    <x v="2"/>
    <x v="1"/>
    <x v="8"/>
    <s v="Hon Deluxe Fabric Upholstered Stacking Chairs"/>
    <n v="870.34"/>
    <n v="4"/>
    <n v="-7.42"/>
  </r>
  <r>
    <d v="2014-04-15T00:00:00"/>
    <x v="1"/>
    <n v="4"/>
    <x v="3"/>
    <x v="12"/>
    <x v="4"/>
    <x v="1"/>
    <x v="6"/>
    <s v="Bush Somerset Collection Bookcase"/>
    <n v="746.3"/>
    <n v="3"/>
    <n v="212.87"/>
  </r>
  <r>
    <d v="2014-04-16T00:00:00"/>
    <x v="1"/>
    <n v="4"/>
    <x v="3"/>
    <x v="5"/>
    <x v="7"/>
    <x v="1"/>
    <x v="3"/>
    <s v="Bush Somerset Collection Bookcase"/>
    <n v="407.75"/>
    <n v="5"/>
    <n v="-161.05000000000001"/>
  </r>
  <r>
    <d v="2014-04-16T00:00:00"/>
    <x v="1"/>
    <n v="4"/>
    <x v="3"/>
    <x v="0"/>
    <x v="6"/>
    <x v="0"/>
    <x v="0"/>
    <s v="Belkin 6 Outlet Surge"/>
    <n v="240.19"/>
    <n v="9"/>
    <n v="-130.81"/>
  </r>
  <r>
    <d v="2014-04-16T00:00:00"/>
    <x v="1"/>
    <n v="4"/>
    <x v="3"/>
    <x v="10"/>
    <x v="9"/>
    <x v="2"/>
    <x v="2"/>
    <s v="Eldon Expressions Desk Accessories"/>
    <n v="100.52"/>
    <n v="3"/>
    <n v="-112.27"/>
  </r>
  <r>
    <d v="2014-04-18T00:00:00"/>
    <x v="1"/>
    <n v="4"/>
    <x v="3"/>
    <x v="12"/>
    <x v="7"/>
    <x v="2"/>
    <x v="1"/>
    <s v="Eldon Fold 'N Roll Cart System"/>
    <n v="1452.57"/>
    <n v="6"/>
    <n v="-34.03"/>
  </r>
  <r>
    <d v="2014-04-19T00:00:00"/>
    <x v="1"/>
    <n v="4"/>
    <x v="3"/>
    <x v="6"/>
    <x v="0"/>
    <x v="2"/>
    <x v="2"/>
    <s v="Eldon Expressions Desk Accessories"/>
    <n v="185.37"/>
    <n v="7"/>
    <n v="-95.1"/>
  </r>
  <r>
    <d v="2014-04-19T00:00:00"/>
    <x v="1"/>
    <n v="4"/>
    <x v="3"/>
    <x v="4"/>
    <x v="7"/>
    <x v="1"/>
    <x v="0"/>
    <s v="Eldon Fold 'N Roll Cart System"/>
    <n v="1294.24"/>
    <n v="5"/>
    <n v="38.159999999999997"/>
  </r>
  <r>
    <d v="2014-04-20T00:00:00"/>
    <x v="1"/>
    <n v="4"/>
    <x v="3"/>
    <x v="6"/>
    <x v="5"/>
    <x v="0"/>
    <x v="2"/>
    <s v="Fellowes PB200 Comb Binding Machine"/>
    <n v="996.48"/>
    <n v="6"/>
    <n v="30.15"/>
  </r>
  <r>
    <d v="2014-04-20T00:00:00"/>
    <x v="1"/>
    <n v="4"/>
    <x v="3"/>
    <x v="4"/>
    <x v="3"/>
    <x v="0"/>
    <x v="5"/>
    <s v="Eldon Expressions Desk Accessories"/>
    <n v="488.05"/>
    <n v="9"/>
    <n v="-134.88"/>
  </r>
  <r>
    <d v="2014-04-21T00:00:00"/>
    <x v="1"/>
    <n v="4"/>
    <x v="3"/>
    <x v="9"/>
    <x v="9"/>
    <x v="2"/>
    <x v="6"/>
    <s v="Eldon Expressions Desk Accessories"/>
    <n v="1474.67"/>
    <n v="1"/>
    <n v="-27.31"/>
  </r>
  <r>
    <d v="2014-04-21T00:00:00"/>
    <x v="1"/>
    <n v="4"/>
    <x v="3"/>
    <x v="0"/>
    <x v="1"/>
    <x v="0"/>
    <x v="5"/>
    <s v="Self-Adhesive Address Labels"/>
    <n v="324.89999999999998"/>
    <n v="4"/>
    <n v="132.22"/>
  </r>
  <r>
    <d v="2014-04-21T00:00:00"/>
    <x v="1"/>
    <n v="4"/>
    <x v="3"/>
    <x v="4"/>
    <x v="2"/>
    <x v="1"/>
    <x v="6"/>
    <s v="Fellowes PB200 Comb Binding Machine"/>
    <n v="994.64"/>
    <n v="5"/>
    <n v="6.66"/>
  </r>
  <r>
    <d v="2014-04-22T00:00:00"/>
    <x v="1"/>
    <n v="4"/>
    <x v="3"/>
    <x v="12"/>
    <x v="9"/>
    <x v="0"/>
    <x v="8"/>
    <s v="Eldon Fold 'N Roll Cart System"/>
    <n v="453.07"/>
    <n v="2"/>
    <n v="-162.91999999999999"/>
  </r>
  <r>
    <d v="2014-04-22T00:00:00"/>
    <x v="1"/>
    <n v="4"/>
    <x v="3"/>
    <x v="3"/>
    <x v="2"/>
    <x v="0"/>
    <x v="6"/>
    <s v="Cisco SPA 501G IP Phone"/>
    <n v="1413.18"/>
    <n v="2"/>
    <n v="-5.45"/>
  </r>
  <r>
    <d v="2014-04-23T00:00:00"/>
    <x v="1"/>
    <n v="4"/>
    <x v="3"/>
    <x v="12"/>
    <x v="0"/>
    <x v="0"/>
    <x v="1"/>
    <s v="Bush Somerset Collection Bookcase"/>
    <n v="1786.66"/>
    <n v="3"/>
    <n v="-168.85"/>
  </r>
  <r>
    <d v="2014-04-27T00:00:00"/>
    <x v="1"/>
    <n v="4"/>
    <x v="3"/>
    <x v="7"/>
    <x v="8"/>
    <x v="2"/>
    <x v="1"/>
    <s v="Fellowes PB200 Comb Binding Machine"/>
    <n v="653.98"/>
    <n v="9"/>
    <n v="320.45"/>
  </r>
  <r>
    <d v="2014-04-30T00:00:00"/>
    <x v="1"/>
    <n v="4"/>
    <x v="3"/>
    <x v="1"/>
    <x v="5"/>
    <x v="1"/>
    <x v="8"/>
    <s v="Cisco SPA 501G IP Phone"/>
    <n v="1301.67"/>
    <n v="7"/>
    <n v="-6.78"/>
  </r>
  <r>
    <d v="2014-04-30T00:00:00"/>
    <x v="1"/>
    <n v="4"/>
    <x v="3"/>
    <x v="1"/>
    <x v="2"/>
    <x v="2"/>
    <x v="1"/>
    <s v="Cisco SPA 501G IP Phone"/>
    <n v="404.84"/>
    <n v="1"/>
    <n v="43.16"/>
  </r>
  <r>
    <d v="2014-05-03T00:00:00"/>
    <x v="1"/>
    <n v="5"/>
    <x v="4"/>
    <x v="0"/>
    <x v="6"/>
    <x v="2"/>
    <x v="3"/>
    <s v="Hon Deluxe Fabric Upholstered Stacking Chairs"/>
    <n v="504.59"/>
    <n v="2"/>
    <n v="-7.15"/>
  </r>
  <r>
    <d v="2014-05-03T00:00:00"/>
    <x v="1"/>
    <n v="5"/>
    <x v="4"/>
    <x v="5"/>
    <x v="0"/>
    <x v="1"/>
    <x v="1"/>
    <s v="Newell 322"/>
    <n v="1043.7"/>
    <n v="5"/>
    <n v="106.63"/>
  </r>
  <r>
    <d v="2014-05-04T00:00:00"/>
    <x v="1"/>
    <n v="5"/>
    <x v="4"/>
    <x v="9"/>
    <x v="8"/>
    <x v="2"/>
    <x v="7"/>
    <s v="Bush Somerset Collection Bookcase"/>
    <n v="599.16999999999996"/>
    <n v="2"/>
    <n v="201.9"/>
  </r>
  <r>
    <d v="2014-05-04T00:00:00"/>
    <x v="1"/>
    <n v="5"/>
    <x v="4"/>
    <x v="5"/>
    <x v="6"/>
    <x v="0"/>
    <x v="6"/>
    <s v="Eldon Fold 'N Roll Cart System"/>
    <n v="1541.28"/>
    <n v="6"/>
    <n v="-142.63999999999999"/>
  </r>
  <r>
    <d v="2014-05-05T00:00:00"/>
    <x v="1"/>
    <n v="5"/>
    <x v="4"/>
    <x v="0"/>
    <x v="9"/>
    <x v="1"/>
    <x v="5"/>
    <s v="Eldon Fold 'N Roll Cart System"/>
    <n v="824.3"/>
    <n v="8"/>
    <n v="144.54"/>
  </r>
  <r>
    <d v="2014-05-06T00:00:00"/>
    <x v="1"/>
    <n v="5"/>
    <x v="4"/>
    <x v="10"/>
    <x v="9"/>
    <x v="2"/>
    <x v="6"/>
    <s v="Hon Deluxe Fabric Upholstered Stacking Chairs"/>
    <n v="947.45"/>
    <n v="1"/>
    <n v="163.38999999999999"/>
  </r>
  <r>
    <d v="2014-05-07T00:00:00"/>
    <x v="1"/>
    <n v="5"/>
    <x v="4"/>
    <x v="3"/>
    <x v="2"/>
    <x v="0"/>
    <x v="1"/>
    <s v="Self-Adhesive Address Labels"/>
    <n v="902.6"/>
    <n v="2"/>
    <n v="178.93"/>
  </r>
  <r>
    <d v="2014-05-08T00:00:00"/>
    <x v="1"/>
    <n v="5"/>
    <x v="4"/>
    <x v="12"/>
    <x v="1"/>
    <x v="2"/>
    <x v="0"/>
    <s v="Eldon Expressions Desk Accessories"/>
    <n v="1529.59"/>
    <n v="9"/>
    <n v="203.63"/>
  </r>
  <r>
    <d v="2014-05-08T00:00:00"/>
    <x v="1"/>
    <n v="5"/>
    <x v="4"/>
    <x v="12"/>
    <x v="4"/>
    <x v="0"/>
    <x v="4"/>
    <s v="Hon Deluxe Fabric Upholstered Stacking Chairs"/>
    <n v="1536.88"/>
    <n v="5"/>
    <n v="335.7"/>
  </r>
  <r>
    <d v="2014-05-09T00:00:00"/>
    <x v="1"/>
    <n v="5"/>
    <x v="4"/>
    <x v="9"/>
    <x v="6"/>
    <x v="2"/>
    <x v="0"/>
    <s v="Cisco SPA 501G IP Phone"/>
    <n v="839.93"/>
    <n v="7"/>
    <n v="43.62"/>
  </r>
  <r>
    <d v="2014-05-12T00:00:00"/>
    <x v="1"/>
    <n v="5"/>
    <x v="4"/>
    <x v="4"/>
    <x v="6"/>
    <x v="1"/>
    <x v="8"/>
    <s v="Self-Adhesive Address Labels"/>
    <n v="1972.12"/>
    <n v="5"/>
    <n v="-22.34"/>
  </r>
  <r>
    <d v="2014-05-12T00:00:00"/>
    <x v="1"/>
    <n v="5"/>
    <x v="4"/>
    <x v="8"/>
    <x v="2"/>
    <x v="2"/>
    <x v="2"/>
    <s v="Self-Adhesive Address Labels"/>
    <n v="742.02"/>
    <n v="7"/>
    <n v="387.48"/>
  </r>
  <r>
    <d v="2014-05-12T00:00:00"/>
    <x v="1"/>
    <n v="5"/>
    <x v="4"/>
    <x v="3"/>
    <x v="2"/>
    <x v="2"/>
    <x v="0"/>
    <s v="Eldon Fold 'N Roll Cart System"/>
    <n v="1197.75"/>
    <n v="2"/>
    <n v="120.18"/>
  </r>
  <r>
    <d v="2014-05-14T00:00:00"/>
    <x v="1"/>
    <n v="5"/>
    <x v="4"/>
    <x v="12"/>
    <x v="3"/>
    <x v="1"/>
    <x v="4"/>
    <s v="Bush Somerset Collection Bookcase"/>
    <n v="927.33"/>
    <n v="3"/>
    <n v="294.52"/>
  </r>
  <r>
    <d v="2014-05-15T00:00:00"/>
    <x v="1"/>
    <n v="5"/>
    <x v="4"/>
    <x v="8"/>
    <x v="4"/>
    <x v="0"/>
    <x v="0"/>
    <s v="Bretford CR4500 Series Table"/>
    <n v="421.9"/>
    <n v="9"/>
    <n v="187.96"/>
  </r>
  <r>
    <d v="2014-05-17T00:00:00"/>
    <x v="1"/>
    <n v="5"/>
    <x v="4"/>
    <x v="4"/>
    <x v="0"/>
    <x v="1"/>
    <x v="7"/>
    <s v="Bretford CR4500 Series Table"/>
    <n v="1488.21"/>
    <n v="2"/>
    <n v="-51.37"/>
  </r>
  <r>
    <d v="2014-05-17T00:00:00"/>
    <x v="1"/>
    <n v="5"/>
    <x v="4"/>
    <x v="6"/>
    <x v="6"/>
    <x v="2"/>
    <x v="6"/>
    <s v="Belkin 6 Outlet Surge"/>
    <n v="636.96"/>
    <n v="6"/>
    <n v="-140.25"/>
  </r>
  <r>
    <d v="2014-05-18T00:00:00"/>
    <x v="1"/>
    <n v="5"/>
    <x v="4"/>
    <x v="12"/>
    <x v="4"/>
    <x v="2"/>
    <x v="1"/>
    <s v="Bush Somerset Collection Bookcase"/>
    <n v="827.29"/>
    <n v="8"/>
    <n v="175.33"/>
  </r>
  <r>
    <d v="2014-05-18T00:00:00"/>
    <x v="1"/>
    <n v="5"/>
    <x v="4"/>
    <x v="8"/>
    <x v="2"/>
    <x v="2"/>
    <x v="1"/>
    <s v="Bush Somerset Collection Bookcase"/>
    <n v="883.67"/>
    <n v="5"/>
    <n v="-95.49"/>
  </r>
  <r>
    <d v="2014-05-18T00:00:00"/>
    <x v="1"/>
    <n v="5"/>
    <x v="4"/>
    <x v="6"/>
    <x v="7"/>
    <x v="0"/>
    <x v="4"/>
    <s v="Cisco SPA 501G IP Phone"/>
    <n v="1773.29"/>
    <n v="1"/>
    <n v="-45.96"/>
  </r>
  <r>
    <d v="2014-05-19T00:00:00"/>
    <x v="1"/>
    <n v="5"/>
    <x v="4"/>
    <x v="2"/>
    <x v="4"/>
    <x v="2"/>
    <x v="1"/>
    <s v="Eldon Expressions Desk Accessories"/>
    <n v="1121.19"/>
    <n v="6"/>
    <n v="123.11"/>
  </r>
  <r>
    <d v="2014-05-20T00:00:00"/>
    <x v="1"/>
    <n v="5"/>
    <x v="4"/>
    <x v="5"/>
    <x v="3"/>
    <x v="1"/>
    <x v="7"/>
    <s v="Eldon Expressions Desk Accessories"/>
    <n v="1093.6199999999999"/>
    <n v="5"/>
    <n v="-117.42"/>
  </r>
  <r>
    <d v="2014-05-21T00:00:00"/>
    <x v="1"/>
    <n v="5"/>
    <x v="4"/>
    <x v="9"/>
    <x v="3"/>
    <x v="0"/>
    <x v="7"/>
    <s v="Belkin 6 Outlet Surge"/>
    <n v="734.41"/>
    <n v="1"/>
    <n v="163.37"/>
  </r>
  <r>
    <d v="2014-05-24T00:00:00"/>
    <x v="1"/>
    <n v="5"/>
    <x v="4"/>
    <x v="7"/>
    <x v="4"/>
    <x v="0"/>
    <x v="7"/>
    <s v="Newell 322"/>
    <n v="427.69"/>
    <n v="9"/>
    <n v="5.03"/>
  </r>
  <r>
    <d v="2014-05-25T00:00:00"/>
    <x v="1"/>
    <n v="5"/>
    <x v="4"/>
    <x v="1"/>
    <x v="0"/>
    <x v="1"/>
    <x v="6"/>
    <s v="Eldon Fold 'N Roll Cart System"/>
    <n v="69.739999999999995"/>
    <n v="2"/>
    <n v="-134.72999999999999"/>
  </r>
  <r>
    <d v="2014-05-26T00:00:00"/>
    <x v="1"/>
    <n v="5"/>
    <x v="4"/>
    <x v="9"/>
    <x v="2"/>
    <x v="2"/>
    <x v="0"/>
    <s v="Bretford CR4500 Series Table"/>
    <n v="1509.8"/>
    <n v="2"/>
    <n v="74.7"/>
  </r>
  <r>
    <d v="2014-05-26T00:00:00"/>
    <x v="1"/>
    <n v="5"/>
    <x v="4"/>
    <x v="7"/>
    <x v="9"/>
    <x v="1"/>
    <x v="8"/>
    <s v="Eldon Fold 'N Roll Cart System"/>
    <n v="1632.21"/>
    <n v="8"/>
    <n v="30.46"/>
  </r>
  <r>
    <d v="2014-05-26T00:00:00"/>
    <x v="1"/>
    <n v="5"/>
    <x v="4"/>
    <x v="9"/>
    <x v="9"/>
    <x v="1"/>
    <x v="3"/>
    <s v="Newell 322"/>
    <n v="667.29"/>
    <n v="3"/>
    <n v="220.47"/>
  </r>
  <r>
    <d v="2014-05-27T00:00:00"/>
    <x v="1"/>
    <n v="5"/>
    <x v="4"/>
    <x v="10"/>
    <x v="5"/>
    <x v="1"/>
    <x v="8"/>
    <s v="Newell 322"/>
    <n v="1712.26"/>
    <n v="8"/>
    <n v="-155.68"/>
  </r>
  <r>
    <d v="2014-05-28T00:00:00"/>
    <x v="1"/>
    <n v="5"/>
    <x v="4"/>
    <x v="12"/>
    <x v="9"/>
    <x v="1"/>
    <x v="1"/>
    <s v="Self-Adhesive Address Labels"/>
    <n v="990.12"/>
    <n v="4"/>
    <n v="291.70999999999998"/>
  </r>
  <r>
    <d v="2014-05-28T00:00:00"/>
    <x v="1"/>
    <n v="5"/>
    <x v="4"/>
    <x v="12"/>
    <x v="3"/>
    <x v="0"/>
    <x v="3"/>
    <s v="Bretford CR4500 Series Table"/>
    <n v="1501.76"/>
    <n v="9"/>
    <n v="355.23"/>
  </r>
  <r>
    <d v="2014-05-29T00:00:00"/>
    <x v="1"/>
    <n v="5"/>
    <x v="4"/>
    <x v="0"/>
    <x v="5"/>
    <x v="0"/>
    <x v="4"/>
    <s v="Cisco SPA 501G IP Phone"/>
    <n v="1049.52"/>
    <n v="1"/>
    <n v="129.21"/>
  </r>
  <r>
    <d v="2014-05-31T00:00:00"/>
    <x v="1"/>
    <n v="5"/>
    <x v="4"/>
    <x v="3"/>
    <x v="8"/>
    <x v="2"/>
    <x v="6"/>
    <s v="Belkin 6 Outlet Surge"/>
    <n v="1466.23"/>
    <n v="1"/>
    <n v="-38.75"/>
  </r>
  <r>
    <d v="2014-05-31T00:00:00"/>
    <x v="1"/>
    <n v="5"/>
    <x v="4"/>
    <x v="8"/>
    <x v="6"/>
    <x v="1"/>
    <x v="6"/>
    <s v="Eldon Fold 'N Roll Cart System"/>
    <n v="186.97"/>
    <n v="1"/>
    <n v="-41.18"/>
  </r>
  <r>
    <d v="2014-06-01T00:00:00"/>
    <x v="1"/>
    <n v="6"/>
    <x v="5"/>
    <x v="9"/>
    <x v="9"/>
    <x v="2"/>
    <x v="8"/>
    <s v="Eldon Expressions Desk Accessories"/>
    <n v="1530.55"/>
    <n v="6"/>
    <n v="-18.809999999999999"/>
  </r>
  <r>
    <d v="2014-06-02T00:00:00"/>
    <x v="1"/>
    <n v="6"/>
    <x v="5"/>
    <x v="7"/>
    <x v="0"/>
    <x v="0"/>
    <x v="7"/>
    <s v="Eldon Fold 'N Roll Cart System"/>
    <n v="1060.27"/>
    <n v="5"/>
    <n v="379.31"/>
  </r>
  <r>
    <d v="2014-06-02T00:00:00"/>
    <x v="1"/>
    <n v="6"/>
    <x v="5"/>
    <x v="12"/>
    <x v="9"/>
    <x v="0"/>
    <x v="8"/>
    <s v="Self-Adhesive Address Labels"/>
    <n v="777.09"/>
    <n v="7"/>
    <n v="42.71"/>
  </r>
  <r>
    <d v="2014-06-05T00:00:00"/>
    <x v="1"/>
    <n v="6"/>
    <x v="5"/>
    <x v="9"/>
    <x v="4"/>
    <x v="0"/>
    <x v="2"/>
    <s v="Eldon Fold 'N Roll Cart System"/>
    <n v="1684.3"/>
    <n v="1"/>
    <n v="340.37"/>
  </r>
  <r>
    <d v="2014-06-05T00:00:00"/>
    <x v="1"/>
    <n v="6"/>
    <x v="5"/>
    <x v="1"/>
    <x v="3"/>
    <x v="2"/>
    <x v="2"/>
    <s v="Cisco SPA 501G IP Phone"/>
    <n v="987.78"/>
    <n v="8"/>
    <n v="285.54000000000002"/>
  </r>
  <r>
    <d v="2014-06-05T00:00:00"/>
    <x v="1"/>
    <n v="6"/>
    <x v="5"/>
    <x v="4"/>
    <x v="7"/>
    <x v="1"/>
    <x v="1"/>
    <s v="Newell 322"/>
    <n v="577.70000000000005"/>
    <n v="7"/>
    <n v="-50.8"/>
  </r>
  <r>
    <d v="2014-06-06T00:00:00"/>
    <x v="1"/>
    <n v="6"/>
    <x v="5"/>
    <x v="9"/>
    <x v="9"/>
    <x v="1"/>
    <x v="8"/>
    <s v="Bush Somerset Collection Bookcase"/>
    <n v="1897.92"/>
    <n v="6"/>
    <n v="30.97"/>
  </r>
  <r>
    <d v="2014-06-08T00:00:00"/>
    <x v="1"/>
    <n v="6"/>
    <x v="5"/>
    <x v="10"/>
    <x v="4"/>
    <x v="2"/>
    <x v="1"/>
    <s v="Self-Adhesive Address Labels"/>
    <n v="1770.3"/>
    <n v="9"/>
    <n v="324.58"/>
  </r>
  <r>
    <d v="2014-06-08T00:00:00"/>
    <x v="1"/>
    <n v="6"/>
    <x v="5"/>
    <x v="4"/>
    <x v="8"/>
    <x v="1"/>
    <x v="3"/>
    <s v="Newell 322"/>
    <n v="1671.59"/>
    <n v="9"/>
    <n v="114.69"/>
  </r>
  <r>
    <d v="2014-06-09T00:00:00"/>
    <x v="1"/>
    <n v="6"/>
    <x v="5"/>
    <x v="6"/>
    <x v="9"/>
    <x v="0"/>
    <x v="5"/>
    <s v="Cisco SPA 501G IP Phone"/>
    <n v="198.82"/>
    <n v="5"/>
    <n v="228.82"/>
  </r>
  <r>
    <d v="2014-06-09T00:00:00"/>
    <x v="1"/>
    <n v="6"/>
    <x v="5"/>
    <x v="8"/>
    <x v="8"/>
    <x v="0"/>
    <x v="7"/>
    <s v="Eldon Expressions Desk Accessories"/>
    <n v="1540.65"/>
    <n v="1"/>
    <n v="167.94"/>
  </r>
  <r>
    <d v="2014-06-10T00:00:00"/>
    <x v="1"/>
    <n v="6"/>
    <x v="5"/>
    <x v="10"/>
    <x v="7"/>
    <x v="2"/>
    <x v="1"/>
    <s v="Bretford CR4500 Series Table"/>
    <n v="1852.25"/>
    <n v="9"/>
    <n v="-179.83"/>
  </r>
  <r>
    <d v="2014-06-10T00:00:00"/>
    <x v="1"/>
    <n v="6"/>
    <x v="5"/>
    <x v="9"/>
    <x v="1"/>
    <x v="1"/>
    <x v="5"/>
    <s v="Eldon Fold 'N Roll Cart System"/>
    <n v="1124.17"/>
    <n v="3"/>
    <n v="-61.81"/>
  </r>
  <r>
    <d v="2014-06-10T00:00:00"/>
    <x v="1"/>
    <n v="6"/>
    <x v="5"/>
    <x v="6"/>
    <x v="6"/>
    <x v="1"/>
    <x v="3"/>
    <s v="Eldon Expressions Desk Accessories"/>
    <n v="473.13"/>
    <n v="1"/>
    <n v="-175.22"/>
  </r>
  <r>
    <d v="2014-06-16T00:00:00"/>
    <x v="1"/>
    <n v="6"/>
    <x v="5"/>
    <x v="1"/>
    <x v="7"/>
    <x v="2"/>
    <x v="5"/>
    <s v="Belkin 6 Outlet Surge"/>
    <n v="1232.04"/>
    <n v="1"/>
    <n v="33.79"/>
  </r>
  <r>
    <d v="2014-06-18T00:00:00"/>
    <x v="1"/>
    <n v="6"/>
    <x v="5"/>
    <x v="10"/>
    <x v="9"/>
    <x v="2"/>
    <x v="7"/>
    <s v="Eldon Fold 'N Roll Cart System"/>
    <n v="402.83"/>
    <n v="5"/>
    <n v="367.72"/>
  </r>
  <r>
    <d v="2014-06-21T00:00:00"/>
    <x v="1"/>
    <n v="6"/>
    <x v="5"/>
    <x v="8"/>
    <x v="3"/>
    <x v="1"/>
    <x v="4"/>
    <s v="Bretford CR4500 Series Table"/>
    <n v="1991.08"/>
    <n v="4"/>
    <n v="210.05"/>
  </r>
  <r>
    <d v="2014-06-21T00:00:00"/>
    <x v="1"/>
    <n v="6"/>
    <x v="5"/>
    <x v="4"/>
    <x v="0"/>
    <x v="1"/>
    <x v="8"/>
    <s v="Hon Deluxe Fabric Upholstered Stacking Chairs"/>
    <n v="1570.01"/>
    <n v="3"/>
    <n v="-171.24"/>
  </r>
  <r>
    <d v="2014-06-22T00:00:00"/>
    <x v="1"/>
    <n v="6"/>
    <x v="5"/>
    <x v="8"/>
    <x v="6"/>
    <x v="2"/>
    <x v="8"/>
    <s v="Self-Adhesive Address Labels"/>
    <n v="809.57"/>
    <n v="3"/>
    <n v="226.96"/>
  </r>
  <r>
    <d v="2014-06-24T00:00:00"/>
    <x v="1"/>
    <n v="6"/>
    <x v="5"/>
    <x v="9"/>
    <x v="4"/>
    <x v="1"/>
    <x v="7"/>
    <s v="Newell 322"/>
    <n v="213.76"/>
    <n v="2"/>
    <n v="-89.95"/>
  </r>
  <r>
    <d v="2014-06-25T00:00:00"/>
    <x v="1"/>
    <n v="6"/>
    <x v="5"/>
    <x v="12"/>
    <x v="0"/>
    <x v="1"/>
    <x v="3"/>
    <s v="Eldon Expressions Desk Accessories"/>
    <n v="1850.06"/>
    <n v="5"/>
    <n v="305.62"/>
  </r>
  <r>
    <d v="2014-06-26T00:00:00"/>
    <x v="1"/>
    <n v="6"/>
    <x v="5"/>
    <x v="2"/>
    <x v="2"/>
    <x v="2"/>
    <x v="7"/>
    <s v="Cisco SPA 501G IP Phone"/>
    <n v="15.24"/>
    <n v="4"/>
    <n v="-19.78"/>
  </r>
  <r>
    <d v="2014-06-27T00:00:00"/>
    <x v="1"/>
    <n v="6"/>
    <x v="5"/>
    <x v="5"/>
    <x v="4"/>
    <x v="2"/>
    <x v="4"/>
    <s v="Hon Deluxe Fabric Upholstered Stacking Chairs"/>
    <n v="1609.73"/>
    <n v="6"/>
    <n v="380.94"/>
  </r>
  <r>
    <d v="2014-06-30T00:00:00"/>
    <x v="1"/>
    <n v="6"/>
    <x v="5"/>
    <x v="8"/>
    <x v="4"/>
    <x v="2"/>
    <x v="5"/>
    <s v="Newell 322"/>
    <n v="1431.03"/>
    <n v="2"/>
    <n v="-133.22"/>
  </r>
  <r>
    <d v="2014-06-30T00:00:00"/>
    <x v="1"/>
    <n v="6"/>
    <x v="5"/>
    <x v="10"/>
    <x v="0"/>
    <x v="0"/>
    <x v="5"/>
    <s v="Newell 322"/>
    <n v="1524.17"/>
    <n v="4"/>
    <n v="394.69"/>
  </r>
  <r>
    <d v="2014-06-30T00:00:00"/>
    <x v="1"/>
    <n v="6"/>
    <x v="5"/>
    <x v="2"/>
    <x v="1"/>
    <x v="0"/>
    <x v="3"/>
    <s v="Cisco SPA 501G IP Phone"/>
    <n v="809.78"/>
    <n v="3"/>
    <n v="234.46"/>
  </r>
  <r>
    <d v="2014-07-01T00:00:00"/>
    <x v="1"/>
    <n v="7"/>
    <x v="6"/>
    <x v="0"/>
    <x v="5"/>
    <x v="0"/>
    <x v="6"/>
    <s v="Eldon Fold 'N Roll Cart System"/>
    <n v="1157.05"/>
    <n v="2"/>
    <n v="268.67"/>
  </r>
  <r>
    <d v="2014-07-02T00:00:00"/>
    <x v="1"/>
    <n v="7"/>
    <x v="6"/>
    <x v="2"/>
    <x v="7"/>
    <x v="2"/>
    <x v="0"/>
    <s v="Fellowes PB200 Comb Binding Machine"/>
    <n v="1436.93"/>
    <n v="7"/>
    <n v="-29.49"/>
  </r>
  <r>
    <d v="2014-07-04T00:00:00"/>
    <x v="1"/>
    <n v="7"/>
    <x v="6"/>
    <x v="7"/>
    <x v="0"/>
    <x v="1"/>
    <x v="7"/>
    <s v="Cisco SPA 501G IP Phone"/>
    <n v="1756.89"/>
    <n v="5"/>
    <n v="167.96"/>
  </r>
  <r>
    <d v="2014-07-04T00:00:00"/>
    <x v="1"/>
    <n v="7"/>
    <x v="6"/>
    <x v="8"/>
    <x v="9"/>
    <x v="0"/>
    <x v="4"/>
    <s v="Eldon Fold 'N Roll Cart System"/>
    <n v="889.89"/>
    <n v="7"/>
    <n v="-183.14"/>
  </r>
  <r>
    <d v="2014-07-05T00:00:00"/>
    <x v="1"/>
    <n v="7"/>
    <x v="6"/>
    <x v="2"/>
    <x v="0"/>
    <x v="0"/>
    <x v="6"/>
    <s v="Eldon Expressions Desk Accessories"/>
    <n v="1955.65"/>
    <n v="4"/>
    <n v="18.010000000000002"/>
  </r>
  <r>
    <d v="2014-07-05T00:00:00"/>
    <x v="1"/>
    <n v="7"/>
    <x v="6"/>
    <x v="0"/>
    <x v="3"/>
    <x v="1"/>
    <x v="0"/>
    <s v="Self-Adhesive Address Labels"/>
    <n v="1225.78"/>
    <n v="6"/>
    <n v="195.23"/>
  </r>
  <r>
    <d v="2014-07-06T00:00:00"/>
    <x v="1"/>
    <n v="7"/>
    <x v="6"/>
    <x v="12"/>
    <x v="6"/>
    <x v="1"/>
    <x v="1"/>
    <s v="Self-Adhesive Address Labels"/>
    <n v="1746.21"/>
    <n v="5"/>
    <n v="131.02000000000001"/>
  </r>
  <r>
    <d v="2014-07-08T00:00:00"/>
    <x v="1"/>
    <n v="7"/>
    <x v="6"/>
    <x v="2"/>
    <x v="2"/>
    <x v="2"/>
    <x v="7"/>
    <s v="Eldon Expressions Desk Accessories"/>
    <n v="362.32"/>
    <n v="4"/>
    <n v="-21.79"/>
  </r>
  <r>
    <d v="2014-07-11T00:00:00"/>
    <x v="1"/>
    <n v="7"/>
    <x v="6"/>
    <x v="12"/>
    <x v="1"/>
    <x v="2"/>
    <x v="7"/>
    <s v="Fellowes PB200 Comb Binding Machine"/>
    <n v="1622.76"/>
    <n v="8"/>
    <n v="-148.85"/>
  </r>
  <r>
    <d v="2014-07-13T00:00:00"/>
    <x v="1"/>
    <n v="7"/>
    <x v="6"/>
    <x v="6"/>
    <x v="3"/>
    <x v="2"/>
    <x v="0"/>
    <s v="Newell 322"/>
    <n v="895.59"/>
    <n v="7"/>
    <n v="91.94"/>
  </r>
  <r>
    <d v="2014-07-14T00:00:00"/>
    <x v="1"/>
    <n v="7"/>
    <x v="6"/>
    <x v="6"/>
    <x v="8"/>
    <x v="0"/>
    <x v="0"/>
    <s v="Hon Deluxe Fabric Upholstered Stacking Chairs"/>
    <n v="94.25"/>
    <n v="5"/>
    <n v="48.84"/>
  </r>
  <r>
    <d v="2014-07-15T00:00:00"/>
    <x v="1"/>
    <n v="7"/>
    <x v="6"/>
    <x v="3"/>
    <x v="0"/>
    <x v="1"/>
    <x v="6"/>
    <s v="Bretford CR4500 Series Table"/>
    <n v="281.10000000000002"/>
    <n v="1"/>
    <n v="-147.94999999999999"/>
  </r>
  <r>
    <d v="2014-07-17T00:00:00"/>
    <x v="1"/>
    <n v="7"/>
    <x v="6"/>
    <x v="4"/>
    <x v="9"/>
    <x v="2"/>
    <x v="8"/>
    <s v="Hon Deluxe Fabric Upholstered Stacking Chairs"/>
    <n v="1489.23"/>
    <n v="2"/>
    <n v="172.64"/>
  </r>
  <r>
    <d v="2014-07-17T00:00:00"/>
    <x v="1"/>
    <n v="7"/>
    <x v="6"/>
    <x v="3"/>
    <x v="9"/>
    <x v="0"/>
    <x v="5"/>
    <s v="Eldon Expressions Desk Accessories"/>
    <n v="668.28"/>
    <n v="2"/>
    <n v="125.66"/>
  </r>
  <r>
    <d v="2014-07-18T00:00:00"/>
    <x v="1"/>
    <n v="7"/>
    <x v="6"/>
    <x v="7"/>
    <x v="1"/>
    <x v="1"/>
    <x v="4"/>
    <s v="Eldon Expressions Desk Accessories"/>
    <n v="35.39"/>
    <n v="5"/>
    <n v="87.41"/>
  </r>
  <r>
    <d v="2014-07-18T00:00:00"/>
    <x v="1"/>
    <n v="7"/>
    <x v="6"/>
    <x v="1"/>
    <x v="7"/>
    <x v="0"/>
    <x v="1"/>
    <s v="Hon Deluxe Fabric Upholstered Stacking Chairs"/>
    <n v="793.5"/>
    <n v="9"/>
    <n v="135.93"/>
  </r>
  <r>
    <d v="2014-07-18T00:00:00"/>
    <x v="1"/>
    <n v="7"/>
    <x v="6"/>
    <x v="10"/>
    <x v="9"/>
    <x v="1"/>
    <x v="5"/>
    <s v="Self-Adhesive Address Labels"/>
    <n v="1858.86"/>
    <n v="1"/>
    <n v="95.45"/>
  </r>
  <r>
    <d v="2014-07-19T00:00:00"/>
    <x v="1"/>
    <n v="7"/>
    <x v="6"/>
    <x v="12"/>
    <x v="4"/>
    <x v="0"/>
    <x v="0"/>
    <s v="Cisco SPA 501G IP Phone"/>
    <n v="1223.32"/>
    <n v="4"/>
    <n v="-21.8"/>
  </r>
  <r>
    <d v="2014-07-20T00:00:00"/>
    <x v="1"/>
    <n v="7"/>
    <x v="6"/>
    <x v="3"/>
    <x v="7"/>
    <x v="2"/>
    <x v="7"/>
    <s v="Self-Adhesive Address Labels"/>
    <n v="803.13"/>
    <n v="5"/>
    <n v="372.79"/>
  </r>
  <r>
    <d v="2014-07-20T00:00:00"/>
    <x v="1"/>
    <n v="7"/>
    <x v="6"/>
    <x v="8"/>
    <x v="3"/>
    <x v="0"/>
    <x v="5"/>
    <s v="Fellowes PB200 Comb Binding Machine"/>
    <n v="1325.34"/>
    <n v="3"/>
    <n v="0.04"/>
  </r>
  <r>
    <d v="2014-07-21T00:00:00"/>
    <x v="1"/>
    <n v="7"/>
    <x v="6"/>
    <x v="5"/>
    <x v="1"/>
    <x v="1"/>
    <x v="3"/>
    <s v="Cisco SPA 501G IP Phone"/>
    <n v="1987.07"/>
    <n v="4"/>
    <n v="234.54"/>
  </r>
  <r>
    <d v="2014-07-23T00:00:00"/>
    <x v="1"/>
    <n v="7"/>
    <x v="6"/>
    <x v="5"/>
    <x v="4"/>
    <x v="2"/>
    <x v="2"/>
    <s v="Bush Somerset Collection Bookcase"/>
    <n v="1659.05"/>
    <n v="8"/>
    <n v="19.23"/>
  </r>
  <r>
    <d v="2014-07-24T00:00:00"/>
    <x v="1"/>
    <n v="7"/>
    <x v="6"/>
    <x v="1"/>
    <x v="5"/>
    <x v="2"/>
    <x v="3"/>
    <s v="Bretford CR4500 Series Table"/>
    <n v="652.57000000000005"/>
    <n v="2"/>
    <n v="3.12"/>
  </r>
  <r>
    <d v="2014-07-24T00:00:00"/>
    <x v="1"/>
    <n v="7"/>
    <x v="6"/>
    <x v="4"/>
    <x v="4"/>
    <x v="1"/>
    <x v="3"/>
    <s v="Self-Adhesive Address Labels"/>
    <n v="41.13"/>
    <n v="5"/>
    <n v="66.239999999999995"/>
  </r>
  <r>
    <d v="2014-07-28T00:00:00"/>
    <x v="1"/>
    <n v="7"/>
    <x v="6"/>
    <x v="7"/>
    <x v="8"/>
    <x v="2"/>
    <x v="4"/>
    <s v="Self-Adhesive Address Labels"/>
    <n v="789.04"/>
    <n v="9"/>
    <n v="-156.63999999999999"/>
  </r>
  <r>
    <d v="2014-07-28T00:00:00"/>
    <x v="1"/>
    <n v="7"/>
    <x v="6"/>
    <x v="2"/>
    <x v="7"/>
    <x v="1"/>
    <x v="6"/>
    <s v="Bush Somerset Collection Bookcase"/>
    <n v="593.85"/>
    <n v="9"/>
    <n v="-4.5599999999999996"/>
  </r>
  <r>
    <d v="2014-07-29T00:00:00"/>
    <x v="1"/>
    <n v="7"/>
    <x v="6"/>
    <x v="12"/>
    <x v="5"/>
    <x v="2"/>
    <x v="2"/>
    <s v="Self-Adhesive Address Labels"/>
    <n v="1459.66"/>
    <n v="8"/>
    <n v="-86.43"/>
  </r>
  <r>
    <d v="2014-07-29T00:00:00"/>
    <x v="1"/>
    <n v="7"/>
    <x v="6"/>
    <x v="0"/>
    <x v="1"/>
    <x v="1"/>
    <x v="3"/>
    <s v="Bretford CR4500 Series Table"/>
    <n v="1218.46"/>
    <n v="8"/>
    <n v="316.52"/>
  </r>
  <r>
    <d v="2014-07-29T00:00:00"/>
    <x v="1"/>
    <n v="7"/>
    <x v="6"/>
    <x v="8"/>
    <x v="1"/>
    <x v="2"/>
    <x v="3"/>
    <s v="Self-Adhesive Address Labels"/>
    <n v="1253.5999999999999"/>
    <n v="4"/>
    <n v="109.8"/>
  </r>
  <r>
    <d v="2014-07-31T00:00:00"/>
    <x v="1"/>
    <n v="7"/>
    <x v="6"/>
    <x v="2"/>
    <x v="6"/>
    <x v="1"/>
    <x v="2"/>
    <s v="Eldon Fold 'N Roll Cart System"/>
    <n v="1981.69"/>
    <n v="3"/>
    <n v="225.9"/>
  </r>
  <r>
    <d v="2014-08-01T00:00:00"/>
    <x v="1"/>
    <n v="8"/>
    <x v="7"/>
    <x v="4"/>
    <x v="1"/>
    <x v="1"/>
    <x v="6"/>
    <s v="Bush Somerset Collection Bookcase"/>
    <n v="78.010000000000005"/>
    <n v="6"/>
    <n v="-55.42"/>
  </r>
  <r>
    <d v="2014-08-01T00:00:00"/>
    <x v="1"/>
    <n v="8"/>
    <x v="7"/>
    <x v="11"/>
    <x v="7"/>
    <x v="2"/>
    <x v="7"/>
    <s v="Cisco SPA 501G IP Phone"/>
    <n v="1641.54"/>
    <n v="7"/>
    <n v="175.53"/>
  </r>
  <r>
    <d v="2014-08-02T00:00:00"/>
    <x v="1"/>
    <n v="8"/>
    <x v="7"/>
    <x v="8"/>
    <x v="4"/>
    <x v="1"/>
    <x v="3"/>
    <s v="Eldon Fold 'N Roll Cart System"/>
    <n v="487.85"/>
    <n v="7"/>
    <n v="355.69"/>
  </r>
  <r>
    <d v="2014-08-02T00:00:00"/>
    <x v="1"/>
    <n v="8"/>
    <x v="7"/>
    <x v="12"/>
    <x v="5"/>
    <x v="0"/>
    <x v="3"/>
    <s v="Eldon Fold 'N Roll Cart System"/>
    <n v="811.75"/>
    <n v="5"/>
    <n v="144.22999999999999"/>
  </r>
  <r>
    <d v="2014-08-03T00:00:00"/>
    <x v="1"/>
    <n v="8"/>
    <x v="7"/>
    <x v="0"/>
    <x v="5"/>
    <x v="1"/>
    <x v="2"/>
    <s v="Newell 322"/>
    <n v="894.34"/>
    <n v="8"/>
    <n v="-194.68"/>
  </r>
  <r>
    <d v="2014-08-04T00:00:00"/>
    <x v="1"/>
    <n v="8"/>
    <x v="7"/>
    <x v="7"/>
    <x v="9"/>
    <x v="0"/>
    <x v="2"/>
    <s v="Eldon Fold 'N Roll Cart System"/>
    <n v="268.12"/>
    <n v="2"/>
    <n v="247.92"/>
  </r>
  <r>
    <d v="2014-08-08T00:00:00"/>
    <x v="1"/>
    <n v="8"/>
    <x v="7"/>
    <x v="1"/>
    <x v="3"/>
    <x v="1"/>
    <x v="6"/>
    <s v="Eldon Fold 'N Roll Cart System"/>
    <n v="1403.37"/>
    <n v="8"/>
    <n v="66.23"/>
  </r>
  <r>
    <d v="2014-08-10T00:00:00"/>
    <x v="1"/>
    <n v="8"/>
    <x v="7"/>
    <x v="8"/>
    <x v="3"/>
    <x v="1"/>
    <x v="5"/>
    <s v="Belkin 6 Outlet Surge"/>
    <n v="1693.78"/>
    <n v="6"/>
    <n v="-53.48"/>
  </r>
  <r>
    <d v="2014-08-11T00:00:00"/>
    <x v="1"/>
    <n v="8"/>
    <x v="7"/>
    <x v="9"/>
    <x v="3"/>
    <x v="2"/>
    <x v="7"/>
    <s v="Bush Somerset Collection Bookcase"/>
    <n v="1941.44"/>
    <n v="1"/>
    <n v="342.61"/>
  </r>
  <r>
    <d v="2014-08-11T00:00:00"/>
    <x v="1"/>
    <n v="8"/>
    <x v="7"/>
    <x v="12"/>
    <x v="5"/>
    <x v="2"/>
    <x v="7"/>
    <s v="Fellowes PB200 Comb Binding Machine"/>
    <n v="1433.86"/>
    <n v="1"/>
    <n v="178.77"/>
  </r>
  <r>
    <d v="2014-08-11T00:00:00"/>
    <x v="1"/>
    <n v="8"/>
    <x v="7"/>
    <x v="4"/>
    <x v="9"/>
    <x v="0"/>
    <x v="6"/>
    <s v="Self-Adhesive Address Labels"/>
    <n v="1761.46"/>
    <n v="7"/>
    <n v="109.29"/>
  </r>
  <r>
    <d v="2014-08-13T00:00:00"/>
    <x v="1"/>
    <n v="8"/>
    <x v="7"/>
    <x v="10"/>
    <x v="8"/>
    <x v="1"/>
    <x v="7"/>
    <s v="Belkin 6 Outlet Surge"/>
    <n v="246.12"/>
    <n v="1"/>
    <n v="190.33"/>
  </r>
  <r>
    <d v="2014-08-16T00:00:00"/>
    <x v="1"/>
    <n v="8"/>
    <x v="7"/>
    <x v="4"/>
    <x v="1"/>
    <x v="1"/>
    <x v="3"/>
    <s v="Fellowes PB200 Comb Binding Machine"/>
    <n v="699.07"/>
    <n v="7"/>
    <n v="21.59"/>
  </r>
  <r>
    <d v="2014-08-16T00:00:00"/>
    <x v="1"/>
    <n v="8"/>
    <x v="7"/>
    <x v="2"/>
    <x v="6"/>
    <x v="1"/>
    <x v="6"/>
    <s v="Fellowes PB200 Comb Binding Machine"/>
    <n v="960.98"/>
    <n v="5"/>
    <n v="178.16"/>
  </r>
  <r>
    <d v="2014-08-17T00:00:00"/>
    <x v="1"/>
    <n v="8"/>
    <x v="7"/>
    <x v="12"/>
    <x v="4"/>
    <x v="1"/>
    <x v="7"/>
    <s v="Hon Deluxe Fabric Upholstered Stacking Chairs"/>
    <n v="911.47"/>
    <n v="1"/>
    <n v="73.02"/>
  </r>
  <r>
    <d v="2014-08-18T00:00:00"/>
    <x v="1"/>
    <n v="8"/>
    <x v="7"/>
    <x v="7"/>
    <x v="2"/>
    <x v="0"/>
    <x v="2"/>
    <s v="Bretford CR4500 Series Table"/>
    <n v="1152.18"/>
    <n v="2"/>
    <n v="295.93"/>
  </r>
  <r>
    <d v="2014-08-19T00:00:00"/>
    <x v="1"/>
    <n v="8"/>
    <x v="7"/>
    <x v="12"/>
    <x v="1"/>
    <x v="0"/>
    <x v="4"/>
    <s v="Newell 322"/>
    <n v="762.28"/>
    <n v="9"/>
    <n v="118.13"/>
  </r>
  <r>
    <d v="2014-08-21T00:00:00"/>
    <x v="1"/>
    <n v="8"/>
    <x v="7"/>
    <x v="7"/>
    <x v="5"/>
    <x v="0"/>
    <x v="3"/>
    <s v="Hon Deluxe Fabric Upholstered Stacking Chairs"/>
    <n v="457.54"/>
    <n v="3"/>
    <n v="33.39"/>
  </r>
  <r>
    <d v="2014-08-24T00:00:00"/>
    <x v="1"/>
    <n v="8"/>
    <x v="7"/>
    <x v="4"/>
    <x v="9"/>
    <x v="1"/>
    <x v="4"/>
    <s v="Self-Adhesive Address Labels"/>
    <n v="1037.93"/>
    <n v="3"/>
    <n v="80.930000000000007"/>
  </r>
  <r>
    <d v="2014-08-24T00:00:00"/>
    <x v="1"/>
    <n v="8"/>
    <x v="7"/>
    <x v="1"/>
    <x v="6"/>
    <x v="2"/>
    <x v="4"/>
    <s v="Bretford CR4500 Series Table"/>
    <n v="1633.48"/>
    <n v="9"/>
    <n v="205.83"/>
  </r>
  <r>
    <d v="2014-08-27T00:00:00"/>
    <x v="1"/>
    <n v="8"/>
    <x v="7"/>
    <x v="4"/>
    <x v="3"/>
    <x v="0"/>
    <x v="3"/>
    <s v="Bretford CR4500 Series Table"/>
    <n v="493"/>
    <n v="2"/>
    <n v="384.28"/>
  </r>
  <r>
    <d v="2014-08-27T00:00:00"/>
    <x v="1"/>
    <n v="8"/>
    <x v="7"/>
    <x v="3"/>
    <x v="3"/>
    <x v="1"/>
    <x v="6"/>
    <s v="Cisco SPA 501G IP Phone"/>
    <n v="1028.69"/>
    <n v="9"/>
    <n v="-6.54"/>
  </r>
  <r>
    <d v="2014-08-28T00:00:00"/>
    <x v="1"/>
    <n v="8"/>
    <x v="7"/>
    <x v="5"/>
    <x v="2"/>
    <x v="2"/>
    <x v="1"/>
    <s v="Fellowes PB200 Comb Binding Machine"/>
    <n v="1507.28"/>
    <n v="2"/>
    <n v="368.14"/>
  </r>
  <r>
    <d v="2014-08-30T00:00:00"/>
    <x v="1"/>
    <n v="8"/>
    <x v="7"/>
    <x v="1"/>
    <x v="2"/>
    <x v="0"/>
    <x v="5"/>
    <s v="Belkin 6 Outlet Surge"/>
    <n v="1779.37"/>
    <n v="2"/>
    <n v="276.83999999999997"/>
  </r>
  <r>
    <d v="2014-09-01T00:00:00"/>
    <x v="1"/>
    <n v="9"/>
    <x v="8"/>
    <x v="7"/>
    <x v="6"/>
    <x v="1"/>
    <x v="8"/>
    <s v="Hon Deluxe Fabric Upholstered Stacking Chairs"/>
    <n v="664.2"/>
    <n v="5"/>
    <n v="-149.91999999999999"/>
  </r>
  <r>
    <d v="2014-09-02T00:00:00"/>
    <x v="1"/>
    <n v="9"/>
    <x v="8"/>
    <x v="3"/>
    <x v="4"/>
    <x v="1"/>
    <x v="8"/>
    <s v="Eldon Fold 'N Roll Cart System"/>
    <n v="1412.54"/>
    <n v="1"/>
    <n v="-190.58"/>
  </r>
  <r>
    <d v="2014-09-02T00:00:00"/>
    <x v="1"/>
    <n v="9"/>
    <x v="8"/>
    <x v="0"/>
    <x v="4"/>
    <x v="2"/>
    <x v="8"/>
    <s v="Fellowes PB200 Comb Binding Machine"/>
    <n v="1216.57"/>
    <n v="5"/>
    <n v="-28.61"/>
  </r>
  <r>
    <d v="2014-09-05T00:00:00"/>
    <x v="1"/>
    <n v="9"/>
    <x v="8"/>
    <x v="8"/>
    <x v="3"/>
    <x v="1"/>
    <x v="6"/>
    <s v="Self-Adhesive Address Labels"/>
    <n v="491.44"/>
    <n v="4"/>
    <n v="31.37"/>
  </r>
  <r>
    <d v="2014-09-05T00:00:00"/>
    <x v="1"/>
    <n v="9"/>
    <x v="8"/>
    <x v="3"/>
    <x v="8"/>
    <x v="2"/>
    <x v="1"/>
    <s v="Belkin 6 Outlet Surge"/>
    <n v="891.44"/>
    <n v="2"/>
    <n v="188.5"/>
  </r>
  <r>
    <d v="2014-09-05T00:00:00"/>
    <x v="1"/>
    <n v="9"/>
    <x v="8"/>
    <x v="5"/>
    <x v="0"/>
    <x v="2"/>
    <x v="2"/>
    <s v="Self-Adhesive Address Labels"/>
    <n v="166.27"/>
    <n v="8"/>
    <n v="-48.55"/>
  </r>
  <r>
    <d v="2014-09-07T00:00:00"/>
    <x v="1"/>
    <n v="9"/>
    <x v="8"/>
    <x v="5"/>
    <x v="4"/>
    <x v="2"/>
    <x v="2"/>
    <s v="Bretford CR4500 Series Table"/>
    <n v="993.31"/>
    <n v="4"/>
    <n v="245.58"/>
  </r>
  <r>
    <d v="2014-09-08T00:00:00"/>
    <x v="1"/>
    <n v="9"/>
    <x v="8"/>
    <x v="8"/>
    <x v="8"/>
    <x v="0"/>
    <x v="0"/>
    <s v="Cisco SPA 501G IP Phone"/>
    <n v="1796.04"/>
    <n v="7"/>
    <n v="96.97"/>
  </r>
  <r>
    <d v="2014-09-09T00:00:00"/>
    <x v="1"/>
    <n v="9"/>
    <x v="8"/>
    <x v="2"/>
    <x v="1"/>
    <x v="1"/>
    <x v="6"/>
    <s v="Self-Adhesive Address Labels"/>
    <n v="1754.08"/>
    <n v="5"/>
    <n v="237.23"/>
  </r>
  <r>
    <d v="2014-09-12T00:00:00"/>
    <x v="1"/>
    <n v="9"/>
    <x v="8"/>
    <x v="1"/>
    <x v="7"/>
    <x v="2"/>
    <x v="3"/>
    <s v="Fellowes PB200 Comb Binding Machine"/>
    <n v="1361.02"/>
    <n v="6"/>
    <n v="142.19999999999999"/>
  </r>
  <r>
    <d v="2014-09-15T00:00:00"/>
    <x v="1"/>
    <n v="9"/>
    <x v="8"/>
    <x v="11"/>
    <x v="4"/>
    <x v="0"/>
    <x v="8"/>
    <s v="Hon Deluxe Fabric Upholstered Stacking Chairs"/>
    <n v="1012.51"/>
    <n v="2"/>
    <n v="247.71"/>
  </r>
  <r>
    <d v="2014-09-15T00:00:00"/>
    <x v="1"/>
    <n v="9"/>
    <x v="8"/>
    <x v="6"/>
    <x v="1"/>
    <x v="1"/>
    <x v="6"/>
    <s v="Newell 322"/>
    <n v="1224.26"/>
    <n v="3"/>
    <n v="289.26"/>
  </r>
  <r>
    <d v="2014-09-16T00:00:00"/>
    <x v="1"/>
    <n v="9"/>
    <x v="8"/>
    <x v="0"/>
    <x v="5"/>
    <x v="2"/>
    <x v="6"/>
    <s v="Bretford CR4500 Series Table"/>
    <n v="740.25"/>
    <n v="4"/>
    <n v="5.75"/>
  </r>
  <r>
    <d v="2014-09-16T00:00:00"/>
    <x v="1"/>
    <n v="9"/>
    <x v="8"/>
    <x v="3"/>
    <x v="8"/>
    <x v="0"/>
    <x v="2"/>
    <s v="Hon Deluxe Fabric Upholstered Stacking Chairs"/>
    <n v="1896.63"/>
    <n v="3"/>
    <n v="261.45999999999998"/>
  </r>
  <r>
    <d v="2014-09-16T00:00:00"/>
    <x v="1"/>
    <n v="9"/>
    <x v="8"/>
    <x v="0"/>
    <x v="0"/>
    <x v="1"/>
    <x v="7"/>
    <s v="Hon Deluxe Fabric Upholstered Stacking Chairs"/>
    <n v="1202.21"/>
    <n v="5"/>
    <n v="223.01"/>
  </r>
  <r>
    <d v="2014-09-17T00:00:00"/>
    <x v="1"/>
    <n v="9"/>
    <x v="8"/>
    <x v="6"/>
    <x v="4"/>
    <x v="2"/>
    <x v="1"/>
    <s v="Hon Deluxe Fabric Upholstered Stacking Chairs"/>
    <n v="1009.24"/>
    <n v="9"/>
    <n v="-133.08000000000001"/>
  </r>
  <r>
    <d v="2014-09-18T00:00:00"/>
    <x v="1"/>
    <n v="9"/>
    <x v="8"/>
    <x v="10"/>
    <x v="2"/>
    <x v="2"/>
    <x v="1"/>
    <s v="Eldon Expressions Desk Accessories"/>
    <n v="404.76"/>
    <n v="1"/>
    <n v="345.17"/>
  </r>
  <r>
    <d v="2014-09-19T00:00:00"/>
    <x v="1"/>
    <n v="9"/>
    <x v="8"/>
    <x v="6"/>
    <x v="4"/>
    <x v="1"/>
    <x v="0"/>
    <s v="Bush Somerset Collection Bookcase"/>
    <n v="1506.79"/>
    <n v="8"/>
    <n v="-195.56"/>
  </r>
  <r>
    <d v="2014-09-20T00:00:00"/>
    <x v="1"/>
    <n v="9"/>
    <x v="8"/>
    <x v="8"/>
    <x v="4"/>
    <x v="2"/>
    <x v="8"/>
    <s v="Bush Somerset Collection Bookcase"/>
    <n v="1279.6300000000001"/>
    <n v="3"/>
    <n v="90.32"/>
  </r>
  <r>
    <d v="2014-09-20T00:00:00"/>
    <x v="1"/>
    <n v="9"/>
    <x v="8"/>
    <x v="12"/>
    <x v="2"/>
    <x v="0"/>
    <x v="8"/>
    <s v="Fellowes PB200 Comb Binding Machine"/>
    <n v="223.83"/>
    <n v="7"/>
    <n v="24.9"/>
  </r>
  <r>
    <d v="2014-09-21T00:00:00"/>
    <x v="1"/>
    <n v="9"/>
    <x v="8"/>
    <x v="2"/>
    <x v="6"/>
    <x v="2"/>
    <x v="1"/>
    <s v="Self-Adhesive Address Labels"/>
    <n v="1184.33"/>
    <n v="4"/>
    <n v="-142.68"/>
  </r>
  <r>
    <d v="2014-09-24T00:00:00"/>
    <x v="1"/>
    <n v="9"/>
    <x v="8"/>
    <x v="9"/>
    <x v="2"/>
    <x v="2"/>
    <x v="1"/>
    <s v="Newell 322"/>
    <n v="389.71"/>
    <n v="3"/>
    <n v="-111.93"/>
  </r>
  <r>
    <d v="2014-09-25T00:00:00"/>
    <x v="1"/>
    <n v="9"/>
    <x v="8"/>
    <x v="10"/>
    <x v="2"/>
    <x v="2"/>
    <x v="7"/>
    <s v="Cisco SPA 501G IP Phone"/>
    <n v="1257.3"/>
    <n v="4"/>
    <n v="-104.42"/>
  </r>
  <r>
    <d v="2014-09-26T00:00:00"/>
    <x v="1"/>
    <n v="9"/>
    <x v="8"/>
    <x v="7"/>
    <x v="7"/>
    <x v="2"/>
    <x v="6"/>
    <s v="Self-Adhesive Address Labels"/>
    <n v="1410.83"/>
    <n v="9"/>
    <n v="326.10000000000002"/>
  </r>
  <r>
    <d v="2014-09-26T00:00:00"/>
    <x v="1"/>
    <n v="9"/>
    <x v="8"/>
    <x v="3"/>
    <x v="0"/>
    <x v="0"/>
    <x v="8"/>
    <s v="Belkin 6 Outlet Surge"/>
    <n v="11.8"/>
    <n v="1"/>
    <n v="149.07"/>
  </r>
  <r>
    <d v="2014-09-26T00:00:00"/>
    <x v="1"/>
    <n v="9"/>
    <x v="8"/>
    <x v="1"/>
    <x v="1"/>
    <x v="0"/>
    <x v="4"/>
    <s v="Fellowes PB200 Comb Binding Machine"/>
    <n v="1473.93"/>
    <n v="2"/>
    <n v="32.86"/>
  </r>
  <r>
    <d v="2014-09-26T00:00:00"/>
    <x v="1"/>
    <n v="9"/>
    <x v="8"/>
    <x v="0"/>
    <x v="5"/>
    <x v="0"/>
    <x v="1"/>
    <s v="Self-Adhesive Address Labels"/>
    <n v="696.91"/>
    <n v="7"/>
    <n v="-103.03"/>
  </r>
  <r>
    <d v="2014-09-26T00:00:00"/>
    <x v="1"/>
    <n v="9"/>
    <x v="8"/>
    <x v="7"/>
    <x v="6"/>
    <x v="0"/>
    <x v="8"/>
    <s v="Belkin 6 Outlet Surge"/>
    <n v="1418.97"/>
    <n v="7"/>
    <n v="106.14"/>
  </r>
  <r>
    <d v="2014-09-27T00:00:00"/>
    <x v="1"/>
    <n v="9"/>
    <x v="8"/>
    <x v="1"/>
    <x v="2"/>
    <x v="0"/>
    <x v="4"/>
    <s v="Hon Deluxe Fabric Upholstered Stacking Chairs"/>
    <n v="1818.69"/>
    <n v="9"/>
    <n v="8.4700000000000006"/>
  </r>
  <r>
    <d v="2014-09-28T00:00:00"/>
    <x v="1"/>
    <n v="9"/>
    <x v="8"/>
    <x v="1"/>
    <x v="4"/>
    <x v="0"/>
    <x v="4"/>
    <s v="Bush Somerset Collection Bookcase"/>
    <n v="540.09"/>
    <n v="3"/>
    <n v="13.32"/>
  </r>
  <r>
    <d v="2014-10-01T00:00:00"/>
    <x v="1"/>
    <n v="10"/>
    <x v="9"/>
    <x v="8"/>
    <x v="5"/>
    <x v="2"/>
    <x v="2"/>
    <s v="Belkin 6 Outlet Surge"/>
    <n v="536.45000000000005"/>
    <n v="9"/>
    <n v="-114.98"/>
  </r>
  <r>
    <d v="2014-10-02T00:00:00"/>
    <x v="1"/>
    <n v="10"/>
    <x v="9"/>
    <x v="8"/>
    <x v="0"/>
    <x v="2"/>
    <x v="6"/>
    <s v="Bush Somerset Collection Bookcase"/>
    <n v="272.3"/>
    <n v="6"/>
    <n v="-153.16999999999999"/>
  </r>
  <r>
    <d v="2014-10-02T00:00:00"/>
    <x v="1"/>
    <n v="10"/>
    <x v="9"/>
    <x v="6"/>
    <x v="2"/>
    <x v="0"/>
    <x v="1"/>
    <s v="Eldon Fold 'N Roll Cart System"/>
    <n v="839.94"/>
    <n v="5"/>
    <n v="27.47"/>
  </r>
  <r>
    <d v="2014-10-03T00:00:00"/>
    <x v="1"/>
    <n v="10"/>
    <x v="9"/>
    <x v="6"/>
    <x v="2"/>
    <x v="0"/>
    <x v="0"/>
    <s v="Cisco SPA 501G IP Phone"/>
    <n v="1828.02"/>
    <n v="6"/>
    <n v="125.74"/>
  </r>
  <r>
    <d v="2014-10-04T00:00:00"/>
    <x v="1"/>
    <n v="10"/>
    <x v="9"/>
    <x v="12"/>
    <x v="7"/>
    <x v="0"/>
    <x v="6"/>
    <s v="Bush Somerset Collection Bookcase"/>
    <n v="1859.23"/>
    <n v="8"/>
    <n v="245.67"/>
  </r>
  <r>
    <d v="2014-10-05T00:00:00"/>
    <x v="1"/>
    <n v="10"/>
    <x v="9"/>
    <x v="12"/>
    <x v="4"/>
    <x v="2"/>
    <x v="6"/>
    <s v="Fellowes PB200 Comb Binding Machine"/>
    <n v="47.9"/>
    <n v="9"/>
    <n v="159.30000000000001"/>
  </r>
  <r>
    <d v="2014-10-07T00:00:00"/>
    <x v="1"/>
    <n v="10"/>
    <x v="9"/>
    <x v="11"/>
    <x v="2"/>
    <x v="2"/>
    <x v="0"/>
    <s v="Bush Somerset Collection Bookcase"/>
    <n v="1942"/>
    <n v="9"/>
    <n v="220.74"/>
  </r>
  <r>
    <d v="2014-10-08T00:00:00"/>
    <x v="1"/>
    <n v="10"/>
    <x v="9"/>
    <x v="1"/>
    <x v="8"/>
    <x v="2"/>
    <x v="3"/>
    <s v="Self-Adhesive Address Labels"/>
    <n v="1399.25"/>
    <n v="8"/>
    <n v="149.77000000000001"/>
  </r>
  <r>
    <d v="2014-10-08T00:00:00"/>
    <x v="1"/>
    <n v="10"/>
    <x v="9"/>
    <x v="6"/>
    <x v="9"/>
    <x v="0"/>
    <x v="2"/>
    <s v="Eldon Fold 'N Roll Cart System"/>
    <n v="92.78"/>
    <n v="8"/>
    <n v="-91.85"/>
  </r>
  <r>
    <d v="2014-10-08T00:00:00"/>
    <x v="1"/>
    <n v="10"/>
    <x v="9"/>
    <x v="8"/>
    <x v="2"/>
    <x v="0"/>
    <x v="8"/>
    <s v="Self-Adhesive Address Labels"/>
    <n v="1638.9"/>
    <n v="6"/>
    <n v="96.35"/>
  </r>
  <r>
    <d v="2014-10-09T00:00:00"/>
    <x v="1"/>
    <n v="10"/>
    <x v="9"/>
    <x v="7"/>
    <x v="3"/>
    <x v="0"/>
    <x v="5"/>
    <s v="Newell 322"/>
    <n v="188.75"/>
    <n v="5"/>
    <n v="-13.39"/>
  </r>
  <r>
    <d v="2014-10-10T00:00:00"/>
    <x v="1"/>
    <n v="10"/>
    <x v="9"/>
    <x v="7"/>
    <x v="3"/>
    <x v="0"/>
    <x v="5"/>
    <s v="Belkin 6 Outlet Surge"/>
    <n v="90.61"/>
    <n v="5"/>
    <n v="128.58000000000001"/>
  </r>
  <r>
    <d v="2014-10-11T00:00:00"/>
    <x v="1"/>
    <n v="10"/>
    <x v="9"/>
    <x v="9"/>
    <x v="5"/>
    <x v="0"/>
    <x v="4"/>
    <s v="Eldon Fold 'N Roll Cart System"/>
    <n v="176.77"/>
    <n v="3"/>
    <n v="-109.6"/>
  </r>
  <r>
    <d v="2014-10-15T00:00:00"/>
    <x v="1"/>
    <n v="10"/>
    <x v="9"/>
    <x v="6"/>
    <x v="6"/>
    <x v="0"/>
    <x v="2"/>
    <s v="Hon Deluxe Fabric Upholstered Stacking Chairs"/>
    <n v="933.9"/>
    <n v="7"/>
    <n v="368.65"/>
  </r>
  <r>
    <d v="2014-10-16T00:00:00"/>
    <x v="1"/>
    <n v="10"/>
    <x v="9"/>
    <x v="7"/>
    <x v="9"/>
    <x v="2"/>
    <x v="6"/>
    <s v="Eldon Expressions Desk Accessories"/>
    <n v="161.44"/>
    <n v="5"/>
    <n v="20.03"/>
  </r>
  <r>
    <d v="2014-10-16T00:00:00"/>
    <x v="1"/>
    <n v="10"/>
    <x v="9"/>
    <x v="10"/>
    <x v="2"/>
    <x v="1"/>
    <x v="7"/>
    <s v="Bretford CR4500 Series Table"/>
    <n v="1787.98"/>
    <n v="6"/>
    <n v="18.13"/>
  </r>
  <r>
    <d v="2014-10-18T00:00:00"/>
    <x v="1"/>
    <n v="10"/>
    <x v="9"/>
    <x v="10"/>
    <x v="1"/>
    <x v="2"/>
    <x v="4"/>
    <s v="Hon Deluxe Fabric Upholstered Stacking Chairs"/>
    <n v="195.13"/>
    <n v="6"/>
    <n v="66.209999999999994"/>
  </r>
  <r>
    <d v="2014-10-18T00:00:00"/>
    <x v="1"/>
    <n v="10"/>
    <x v="9"/>
    <x v="2"/>
    <x v="7"/>
    <x v="0"/>
    <x v="4"/>
    <s v="Bretford CR4500 Series Table"/>
    <n v="1909.35"/>
    <n v="7"/>
    <n v="248.48"/>
  </r>
  <r>
    <d v="2014-10-19T00:00:00"/>
    <x v="1"/>
    <n v="10"/>
    <x v="9"/>
    <x v="8"/>
    <x v="0"/>
    <x v="0"/>
    <x v="1"/>
    <s v="Fellowes PB200 Comb Binding Machine"/>
    <n v="1781.7"/>
    <n v="7"/>
    <n v="267.05"/>
  </r>
  <r>
    <d v="2014-10-20T00:00:00"/>
    <x v="1"/>
    <n v="10"/>
    <x v="9"/>
    <x v="11"/>
    <x v="8"/>
    <x v="0"/>
    <x v="3"/>
    <s v="Bush Somerset Collection Bookcase"/>
    <n v="957.05"/>
    <n v="5"/>
    <n v="-68.14"/>
  </r>
  <r>
    <d v="2014-10-21T00:00:00"/>
    <x v="1"/>
    <n v="10"/>
    <x v="9"/>
    <x v="5"/>
    <x v="2"/>
    <x v="1"/>
    <x v="6"/>
    <s v="Eldon Fold 'N Roll Cart System"/>
    <n v="1873.77"/>
    <n v="8"/>
    <n v="358.96"/>
  </r>
  <r>
    <d v="2014-10-22T00:00:00"/>
    <x v="1"/>
    <n v="10"/>
    <x v="9"/>
    <x v="4"/>
    <x v="6"/>
    <x v="2"/>
    <x v="0"/>
    <s v="Bretford CR4500 Series Table"/>
    <n v="32.67"/>
    <n v="3"/>
    <n v="-143.13999999999999"/>
  </r>
  <r>
    <d v="2014-10-23T00:00:00"/>
    <x v="1"/>
    <n v="10"/>
    <x v="9"/>
    <x v="0"/>
    <x v="3"/>
    <x v="0"/>
    <x v="3"/>
    <s v="Eldon Expressions Desk Accessories"/>
    <n v="926.04"/>
    <n v="2"/>
    <n v="-171.05"/>
  </r>
  <r>
    <d v="2014-10-23T00:00:00"/>
    <x v="1"/>
    <n v="10"/>
    <x v="9"/>
    <x v="3"/>
    <x v="2"/>
    <x v="0"/>
    <x v="0"/>
    <s v="Hon Deluxe Fabric Upholstered Stacking Chairs"/>
    <n v="1599.01"/>
    <n v="7"/>
    <n v="145.4"/>
  </r>
  <r>
    <d v="2014-10-24T00:00:00"/>
    <x v="1"/>
    <n v="10"/>
    <x v="9"/>
    <x v="11"/>
    <x v="1"/>
    <x v="1"/>
    <x v="8"/>
    <s v="Bretford CR4500 Series Table"/>
    <n v="357.42"/>
    <n v="7"/>
    <n v="-186.83"/>
  </r>
  <r>
    <d v="2014-10-24T00:00:00"/>
    <x v="1"/>
    <n v="10"/>
    <x v="9"/>
    <x v="12"/>
    <x v="5"/>
    <x v="1"/>
    <x v="2"/>
    <s v="Belkin 6 Outlet Surge"/>
    <n v="1031.1500000000001"/>
    <n v="6"/>
    <n v="323.8"/>
  </r>
  <r>
    <d v="2014-10-25T00:00:00"/>
    <x v="1"/>
    <n v="10"/>
    <x v="9"/>
    <x v="5"/>
    <x v="5"/>
    <x v="2"/>
    <x v="8"/>
    <s v="Eldon Expressions Desk Accessories"/>
    <n v="602.98"/>
    <n v="5"/>
    <n v="4.49"/>
  </r>
  <r>
    <d v="2014-10-26T00:00:00"/>
    <x v="1"/>
    <n v="10"/>
    <x v="9"/>
    <x v="6"/>
    <x v="0"/>
    <x v="0"/>
    <x v="7"/>
    <s v="Eldon Expressions Desk Accessories"/>
    <n v="1058.8699999999999"/>
    <n v="2"/>
    <n v="332.63"/>
  </r>
  <r>
    <d v="2014-10-26T00:00:00"/>
    <x v="1"/>
    <n v="10"/>
    <x v="9"/>
    <x v="6"/>
    <x v="7"/>
    <x v="2"/>
    <x v="2"/>
    <s v="Fellowes PB200 Comb Binding Machine"/>
    <n v="953.91"/>
    <n v="9"/>
    <n v="49.48"/>
  </r>
  <r>
    <d v="2014-10-26T00:00:00"/>
    <x v="1"/>
    <n v="10"/>
    <x v="9"/>
    <x v="5"/>
    <x v="2"/>
    <x v="2"/>
    <x v="4"/>
    <s v="Belkin 6 Outlet Surge"/>
    <n v="316.41000000000003"/>
    <n v="8"/>
    <n v="351.02"/>
  </r>
  <r>
    <d v="2014-10-27T00:00:00"/>
    <x v="1"/>
    <n v="10"/>
    <x v="9"/>
    <x v="9"/>
    <x v="1"/>
    <x v="0"/>
    <x v="4"/>
    <s v="Cisco SPA 501G IP Phone"/>
    <n v="73.900000000000006"/>
    <n v="1"/>
    <n v="224.78"/>
  </r>
  <r>
    <d v="2014-10-28T00:00:00"/>
    <x v="1"/>
    <n v="10"/>
    <x v="9"/>
    <x v="6"/>
    <x v="2"/>
    <x v="0"/>
    <x v="7"/>
    <s v="Self-Adhesive Address Labels"/>
    <n v="1354.87"/>
    <n v="7"/>
    <n v="372.34"/>
  </r>
  <r>
    <d v="2014-10-28T00:00:00"/>
    <x v="1"/>
    <n v="10"/>
    <x v="9"/>
    <x v="4"/>
    <x v="7"/>
    <x v="1"/>
    <x v="0"/>
    <s v="Eldon Fold 'N Roll Cart System"/>
    <n v="492.41"/>
    <n v="3"/>
    <n v="2.15"/>
  </r>
  <r>
    <d v="2014-10-28T00:00:00"/>
    <x v="1"/>
    <n v="10"/>
    <x v="9"/>
    <x v="5"/>
    <x v="4"/>
    <x v="1"/>
    <x v="8"/>
    <s v="Eldon Expressions Desk Accessories"/>
    <n v="1719.04"/>
    <n v="6"/>
    <n v="296.14999999999998"/>
  </r>
  <r>
    <d v="2014-10-29T00:00:00"/>
    <x v="1"/>
    <n v="10"/>
    <x v="9"/>
    <x v="10"/>
    <x v="6"/>
    <x v="0"/>
    <x v="8"/>
    <s v="Newell 322"/>
    <n v="1586.99"/>
    <n v="8"/>
    <n v="-7.73"/>
  </r>
  <r>
    <d v="2014-10-30T00:00:00"/>
    <x v="1"/>
    <n v="10"/>
    <x v="9"/>
    <x v="12"/>
    <x v="4"/>
    <x v="2"/>
    <x v="4"/>
    <s v="Newell 322"/>
    <n v="1667.23"/>
    <n v="4"/>
    <n v="356.63"/>
  </r>
  <r>
    <d v="2014-11-01T00:00:00"/>
    <x v="1"/>
    <n v="11"/>
    <x v="10"/>
    <x v="3"/>
    <x v="6"/>
    <x v="1"/>
    <x v="3"/>
    <s v="Newell 322"/>
    <n v="352.48"/>
    <n v="4"/>
    <n v="150.71"/>
  </r>
  <r>
    <d v="2014-11-03T00:00:00"/>
    <x v="1"/>
    <n v="11"/>
    <x v="10"/>
    <x v="3"/>
    <x v="5"/>
    <x v="2"/>
    <x v="7"/>
    <s v="Eldon Fold 'N Roll Cart System"/>
    <n v="1346.77"/>
    <n v="6"/>
    <n v="231.79"/>
  </r>
  <r>
    <d v="2014-11-03T00:00:00"/>
    <x v="1"/>
    <n v="11"/>
    <x v="10"/>
    <x v="5"/>
    <x v="3"/>
    <x v="1"/>
    <x v="6"/>
    <s v="Bush Somerset Collection Bookcase"/>
    <n v="81.709999999999994"/>
    <n v="8"/>
    <n v="312.77999999999997"/>
  </r>
  <r>
    <d v="2014-11-05T00:00:00"/>
    <x v="1"/>
    <n v="11"/>
    <x v="10"/>
    <x v="12"/>
    <x v="9"/>
    <x v="2"/>
    <x v="0"/>
    <s v="Hon Deluxe Fabric Upholstered Stacking Chairs"/>
    <n v="88.11"/>
    <n v="6"/>
    <n v="262.54000000000002"/>
  </r>
  <r>
    <d v="2014-11-07T00:00:00"/>
    <x v="1"/>
    <n v="11"/>
    <x v="10"/>
    <x v="1"/>
    <x v="6"/>
    <x v="0"/>
    <x v="6"/>
    <s v="Eldon Expressions Desk Accessories"/>
    <n v="1067.3499999999999"/>
    <n v="4"/>
    <n v="354.93"/>
  </r>
  <r>
    <d v="2014-11-07T00:00:00"/>
    <x v="1"/>
    <n v="11"/>
    <x v="10"/>
    <x v="11"/>
    <x v="0"/>
    <x v="0"/>
    <x v="4"/>
    <s v="Fellowes PB200 Comb Binding Machine"/>
    <n v="687.15"/>
    <n v="1"/>
    <n v="190.95"/>
  </r>
  <r>
    <d v="2014-11-07T00:00:00"/>
    <x v="1"/>
    <n v="11"/>
    <x v="10"/>
    <x v="10"/>
    <x v="0"/>
    <x v="2"/>
    <x v="4"/>
    <s v="Cisco SPA 501G IP Phone"/>
    <n v="988.7"/>
    <n v="7"/>
    <n v="32.15"/>
  </r>
  <r>
    <d v="2014-11-08T00:00:00"/>
    <x v="1"/>
    <n v="11"/>
    <x v="10"/>
    <x v="11"/>
    <x v="4"/>
    <x v="0"/>
    <x v="1"/>
    <s v="Eldon Expressions Desk Accessories"/>
    <n v="881.18"/>
    <n v="4"/>
    <n v="-32.200000000000003"/>
  </r>
  <r>
    <d v="2014-11-13T00:00:00"/>
    <x v="1"/>
    <n v="11"/>
    <x v="10"/>
    <x v="6"/>
    <x v="7"/>
    <x v="1"/>
    <x v="5"/>
    <s v="Newell 322"/>
    <n v="646.11"/>
    <n v="2"/>
    <n v="210.44"/>
  </r>
  <r>
    <d v="2014-11-13T00:00:00"/>
    <x v="1"/>
    <n v="11"/>
    <x v="10"/>
    <x v="0"/>
    <x v="7"/>
    <x v="1"/>
    <x v="8"/>
    <s v="Bush Somerset Collection Bookcase"/>
    <n v="195.64"/>
    <n v="6"/>
    <n v="141.83000000000001"/>
  </r>
  <r>
    <d v="2014-11-13T00:00:00"/>
    <x v="1"/>
    <n v="11"/>
    <x v="10"/>
    <x v="9"/>
    <x v="5"/>
    <x v="2"/>
    <x v="5"/>
    <s v="Bretford CR4500 Series Table"/>
    <n v="1983.43"/>
    <n v="4"/>
    <n v="-176.53"/>
  </r>
  <r>
    <d v="2014-11-14T00:00:00"/>
    <x v="1"/>
    <n v="11"/>
    <x v="10"/>
    <x v="9"/>
    <x v="6"/>
    <x v="2"/>
    <x v="3"/>
    <s v="Belkin 6 Outlet Surge"/>
    <n v="1182.3499999999999"/>
    <n v="1"/>
    <n v="106.48"/>
  </r>
  <r>
    <d v="2014-11-15T00:00:00"/>
    <x v="1"/>
    <n v="11"/>
    <x v="10"/>
    <x v="9"/>
    <x v="8"/>
    <x v="1"/>
    <x v="5"/>
    <s v="Eldon Fold 'N Roll Cart System"/>
    <n v="1172.6099999999999"/>
    <n v="4"/>
    <n v="189.72"/>
  </r>
  <r>
    <d v="2014-11-15T00:00:00"/>
    <x v="1"/>
    <n v="11"/>
    <x v="10"/>
    <x v="3"/>
    <x v="5"/>
    <x v="0"/>
    <x v="5"/>
    <s v="Eldon Expressions Desk Accessories"/>
    <n v="1146"/>
    <n v="2"/>
    <n v="64.22"/>
  </r>
  <r>
    <d v="2014-11-16T00:00:00"/>
    <x v="1"/>
    <n v="11"/>
    <x v="10"/>
    <x v="4"/>
    <x v="2"/>
    <x v="2"/>
    <x v="0"/>
    <s v="Cisco SPA 501G IP Phone"/>
    <n v="352.67"/>
    <n v="9"/>
    <n v="139"/>
  </r>
  <r>
    <d v="2014-11-16T00:00:00"/>
    <x v="1"/>
    <n v="11"/>
    <x v="10"/>
    <x v="10"/>
    <x v="4"/>
    <x v="2"/>
    <x v="2"/>
    <s v="Belkin 6 Outlet Surge"/>
    <n v="1878.83"/>
    <n v="5"/>
    <n v="281.29000000000002"/>
  </r>
  <r>
    <d v="2014-11-16T00:00:00"/>
    <x v="1"/>
    <n v="11"/>
    <x v="10"/>
    <x v="0"/>
    <x v="0"/>
    <x v="2"/>
    <x v="7"/>
    <s v="Self-Adhesive Address Labels"/>
    <n v="1183.77"/>
    <n v="7"/>
    <n v="182.37"/>
  </r>
  <r>
    <d v="2014-11-17T00:00:00"/>
    <x v="1"/>
    <n v="11"/>
    <x v="10"/>
    <x v="10"/>
    <x v="4"/>
    <x v="2"/>
    <x v="5"/>
    <s v="Hon Deluxe Fabric Upholstered Stacking Chairs"/>
    <n v="1238.53"/>
    <n v="7"/>
    <n v="316.41000000000003"/>
  </r>
  <r>
    <d v="2014-11-18T00:00:00"/>
    <x v="1"/>
    <n v="11"/>
    <x v="10"/>
    <x v="5"/>
    <x v="0"/>
    <x v="2"/>
    <x v="6"/>
    <s v="Newell 322"/>
    <n v="575.37"/>
    <n v="4"/>
    <n v="219.82"/>
  </r>
  <r>
    <d v="2014-11-19T00:00:00"/>
    <x v="1"/>
    <n v="11"/>
    <x v="10"/>
    <x v="6"/>
    <x v="7"/>
    <x v="2"/>
    <x v="0"/>
    <s v="Newell 322"/>
    <n v="1505.84"/>
    <n v="3"/>
    <n v="54.36"/>
  </r>
  <r>
    <d v="2014-11-19T00:00:00"/>
    <x v="1"/>
    <n v="11"/>
    <x v="10"/>
    <x v="7"/>
    <x v="0"/>
    <x v="2"/>
    <x v="6"/>
    <s v="Cisco SPA 501G IP Phone"/>
    <n v="62.43"/>
    <n v="3"/>
    <n v="231.29"/>
  </r>
  <r>
    <d v="2014-11-20T00:00:00"/>
    <x v="1"/>
    <n v="11"/>
    <x v="10"/>
    <x v="0"/>
    <x v="9"/>
    <x v="0"/>
    <x v="1"/>
    <s v="Newell 322"/>
    <n v="889.89"/>
    <n v="1"/>
    <n v="-152.32"/>
  </r>
  <r>
    <d v="2014-11-20T00:00:00"/>
    <x v="1"/>
    <n v="11"/>
    <x v="10"/>
    <x v="2"/>
    <x v="3"/>
    <x v="0"/>
    <x v="0"/>
    <s v="Cisco SPA 501G IP Phone"/>
    <n v="946.3"/>
    <n v="7"/>
    <n v="191.12"/>
  </r>
  <r>
    <d v="2014-11-20T00:00:00"/>
    <x v="1"/>
    <n v="11"/>
    <x v="10"/>
    <x v="1"/>
    <x v="1"/>
    <x v="1"/>
    <x v="3"/>
    <s v="Hon Deluxe Fabric Upholstered Stacking Chairs"/>
    <n v="955.64"/>
    <n v="7"/>
    <n v="-42.72"/>
  </r>
  <r>
    <d v="2014-11-21T00:00:00"/>
    <x v="1"/>
    <n v="11"/>
    <x v="10"/>
    <x v="5"/>
    <x v="0"/>
    <x v="0"/>
    <x v="8"/>
    <s v="Bretford CR4500 Series Table"/>
    <n v="1453.53"/>
    <n v="5"/>
    <n v="313.77999999999997"/>
  </r>
  <r>
    <d v="2014-11-21T00:00:00"/>
    <x v="1"/>
    <n v="11"/>
    <x v="10"/>
    <x v="7"/>
    <x v="6"/>
    <x v="1"/>
    <x v="3"/>
    <s v="Cisco SPA 501G IP Phone"/>
    <n v="1750.27"/>
    <n v="4"/>
    <n v="-156.21"/>
  </r>
  <r>
    <d v="2014-11-21T00:00:00"/>
    <x v="1"/>
    <n v="11"/>
    <x v="10"/>
    <x v="5"/>
    <x v="2"/>
    <x v="0"/>
    <x v="2"/>
    <s v="Hon Deluxe Fabric Upholstered Stacking Chairs"/>
    <n v="1874.01"/>
    <n v="2"/>
    <n v="165.92"/>
  </r>
  <r>
    <d v="2014-11-22T00:00:00"/>
    <x v="1"/>
    <n v="11"/>
    <x v="10"/>
    <x v="8"/>
    <x v="7"/>
    <x v="2"/>
    <x v="5"/>
    <s v="Eldon Expressions Desk Accessories"/>
    <n v="372.85"/>
    <n v="7"/>
    <n v="-140.59"/>
  </r>
  <r>
    <d v="2014-11-23T00:00:00"/>
    <x v="1"/>
    <n v="11"/>
    <x v="10"/>
    <x v="3"/>
    <x v="6"/>
    <x v="1"/>
    <x v="2"/>
    <s v="Newell 322"/>
    <n v="670.83"/>
    <n v="1"/>
    <n v="-115.46"/>
  </r>
  <r>
    <d v="2014-11-24T00:00:00"/>
    <x v="1"/>
    <n v="11"/>
    <x v="10"/>
    <x v="6"/>
    <x v="6"/>
    <x v="2"/>
    <x v="1"/>
    <s v="Fellowes PB200 Comb Binding Machine"/>
    <n v="1787.54"/>
    <n v="5"/>
    <n v="-51.46"/>
  </r>
  <r>
    <d v="2014-11-28T00:00:00"/>
    <x v="1"/>
    <n v="11"/>
    <x v="10"/>
    <x v="11"/>
    <x v="2"/>
    <x v="2"/>
    <x v="2"/>
    <s v="Eldon Fold 'N Roll Cart System"/>
    <n v="585.46"/>
    <n v="7"/>
    <n v="85.35"/>
  </r>
  <r>
    <d v="2014-11-28T00:00:00"/>
    <x v="1"/>
    <n v="11"/>
    <x v="10"/>
    <x v="1"/>
    <x v="9"/>
    <x v="1"/>
    <x v="2"/>
    <s v="Self-Adhesive Address Labels"/>
    <n v="1184.7"/>
    <n v="9"/>
    <n v="244.28"/>
  </r>
  <r>
    <d v="2014-11-29T00:00:00"/>
    <x v="1"/>
    <n v="11"/>
    <x v="10"/>
    <x v="3"/>
    <x v="2"/>
    <x v="2"/>
    <x v="5"/>
    <s v="Fellowes PB200 Comb Binding Machine"/>
    <n v="997.39"/>
    <n v="8"/>
    <n v="207.7"/>
  </r>
  <r>
    <d v="2014-11-30T00:00:00"/>
    <x v="1"/>
    <n v="11"/>
    <x v="10"/>
    <x v="2"/>
    <x v="3"/>
    <x v="0"/>
    <x v="4"/>
    <s v="Eldon Expressions Desk Accessories"/>
    <n v="930.1"/>
    <n v="5"/>
    <n v="-172.58"/>
  </r>
  <r>
    <d v="2014-11-30T00:00:00"/>
    <x v="1"/>
    <n v="11"/>
    <x v="10"/>
    <x v="12"/>
    <x v="7"/>
    <x v="1"/>
    <x v="0"/>
    <s v="Eldon Expressions Desk Accessories"/>
    <n v="981.79"/>
    <n v="3"/>
    <n v="-20.53"/>
  </r>
  <r>
    <d v="2014-11-30T00:00:00"/>
    <x v="1"/>
    <n v="11"/>
    <x v="10"/>
    <x v="6"/>
    <x v="9"/>
    <x v="2"/>
    <x v="4"/>
    <s v="Self-Adhesive Address Labels"/>
    <n v="1581.45"/>
    <n v="4"/>
    <n v="-48.17"/>
  </r>
  <r>
    <d v="2014-12-01T00:00:00"/>
    <x v="1"/>
    <n v="12"/>
    <x v="11"/>
    <x v="7"/>
    <x v="1"/>
    <x v="0"/>
    <x v="1"/>
    <s v="Cisco SPA 501G IP Phone"/>
    <n v="1732.8"/>
    <n v="9"/>
    <n v="104.07"/>
  </r>
  <r>
    <d v="2014-12-01T00:00:00"/>
    <x v="1"/>
    <n v="12"/>
    <x v="11"/>
    <x v="12"/>
    <x v="7"/>
    <x v="1"/>
    <x v="7"/>
    <s v="Hon Deluxe Fabric Upholstered Stacking Chairs"/>
    <n v="1318.31"/>
    <n v="4"/>
    <n v="-156.87"/>
  </r>
  <r>
    <d v="2014-12-01T00:00:00"/>
    <x v="1"/>
    <n v="12"/>
    <x v="11"/>
    <x v="6"/>
    <x v="8"/>
    <x v="0"/>
    <x v="1"/>
    <s v="Eldon Expressions Desk Accessories"/>
    <n v="1242"/>
    <n v="6"/>
    <n v="-40.79"/>
  </r>
  <r>
    <d v="2014-12-03T00:00:00"/>
    <x v="1"/>
    <n v="12"/>
    <x v="11"/>
    <x v="9"/>
    <x v="8"/>
    <x v="2"/>
    <x v="0"/>
    <s v="Cisco SPA 501G IP Phone"/>
    <n v="1579.28"/>
    <n v="5"/>
    <n v="-65.34"/>
  </r>
  <r>
    <d v="2014-12-04T00:00:00"/>
    <x v="1"/>
    <n v="12"/>
    <x v="11"/>
    <x v="5"/>
    <x v="7"/>
    <x v="2"/>
    <x v="5"/>
    <s v="Hon Deluxe Fabric Upholstered Stacking Chairs"/>
    <n v="1116.9100000000001"/>
    <n v="5"/>
    <n v="37.729999999999997"/>
  </r>
  <r>
    <d v="2014-12-05T00:00:00"/>
    <x v="1"/>
    <n v="12"/>
    <x v="11"/>
    <x v="6"/>
    <x v="3"/>
    <x v="0"/>
    <x v="6"/>
    <s v="Hon Deluxe Fabric Upholstered Stacking Chairs"/>
    <n v="346.42"/>
    <n v="1"/>
    <n v="138.16999999999999"/>
  </r>
  <r>
    <d v="2014-12-06T00:00:00"/>
    <x v="1"/>
    <n v="12"/>
    <x v="11"/>
    <x v="3"/>
    <x v="3"/>
    <x v="2"/>
    <x v="5"/>
    <s v="Cisco SPA 501G IP Phone"/>
    <n v="515.5"/>
    <n v="9"/>
    <n v="-44.37"/>
  </r>
  <r>
    <d v="2014-12-08T00:00:00"/>
    <x v="1"/>
    <n v="12"/>
    <x v="11"/>
    <x v="11"/>
    <x v="0"/>
    <x v="1"/>
    <x v="3"/>
    <s v="Bretford CR4500 Series Table"/>
    <n v="724.55"/>
    <n v="5"/>
    <n v="304.55"/>
  </r>
  <r>
    <d v="2014-12-10T00:00:00"/>
    <x v="1"/>
    <n v="12"/>
    <x v="11"/>
    <x v="0"/>
    <x v="8"/>
    <x v="0"/>
    <x v="2"/>
    <s v="Eldon Expressions Desk Accessories"/>
    <n v="757.24"/>
    <n v="7"/>
    <n v="274.62"/>
  </r>
  <r>
    <d v="2014-12-10T00:00:00"/>
    <x v="1"/>
    <n v="12"/>
    <x v="11"/>
    <x v="2"/>
    <x v="4"/>
    <x v="1"/>
    <x v="4"/>
    <s v="Cisco SPA 501G IP Phone"/>
    <n v="1393.75"/>
    <n v="8"/>
    <n v="362.82"/>
  </r>
  <r>
    <d v="2014-12-10T00:00:00"/>
    <x v="1"/>
    <n v="12"/>
    <x v="11"/>
    <x v="10"/>
    <x v="3"/>
    <x v="2"/>
    <x v="3"/>
    <s v="Eldon Expressions Desk Accessories"/>
    <n v="640.03"/>
    <n v="7"/>
    <n v="-187.81"/>
  </r>
  <r>
    <d v="2014-12-11T00:00:00"/>
    <x v="1"/>
    <n v="12"/>
    <x v="11"/>
    <x v="2"/>
    <x v="4"/>
    <x v="0"/>
    <x v="2"/>
    <s v="Bretford CR4500 Series Table"/>
    <n v="1556.12"/>
    <n v="4"/>
    <n v="317.98"/>
  </r>
  <r>
    <d v="2014-12-11T00:00:00"/>
    <x v="1"/>
    <n v="12"/>
    <x v="11"/>
    <x v="9"/>
    <x v="7"/>
    <x v="0"/>
    <x v="5"/>
    <s v="Bush Somerset Collection Bookcase"/>
    <n v="259.97000000000003"/>
    <n v="6"/>
    <n v="-162.88"/>
  </r>
  <r>
    <d v="2014-12-11T00:00:00"/>
    <x v="1"/>
    <n v="12"/>
    <x v="11"/>
    <x v="5"/>
    <x v="5"/>
    <x v="0"/>
    <x v="2"/>
    <s v="Cisco SPA 501G IP Phone"/>
    <n v="1430.69"/>
    <n v="2"/>
    <n v="-110.47"/>
  </r>
  <r>
    <d v="2014-12-11T00:00:00"/>
    <x v="1"/>
    <n v="12"/>
    <x v="11"/>
    <x v="1"/>
    <x v="6"/>
    <x v="1"/>
    <x v="4"/>
    <s v="Bush Somerset Collection Bookcase"/>
    <n v="423.42"/>
    <n v="6"/>
    <n v="265.14"/>
  </r>
  <r>
    <d v="2014-12-12T00:00:00"/>
    <x v="1"/>
    <n v="12"/>
    <x v="11"/>
    <x v="9"/>
    <x v="5"/>
    <x v="0"/>
    <x v="0"/>
    <s v="Belkin 6 Outlet Surge"/>
    <n v="1258.96"/>
    <n v="8"/>
    <n v="334.33"/>
  </r>
  <r>
    <d v="2014-12-13T00:00:00"/>
    <x v="1"/>
    <n v="12"/>
    <x v="11"/>
    <x v="8"/>
    <x v="4"/>
    <x v="0"/>
    <x v="5"/>
    <s v="Belkin 6 Outlet Surge"/>
    <n v="1957.2"/>
    <n v="8"/>
    <n v="388.23"/>
  </r>
  <r>
    <d v="2014-12-14T00:00:00"/>
    <x v="1"/>
    <n v="12"/>
    <x v="11"/>
    <x v="3"/>
    <x v="4"/>
    <x v="1"/>
    <x v="1"/>
    <s v="Bretford CR4500 Series Table"/>
    <n v="1287.1300000000001"/>
    <n v="6"/>
    <n v="-146.16999999999999"/>
  </r>
  <r>
    <d v="2014-12-15T00:00:00"/>
    <x v="1"/>
    <n v="12"/>
    <x v="11"/>
    <x v="0"/>
    <x v="6"/>
    <x v="1"/>
    <x v="5"/>
    <s v="Eldon Expressions Desk Accessories"/>
    <n v="733.02"/>
    <n v="6"/>
    <n v="394.65"/>
  </r>
  <r>
    <d v="2014-12-15T00:00:00"/>
    <x v="1"/>
    <n v="12"/>
    <x v="11"/>
    <x v="6"/>
    <x v="2"/>
    <x v="0"/>
    <x v="1"/>
    <s v="Eldon Fold 'N Roll Cart System"/>
    <n v="53.04"/>
    <n v="2"/>
    <n v="165.83"/>
  </r>
  <r>
    <d v="2014-12-15T00:00:00"/>
    <x v="1"/>
    <n v="12"/>
    <x v="11"/>
    <x v="12"/>
    <x v="8"/>
    <x v="1"/>
    <x v="5"/>
    <s v="Eldon Fold 'N Roll Cart System"/>
    <n v="1585.36"/>
    <n v="9"/>
    <n v="-104.21"/>
  </r>
  <r>
    <d v="2014-12-15T00:00:00"/>
    <x v="1"/>
    <n v="12"/>
    <x v="11"/>
    <x v="0"/>
    <x v="4"/>
    <x v="1"/>
    <x v="7"/>
    <s v="Belkin 6 Outlet Surge"/>
    <n v="454.75"/>
    <n v="5"/>
    <n v="65.239999999999995"/>
  </r>
  <r>
    <d v="2014-12-16T00:00:00"/>
    <x v="1"/>
    <n v="12"/>
    <x v="11"/>
    <x v="10"/>
    <x v="6"/>
    <x v="0"/>
    <x v="0"/>
    <s v="Self-Adhesive Address Labels"/>
    <n v="70.540000000000006"/>
    <n v="5"/>
    <n v="340.02"/>
  </r>
  <r>
    <d v="2014-12-18T00:00:00"/>
    <x v="1"/>
    <n v="12"/>
    <x v="11"/>
    <x v="2"/>
    <x v="2"/>
    <x v="0"/>
    <x v="1"/>
    <s v="Hon Deluxe Fabric Upholstered Stacking Chairs"/>
    <n v="409.23"/>
    <n v="7"/>
    <n v="272.62"/>
  </r>
  <r>
    <d v="2014-12-19T00:00:00"/>
    <x v="1"/>
    <n v="12"/>
    <x v="11"/>
    <x v="0"/>
    <x v="0"/>
    <x v="2"/>
    <x v="1"/>
    <s v="Bretford CR4500 Series Table"/>
    <n v="1021.73"/>
    <n v="8"/>
    <n v="300.04000000000002"/>
  </r>
  <r>
    <d v="2014-12-20T00:00:00"/>
    <x v="1"/>
    <n v="12"/>
    <x v="11"/>
    <x v="10"/>
    <x v="5"/>
    <x v="2"/>
    <x v="7"/>
    <s v="Newell 322"/>
    <n v="1039.6300000000001"/>
    <n v="9"/>
    <n v="338.1"/>
  </r>
  <r>
    <d v="2014-12-21T00:00:00"/>
    <x v="1"/>
    <n v="12"/>
    <x v="11"/>
    <x v="3"/>
    <x v="9"/>
    <x v="2"/>
    <x v="0"/>
    <s v="Bretford CR4500 Series Table"/>
    <n v="1792.67"/>
    <n v="4"/>
    <n v="-131.19"/>
  </r>
  <r>
    <d v="2014-12-22T00:00:00"/>
    <x v="1"/>
    <n v="12"/>
    <x v="11"/>
    <x v="7"/>
    <x v="2"/>
    <x v="2"/>
    <x v="7"/>
    <s v="Self-Adhesive Address Labels"/>
    <n v="407.46"/>
    <n v="1"/>
    <n v="145.02000000000001"/>
  </r>
  <r>
    <d v="2014-12-23T00:00:00"/>
    <x v="1"/>
    <n v="12"/>
    <x v="11"/>
    <x v="5"/>
    <x v="8"/>
    <x v="0"/>
    <x v="1"/>
    <s v="Cisco SPA 501G IP Phone"/>
    <n v="218.06"/>
    <n v="3"/>
    <n v="58.72"/>
  </r>
  <r>
    <d v="2014-12-24T00:00:00"/>
    <x v="1"/>
    <n v="12"/>
    <x v="11"/>
    <x v="8"/>
    <x v="3"/>
    <x v="1"/>
    <x v="6"/>
    <s v="Cisco SPA 501G IP Phone"/>
    <n v="410.91"/>
    <n v="9"/>
    <n v="16.579999999999998"/>
  </r>
  <r>
    <d v="2014-12-25T00:00:00"/>
    <x v="1"/>
    <n v="12"/>
    <x v="11"/>
    <x v="4"/>
    <x v="3"/>
    <x v="2"/>
    <x v="0"/>
    <s v="Eldon Fold 'N Roll Cart System"/>
    <n v="1741.11"/>
    <n v="2"/>
    <n v="-19.239999999999998"/>
  </r>
  <r>
    <d v="2014-12-26T00:00:00"/>
    <x v="1"/>
    <n v="12"/>
    <x v="11"/>
    <x v="11"/>
    <x v="7"/>
    <x v="0"/>
    <x v="7"/>
    <s v="Hon Deluxe Fabric Upholstered Stacking Chairs"/>
    <n v="714.27"/>
    <n v="8"/>
    <n v="208.03"/>
  </r>
  <r>
    <d v="2014-12-27T00:00:00"/>
    <x v="1"/>
    <n v="12"/>
    <x v="11"/>
    <x v="10"/>
    <x v="7"/>
    <x v="1"/>
    <x v="0"/>
    <s v="Self-Adhesive Address Labels"/>
    <n v="1841.19"/>
    <n v="4"/>
    <n v="80.650000000000006"/>
  </r>
  <r>
    <d v="2014-12-27T00:00:00"/>
    <x v="1"/>
    <n v="12"/>
    <x v="11"/>
    <x v="8"/>
    <x v="8"/>
    <x v="0"/>
    <x v="4"/>
    <s v="Newell 322"/>
    <n v="1150.57"/>
    <n v="7"/>
    <n v="171.48"/>
  </r>
  <r>
    <d v="2014-12-28T00:00:00"/>
    <x v="1"/>
    <n v="12"/>
    <x v="11"/>
    <x v="7"/>
    <x v="0"/>
    <x v="1"/>
    <x v="3"/>
    <s v="Bretford CR4500 Series Table"/>
    <n v="821.69"/>
    <n v="1"/>
    <n v="-76.05"/>
  </r>
  <r>
    <d v="2014-12-28T00:00:00"/>
    <x v="1"/>
    <n v="12"/>
    <x v="11"/>
    <x v="1"/>
    <x v="5"/>
    <x v="1"/>
    <x v="4"/>
    <s v="Self-Adhesive Address Labels"/>
    <n v="1688.42"/>
    <n v="8"/>
    <n v="139.34"/>
  </r>
  <r>
    <d v="2014-12-28T00:00:00"/>
    <x v="1"/>
    <n v="12"/>
    <x v="11"/>
    <x v="8"/>
    <x v="2"/>
    <x v="2"/>
    <x v="2"/>
    <s v="Eldon Fold 'N Roll Cart System"/>
    <n v="1594.64"/>
    <n v="3"/>
    <n v="300.97000000000003"/>
  </r>
  <r>
    <d v="2014-12-28T00:00:00"/>
    <x v="1"/>
    <n v="12"/>
    <x v="11"/>
    <x v="2"/>
    <x v="2"/>
    <x v="2"/>
    <x v="2"/>
    <s v="Fellowes PB200 Comb Binding Machine"/>
    <n v="1789.66"/>
    <n v="3"/>
    <n v="-75.510000000000005"/>
  </r>
  <r>
    <d v="2014-12-30T00:00:00"/>
    <x v="1"/>
    <n v="12"/>
    <x v="11"/>
    <x v="12"/>
    <x v="6"/>
    <x v="2"/>
    <x v="4"/>
    <s v="Newell 322"/>
    <n v="844.31"/>
    <n v="9"/>
    <n v="17.079999999999998"/>
  </r>
  <r>
    <d v="2014-12-30T00:00:00"/>
    <x v="1"/>
    <n v="12"/>
    <x v="11"/>
    <x v="0"/>
    <x v="1"/>
    <x v="0"/>
    <x v="5"/>
    <s v="Newell 322"/>
    <n v="26.14"/>
    <n v="9"/>
    <n v="-41.58"/>
  </r>
  <r>
    <d v="2014-12-31T00:00:00"/>
    <x v="1"/>
    <n v="12"/>
    <x v="11"/>
    <x v="9"/>
    <x v="2"/>
    <x v="1"/>
    <x v="4"/>
    <s v="Self-Adhesive Address Labels"/>
    <n v="1895.99"/>
    <n v="8"/>
    <n v="122.25"/>
  </r>
  <r>
    <d v="2014-12-31T00:00:00"/>
    <x v="1"/>
    <n v="12"/>
    <x v="11"/>
    <x v="11"/>
    <x v="7"/>
    <x v="0"/>
    <x v="6"/>
    <s v="Cisco SPA 501G IP Phone"/>
    <n v="652.14"/>
    <n v="2"/>
    <n v="115.04"/>
  </r>
  <r>
    <d v="2015-01-01T00:00:00"/>
    <x v="2"/>
    <n v="1"/>
    <x v="0"/>
    <x v="6"/>
    <x v="9"/>
    <x v="1"/>
    <x v="7"/>
    <s v="Eldon Fold 'N Roll Cart System"/>
    <n v="738.84"/>
    <n v="3"/>
    <n v="253.61"/>
  </r>
  <r>
    <d v="2015-01-02T00:00:00"/>
    <x v="2"/>
    <n v="1"/>
    <x v="0"/>
    <x v="8"/>
    <x v="4"/>
    <x v="2"/>
    <x v="8"/>
    <s v="Self-Adhesive Address Labels"/>
    <n v="132.4"/>
    <n v="4"/>
    <n v="336.12"/>
  </r>
  <r>
    <d v="2015-01-02T00:00:00"/>
    <x v="2"/>
    <n v="1"/>
    <x v="0"/>
    <x v="3"/>
    <x v="2"/>
    <x v="2"/>
    <x v="4"/>
    <s v="Eldon Fold 'N Roll Cart System"/>
    <n v="1888.14"/>
    <n v="5"/>
    <n v="-22.83"/>
  </r>
  <r>
    <d v="2015-01-03T00:00:00"/>
    <x v="2"/>
    <n v="1"/>
    <x v="0"/>
    <x v="1"/>
    <x v="0"/>
    <x v="0"/>
    <x v="6"/>
    <s v="Fellowes PB200 Comb Binding Machine"/>
    <n v="482.66"/>
    <n v="2"/>
    <n v="-60.98"/>
  </r>
  <r>
    <d v="2015-01-05T00:00:00"/>
    <x v="2"/>
    <n v="1"/>
    <x v="0"/>
    <x v="8"/>
    <x v="7"/>
    <x v="1"/>
    <x v="8"/>
    <s v="Bush Somerset Collection Bookcase"/>
    <n v="323.18"/>
    <n v="2"/>
    <n v="235.51"/>
  </r>
  <r>
    <d v="2015-01-05T00:00:00"/>
    <x v="2"/>
    <n v="1"/>
    <x v="0"/>
    <x v="8"/>
    <x v="8"/>
    <x v="0"/>
    <x v="6"/>
    <s v="Cisco SPA 501G IP Phone"/>
    <n v="186.38"/>
    <n v="3"/>
    <n v="156.36000000000001"/>
  </r>
  <r>
    <d v="2015-01-06T00:00:00"/>
    <x v="2"/>
    <n v="1"/>
    <x v="0"/>
    <x v="7"/>
    <x v="2"/>
    <x v="2"/>
    <x v="5"/>
    <s v="Bush Somerset Collection Bookcase"/>
    <n v="1294.0999999999999"/>
    <n v="7"/>
    <n v="-124.33"/>
  </r>
  <r>
    <d v="2015-01-06T00:00:00"/>
    <x v="2"/>
    <n v="1"/>
    <x v="0"/>
    <x v="11"/>
    <x v="4"/>
    <x v="1"/>
    <x v="7"/>
    <s v="Belkin 6 Outlet Surge"/>
    <n v="66.98"/>
    <n v="8"/>
    <n v="234.5"/>
  </r>
  <r>
    <d v="2015-01-08T00:00:00"/>
    <x v="2"/>
    <n v="1"/>
    <x v="0"/>
    <x v="3"/>
    <x v="4"/>
    <x v="1"/>
    <x v="5"/>
    <s v="Eldon Expressions Desk Accessories"/>
    <n v="1934.75"/>
    <n v="8"/>
    <n v="96.33"/>
  </r>
  <r>
    <d v="2015-01-08T00:00:00"/>
    <x v="2"/>
    <n v="1"/>
    <x v="0"/>
    <x v="0"/>
    <x v="1"/>
    <x v="2"/>
    <x v="5"/>
    <s v="Bush Somerset Collection Bookcase"/>
    <n v="1751.32"/>
    <n v="5"/>
    <n v="34.979999999999997"/>
  </r>
  <r>
    <d v="2015-01-09T00:00:00"/>
    <x v="2"/>
    <n v="1"/>
    <x v="0"/>
    <x v="7"/>
    <x v="0"/>
    <x v="2"/>
    <x v="5"/>
    <s v="Belkin 6 Outlet Surge"/>
    <n v="391.63"/>
    <n v="3"/>
    <n v="-42.07"/>
  </r>
  <r>
    <d v="2015-01-09T00:00:00"/>
    <x v="2"/>
    <n v="1"/>
    <x v="0"/>
    <x v="5"/>
    <x v="1"/>
    <x v="2"/>
    <x v="0"/>
    <s v="Fellowes PB200 Comb Binding Machine"/>
    <n v="712.48"/>
    <n v="2"/>
    <n v="53.97"/>
  </r>
  <r>
    <d v="2015-01-09T00:00:00"/>
    <x v="2"/>
    <n v="1"/>
    <x v="0"/>
    <x v="3"/>
    <x v="4"/>
    <x v="2"/>
    <x v="4"/>
    <s v="Hon Deluxe Fabric Upholstered Stacking Chairs"/>
    <n v="326.97000000000003"/>
    <n v="1"/>
    <n v="138.27000000000001"/>
  </r>
  <r>
    <d v="2015-01-10T00:00:00"/>
    <x v="2"/>
    <n v="1"/>
    <x v="0"/>
    <x v="9"/>
    <x v="2"/>
    <x v="0"/>
    <x v="2"/>
    <s v="Eldon Expressions Desk Accessories"/>
    <n v="681.1"/>
    <n v="7"/>
    <n v="352.75"/>
  </r>
  <r>
    <d v="2015-01-11T00:00:00"/>
    <x v="2"/>
    <n v="1"/>
    <x v="0"/>
    <x v="5"/>
    <x v="0"/>
    <x v="2"/>
    <x v="3"/>
    <s v="Belkin 6 Outlet Surge"/>
    <n v="1471.63"/>
    <n v="5"/>
    <n v="-179.67"/>
  </r>
  <r>
    <d v="2015-01-13T00:00:00"/>
    <x v="2"/>
    <n v="1"/>
    <x v="0"/>
    <x v="0"/>
    <x v="3"/>
    <x v="2"/>
    <x v="0"/>
    <s v="Belkin 6 Outlet Surge"/>
    <n v="1723.41"/>
    <n v="1"/>
    <n v="-142.05000000000001"/>
  </r>
  <r>
    <d v="2015-01-14T00:00:00"/>
    <x v="2"/>
    <n v="1"/>
    <x v="0"/>
    <x v="12"/>
    <x v="2"/>
    <x v="0"/>
    <x v="2"/>
    <s v="Fellowes PB200 Comb Binding Machine"/>
    <n v="399.38"/>
    <n v="4"/>
    <n v="366.93"/>
  </r>
  <r>
    <d v="2015-01-16T00:00:00"/>
    <x v="2"/>
    <n v="1"/>
    <x v="0"/>
    <x v="1"/>
    <x v="6"/>
    <x v="1"/>
    <x v="5"/>
    <s v="Cisco SPA 501G IP Phone"/>
    <n v="973.24"/>
    <n v="2"/>
    <n v="79.17"/>
  </r>
  <r>
    <d v="2015-01-18T00:00:00"/>
    <x v="2"/>
    <n v="1"/>
    <x v="0"/>
    <x v="1"/>
    <x v="1"/>
    <x v="0"/>
    <x v="2"/>
    <s v="Belkin 6 Outlet Surge"/>
    <n v="1055.6099999999999"/>
    <n v="2"/>
    <n v="72.95"/>
  </r>
  <r>
    <d v="2015-01-18T00:00:00"/>
    <x v="2"/>
    <n v="1"/>
    <x v="0"/>
    <x v="10"/>
    <x v="5"/>
    <x v="1"/>
    <x v="5"/>
    <s v="Cisco SPA 501G IP Phone"/>
    <n v="120.91"/>
    <n v="4"/>
    <n v="120.09"/>
  </r>
  <r>
    <d v="2015-01-18T00:00:00"/>
    <x v="2"/>
    <n v="1"/>
    <x v="0"/>
    <x v="0"/>
    <x v="6"/>
    <x v="1"/>
    <x v="6"/>
    <s v="Self-Adhesive Address Labels"/>
    <n v="1857.76"/>
    <n v="5"/>
    <n v="197.83"/>
  </r>
  <r>
    <d v="2015-01-19T00:00:00"/>
    <x v="2"/>
    <n v="1"/>
    <x v="0"/>
    <x v="10"/>
    <x v="9"/>
    <x v="2"/>
    <x v="8"/>
    <s v="Newell 322"/>
    <n v="276.61"/>
    <n v="2"/>
    <n v="-142.61000000000001"/>
  </r>
  <r>
    <d v="2015-01-20T00:00:00"/>
    <x v="2"/>
    <n v="1"/>
    <x v="0"/>
    <x v="9"/>
    <x v="8"/>
    <x v="0"/>
    <x v="4"/>
    <s v="Bush Somerset Collection Bookcase"/>
    <n v="1528.94"/>
    <n v="4"/>
    <n v="113.77"/>
  </r>
  <r>
    <d v="2015-01-20T00:00:00"/>
    <x v="2"/>
    <n v="1"/>
    <x v="0"/>
    <x v="4"/>
    <x v="1"/>
    <x v="2"/>
    <x v="2"/>
    <s v="Cisco SPA 501G IP Phone"/>
    <n v="511.19"/>
    <n v="7"/>
    <n v="193.34"/>
  </r>
  <r>
    <d v="2015-01-21T00:00:00"/>
    <x v="2"/>
    <n v="1"/>
    <x v="0"/>
    <x v="10"/>
    <x v="6"/>
    <x v="0"/>
    <x v="4"/>
    <s v="Eldon Fold 'N Roll Cart System"/>
    <n v="98.69"/>
    <n v="4"/>
    <n v="190.06"/>
  </r>
  <r>
    <d v="2015-01-21T00:00:00"/>
    <x v="2"/>
    <n v="1"/>
    <x v="0"/>
    <x v="5"/>
    <x v="8"/>
    <x v="1"/>
    <x v="6"/>
    <s v="Eldon Expressions Desk Accessories"/>
    <n v="173.64"/>
    <n v="2"/>
    <n v="397.34"/>
  </r>
  <r>
    <d v="2015-01-22T00:00:00"/>
    <x v="2"/>
    <n v="1"/>
    <x v="0"/>
    <x v="9"/>
    <x v="2"/>
    <x v="0"/>
    <x v="8"/>
    <s v="Self-Adhesive Address Labels"/>
    <n v="864.91"/>
    <n v="6"/>
    <n v="240.49"/>
  </r>
  <r>
    <d v="2015-01-22T00:00:00"/>
    <x v="2"/>
    <n v="1"/>
    <x v="0"/>
    <x v="6"/>
    <x v="3"/>
    <x v="1"/>
    <x v="8"/>
    <s v="Bush Somerset Collection Bookcase"/>
    <n v="1610.36"/>
    <n v="1"/>
    <n v="-81.38"/>
  </r>
  <r>
    <d v="2015-01-23T00:00:00"/>
    <x v="2"/>
    <n v="1"/>
    <x v="0"/>
    <x v="6"/>
    <x v="0"/>
    <x v="2"/>
    <x v="2"/>
    <s v="Hon Deluxe Fabric Upholstered Stacking Chairs"/>
    <n v="742.94"/>
    <n v="7"/>
    <n v="-129.88"/>
  </r>
  <r>
    <d v="2015-01-24T00:00:00"/>
    <x v="2"/>
    <n v="1"/>
    <x v="0"/>
    <x v="0"/>
    <x v="2"/>
    <x v="2"/>
    <x v="8"/>
    <s v="Hon Deluxe Fabric Upholstered Stacking Chairs"/>
    <n v="1351.26"/>
    <n v="4"/>
    <n v="259.73"/>
  </r>
  <r>
    <d v="2015-01-24T00:00:00"/>
    <x v="2"/>
    <n v="1"/>
    <x v="0"/>
    <x v="0"/>
    <x v="1"/>
    <x v="2"/>
    <x v="2"/>
    <s v="Self-Adhesive Address Labels"/>
    <n v="995.68"/>
    <n v="9"/>
    <n v="-122.75"/>
  </r>
  <r>
    <d v="2015-01-25T00:00:00"/>
    <x v="2"/>
    <n v="1"/>
    <x v="0"/>
    <x v="4"/>
    <x v="3"/>
    <x v="0"/>
    <x v="1"/>
    <s v="Belkin 6 Outlet Surge"/>
    <n v="1012.12"/>
    <n v="8"/>
    <n v="290.08999999999997"/>
  </r>
  <r>
    <d v="2015-01-28T00:00:00"/>
    <x v="2"/>
    <n v="1"/>
    <x v="0"/>
    <x v="8"/>
    <x v="4"/>
    <x v="0"/>
    <x v="3"/>
    <s v="Bush Somerset Collection Bookcase"/>
    <n v="1589.5"/>
    <n v="9"/>
    <n v="266.64999999999998"/>
  </r>
  <r>
    <d v="2015-01-29T00:00:00"/>
    <x v="2"/>
    <n v="1"/>
    <x v="0"/>
    <x v="3"/>
    <x v="9"/>
    <x v="1"/>
    <x v="1"/>
    <s v="Newell 322"/>
    <n v="1322.39"/>
    <n v="3"/>
    <n v="187.36"/>
  </r>
  <r>
    <d v="2015-01-29T00:00:00"/>
    <x v="2"/>
    <n v="1"/>
    <x v="0"/>
    <x v="8"/>
    <x v="6"/>
    <x v="0"/>
    <x v="6"/>
    <s v="Newell 322"/>
    <n v="907.3"/>
    <n v="9"/>
    <n v="116.27"/>
  </r>
  <r>
    <d v="2015-01-29T00:00:00"/>
    <x v="2"/>
    <n v="1"/>
    <x v="0"/>
    <x v="3"/>
    <x v="9"/>
    <x v="1"/>
    <x v="0"/>
    <s v="Cisco SPA 501G IP Phone"/>
    <n v="119.26"/>
    <n v="9"/>
    <n v="2.5299999999999998"/>
  </r>
  <r>
    <d v="2015-01-29T00:00:00"/>
    <x v="2"/>
    <n v="1"/>
    <x v="0"/>
    <x v="10"/>
    <x v="1"/>
    <x v="2"/>
    <x v="1"/>
    <s v="Cisco SPA 501G IP Phone"/>
    <n v="1934.3"/>
    <n v="1"/>
    <n v="234.77"/>
  </r>
  <r>
    <d v="2015-01-29T00:00:00"/>
    <x v="2"/>
    <n v="1"/>
    <x v="0"/>
    <x v="9"/>
    <x v="1"/>
    <x v="0"/>
    <x v="8"/>
    <s v="Hon Deluxe Fabric Upholstered Stacking Chairs"/>
    <n v="1502.47"/>
    <n v="7"/>
    <n v="360.71"/>
  </r>
  <r>
    <d v="2015-01-31T00:00:00"/>
    <x v="2"/>
    <n v="1"/>
    <x v="0"/>
    <x v="3"/>
    <x v="6"/>
    <x v="1"/>
    <x v="6"/>
    <s v="Eldon Expressions Desk Accessories"/>
    <n v="1015.28"/>
    <n v="2"/>
    <n v="36.549999999999997"/>
  </r>
  <r>
    <d v="2015-01-31T00:00:00"/>
    <x v="2"/>
    <n v="1"/>
    <x v="0"/>
    <x v="10"/>
    <x v="5"/>
    <x v="0"/>
    <x v="3"/>
    <s v="Self-Adhesive Address Labels"/>
    <n v="944.61"/>
    <n v="1"/>
    <n v="-179.71"/>
  </r>
  <r>
    <d v="2015-01-31T00:00:00"/>
    <x v="2"/>
    <n v="1"/>
    <x v="0"/>
    <x v="6"/>
    <x v="9"/>
    <x v="2"/>
    <x v="7"/>
    <s v="Belkin 6 Outlet Surge"/>
    <n v="1401.06"/>
    <n v="6"/>
    <n v="216.39"/>
  </r>
  <r>
    <d v="2015-02-01T00:00:00"/>
    <x v="2"/>
    <n v="2"/>
    <x v="1"/>
    <x v="8"/>
    <x v="3"/>
    <x v="0"/>
    <x v="0"/>
    <s v="Fellowes PB200 Comb Binding Machine"/>
    <n v="537.6"/>
    <n v="9"/>
    <n v="224.48"/>
  </r>
  <r>
    <d v="2015-02-02T00:00:00"/>
    <x v="2"/>
    <n v="2"/>
    <x v="1"/>
    <x v="12"/>
    <x v="3"/>
    <x v="0"/>
    <x v="7"/>
    <s v="Fellowes PB200 Comb Binding Machine"/>
    <n v="802.32"/>
    <n v="7"/>
    <n v="94.99"/>
  </r>
  <r>
    <d v="2015-02-02T00:00:00"/>
    <x v="2"/>
    <n v="2"/>
    <x v="1"/>
    <x v="10"/>
    <x v="9"/>
    <x v="0"/>
    <x v="4"/>
    <s v="Bretford CR4500 Series Table"/>
    <n v="1669.49"/>
    <n v="2"/>
    <n v="6.05"/>
  </r>
  <r>
    <d v="2015-02-03T00:00:00"/>
    <x v="2"/>
    <n v="2"/>
    <x v="1"/>
    <x v="0"/>
    <x v="5"/>
    <x v="1"/>
    <x v="7"/>
    <s v="Cisco SPA 501G IP Phone"/>
    <n v="1018.47"/>
    <n v="4"/>
    <n v="253.56"/>
  </r>
  <r>
    <d v="2015-02-03T00:00:00"/>
    <x v="2"/>
    <n v="2"/>
    <x v="1"/>
    <x v="6"/>
    <x v="7"/>
    <x v="0"/>
    <x v="1"/>
    <s v="Eldon Expressions Desk Accessories"/>
    <n v="1396.05"/>
    <n v="9"/>
    <n v="-7.05"/>
  </r>
  <r>
    <d v="2015-02-03T00:00:00"/>
    <x v="2"/>
    <n v="2"/>
    <x v="1"/>
    <x v="8"/>
    <x v="7"/>
    <x v="2"/>
    <x v="6"/>
    <s v="Cisco SPA 501G IP Phone"/>
    <n v="1867.49"/>
    <n v="8"/>
    <n v="-162.54"/>
  </r>
  <r>
    <d v="2015-02-03T00:00:00"/>
    <x v="2"/>
    <n v="2"/>
    <x v="1"/>
    <x v="2"/>
    <x v="2"/>
    <x v="0"/>
    <x v="6"/>
    <s v="Bretford CR4500 Series Table"/>
    <n v="1672.79"/>
    <n v="8"/>
    <n v="-47.78"/>
  </r>
  <r>
    <d v="2015-02-06T00:00:00"/>
    <x v="2"/>
    <n v="2"/>
    <x v="1"/>
    <x v="6"/>
    <x v="7"/>
    <x v="2"/>
    <x v="8"/>
    <s v="Cisco SPA 501G IP Phone"/>
    <n v="99.31"/>
    <n v="3"/>
    <n v="-139.69999999999999"/>
  </r>
  <r>
    <d v="2015-02-06T00:00:00"/>
    <x v="2"/>
    <n v="2"/>
    <x v="1"/>
    <x v="5"/>
    <x v="1"/>
    <x v="2"/>
    <x v="0"/>
    <s v="Cisco SPA 501G IP Phone"/>
    <n v="1187.9100000000001"/>
    <n v="4"/>
    <n v="-3.64"/>
  </r>
  <r>
    <d v="2015-02-06T00:00:00"/>
    <x v="2"/>
    <n v="2"/>
    <x v="1"/>
    <x v="11"/>
    <x v="7"/>
    <x v="0"/>
    <x v="5"/>
    <s v="Bretford CR4500 Series Table"/>
    <n v="146.81"/>
    <n v="9"/>
    <n v="36.36"/>
  </r>
  <r>
    <d v="2015-02-08T00:00:00"/>
    <x v="2"/>
    <n v="2"/>
    <x v="1"/>
    <x v="12"/>
    <x v="9"/>
    <x v="1"/>
    <x v="3"/>
    <s v="Newell 322"/>
    <n v="1498.59"/>
    <n v="5"/>
    <n v="-147.44"/>
  </r>
  <r>
    <d v="2015-02-08T00:00:00"/>
    <x v="2"/>
    <n v="2"/>
    <x v="1"/>
    <x v="10"/>
    <x v="1"/>
    <x v="2"/>
    <x v="7"/>
    <s v="Bretford CR4500 Series Table"/>
    <n v="669.12"/>
    <n v="3"/>
    <n v="255.88"/>
  </r>
  <r>
    <d v="2015-02-09T00:00:00"/>
    <x v="2"/>
    <n v="2"/>
    <x v="1"/>
    <x v="0"/>
    <x v="3"/>
    <x v="1"/>
    <x v="6"/>
    <s v="Eldon Expressions Desk Accessories"/>
    <n v="652.73"/>
    <n v="4"/>
    <n v="59.25"/>
  </r>
  <r>
    <d v="2015-02-10T00:00:00"/>
    <x v="2"/>
    <n v="2"/>
    <x v="1"/>
    <x v="3"/>
    <x v="9"/>
    <x v="1"/>
    <x v="3"/>
    <s v="Cisco SPA 501G IP Phone"/>
    <n v="1332.97"/>
    <n v="7"/>
    <n v="130.59"/>
  </r>
  <r>
    <d v="2015-02-10T00:00:00"/>
    <x v="2"/>
    <n v="2"/>
    <x v="1"/>
    <x v="10"/>
    <x v="5"/>
    <x v="0"/>
    <x v="5"/>
    <s v="Belkin 6 Outlet Surge"/>
    <n v="104.56"/>
    <n v="3"/>
    <n v="211.55"/>
  </r>
  <r>
    <d v="2015-02-11T00:00:00"/>
    <x v="2"/>
    <n v="2"/>
    <x v="1"/>
    <x v="8"/>
    <x v="9"/>
    <x v="1"/>
    <x v="2"/>
    <s v="Eldon Expressions Desk Accessories"/>
    <n v="1749.85"/>
    <n v="1"/>
    <n v="-88.18"/>
  </r>
  <r>
    <d v="2015-02-13T00:00:00"/>
    <x v="2"/>
    <n v="2"/>
    <x v="1"/>
    <x v="0"/>
    <x v="8"/>
    <x v="0"/>
    <x v="5"/>
    <s v="Belkin 6 Outlet Surge"/>
    <n v="1884.56"/>
    <n v="5"/>
    <n v="179.76"/>
  </r>
  <r>
    <d v="2015-02-14T00:00:00"/>
    <x v="2"/>
    <n v="2"/>
    <x v="1"/>
    <x v="0"/>
    <x v="3"/>
    <x v="1"/>
    <x v="4"/>
    <s v="Bush Somerset Collection Bookcase"/>
    <n v="727.32"/>
    <n v="4"/>
    <n v="59.26"/>
  </r>
  <r>
    <d v="2015-02-15T00:00:00"/>
    <x v="2"/>
    <n v="2"/>
    <x v="1"/>
    <x v="1"/>
    <x v="9"/>
    <x v="0"/>
    <x v="3"/>
    <s v="Newell 322"/>
    <n v="988.83"/>
    <n v="5"/>
    <n v="78.709999999999994"/>
  </r>
  <r>
    <d v="2015-02-15T00:00:00"/>
    <x v="2"/>
    <n v="2"/>
    <x v="1"/>
    <x v="4"/>
    <x v="3"/>
    <x v="0"/>
    <x v="1"/>
    <s v="Self-Adhesive Address Labels"/>
    <n v="1996.86"/>
    <n v="2"/>
    <n v="281.31"/>
  </r>
  <r>
    <d v="2015-02-16T00:00:00"/>
    <x v="2"/>
    <n v="2"/>
    <x v="1"/>
    <x v="11"/>
    <x v="1"/>
    <x v="1"/>
    <x v="4"/>
    <s v="Eldon Expressions Desk Accessories"/>
    <n v="255.91"/>
    <n v="1"/>
    <n v="24.45"/>
  </r>
  <r>
    <d v="2015-02-16T00:00:00"/>
    <x v="2"/>
    <n v="2"/>
    <x v="1"/>
    <x v="5"/>
    <x v="7"/>
    <x v="2"/>
    <x v="2"/>
    <s v="Bush Somerset Collection Bookcase"/>
    <n v="510.1"/>
    <n v="5"/>
    <n v="-9.7899999999999991"/>
  </r>
  <r>
    <d v="2015-02-17T00:00:00"/>
    <x v="2"/>
    <n v="2"/>
    <x v="1"/>
    <x v="12"/>
    <x v="7"/>
    <x v="1"/>
    <x v="2"/>
    <s v="Self-Adhesive Address Labels"/>
    <n v="667.9"/>
    <n v="2"/>
    <n v="-156.47"/>
  </r>
  <r>
    <d v="2015-02-17T00:00:00"/>
    <x v="2"/>
    <n v="2"/>
    <x v="1"/>
    <x v="7"/>
    <x v="3"/>
    <x v="2"/>
    <x v="4"/>
    <s v="Fellowes PB200 Comb Binding Machine"/>
    <n v="29.82"/>
    <n v="8"/>
    <n v="107.93"/>
  </r>
  <r>
    <d v="2015-02-18T00:00:00"/>
    <x v="2"/>
    <n v="2"/>
    <x v="1"/>
    <x v="5"/>
    <x v="2"/>
    <x v="2"/>
    <x v="2"/>
    <s v="Fellowes PB200 Comb Binding Machine"/>
    <n v="1229.06"/>
    <n v="9"/>
    <n v="47.77"/>
  </r>
  <r>
    <d v="2015-02-19T00:00:00"/>
    <x v="2"/>
    <n v="2"/>
    <x v="1"/>
    <x v="2"/>
    <x v="3"/>
    <x v="0"/>
    <x v="8"/>
    <s v="Self-Adhesive Address Labels"/>
    <n v="664.72"/>
    <n v="6"/>
    <n v="-59.79"/>
  </r>
  <r>
    <d v="2015-02-20T00:00:00"/>
    <x v="2"/>
    <n v="2"/>
    <x v="1"/>
    <x v="0"/>
    <x v="9"/>
    <x v="2"/>
    <x v="4"/>
    <s v="Belkin 6 Outlet Surge"/>
    <n v="897.77"/>
    <n v="6"/>
    <n v="-119.92"/>
  </r>
  <r>
    <d v="2015-02-23T00:00:00"/>
    <x v="2"/>
    <n v="2"/>
    <x v="1"/>
    <x v="5"/>
    <x v="0"/>
    <x v="1"/>
    <x v="8"/>
    <s v="Hon Deluxe Fabric Upholstered Stacking Chairs"/>
    <n v="1655.19"/>
    <n v="7"/>
    <n v="62.38"/>
  </r>
  <r>
    <d v="2015-02-24T00:00:00"/>
    <x v="2"/>
    <n v="2"/>
    <x v="1"/>
    <x v="5"/>
    <x v="0"/>
    <x v="2"/>
    <x v="4"/>
    <s v="Eldon Fold 'N Roll Cart System"/>
    <n v="1091.51"/>
    <n v="3"/>
    <n v="41.36"/>
  </r>
  <r>
    <d v="2015-02-24T00:00:00"/>
    <x v="2"/>
    <n v="2"/>
    <x v="1"/>
    <x v="6"/>
    <x v="3"/>
    <x v="2"/>
    <x v="0"/>
    <s v="Fellowes PB200 Comb Binding Machine"/>
    <n v="347.71"/>
    <n v="6"/>
    <n v="-179.4"/>
  </r>
  <r>
    <d v="2015-02-24T00:00:00"/>
    <x v="2"/>
    <n v="2"/>
    <x v="1"/>
    <x v="1"/>
    <x v="4"/>
    <x v="2"/>
    <x v="0"/>
    <s v="Self-Adhesive Address Labels"/>
    <n v="780.39"/>
    <n v="5"/>
    <n v="-63.15"/>
  </r>
  <r>
    <d v="2015-03-01T00:00:00"/>
    <x v="2"/>
    <n v="3"/>
    <x v="2"/>
    <x v="1"/>
    <x v="6"/>
    <x v="2"/>
    <x v="4"/>
    <s v="Self-Adhesive Address Labels"/>
    <n v="912.97"/>
    <n v="5"/>
    <n v="135.97999999999999"/>
  </r>
  <r>
    <d v="2015-03-02T00:00:00"/>
    <x v="2"/>
    <n v="3"/>
    <x v="2"/>
    <x v="5"/>
    <x v="3"/>
    <x v="1"/>
    <x v="2"/>
    <s v="Hon Deluxe Fabric Upholstered Stacking Chairs"/>
    <n v="210.06"/>
    <n v="8"/>
    <n v="143.25"/>
  </r>
  <r>
    <d v="2015-03-03T00:00:00"/>
    <x v="2"/>
    <n v="3"/>
    <x v="2"/>
    <x v="7"/>
    <x v="8"/>
    <x v="1"/>
    <x v="4"/>
    <s v="Newell 322"/>
    <n v="813.06"/>
    <n v="6"/>
    <n v="271.06"/>
  </r>
  <r>
    <d v="2015-03-03T00:00:00"/>
    <x v="2"/>
    <n v="3"/>
    <x v="2"/>
    <x v="9"/>
    <x v="4"/>
    <x v="0"/>
    <x v="1"/>
    <s v="Cisco SPA 501G IP Phone"/>
    <n v="709.2"/>
    <n v="5"/>
    <n v="329.57"/>
  </r>
  <r>
    <d v="2015-03-05T00:00:00"/>
    <x v="2"/>
    <n v="3"/>
    <x v="2"/>
    <x v="11"/>
    <x v="3"/>
    <x v="1"/>
    <x v="3"/>
    <s v="Cisco SPA 501G IP Phone"/>
    <n v="684.21"/>
    <n v="3"/>
    <n v="390.48"/>
  </r>
  <r>
    <d v="2015-03-05T00:00:00"/>
    <x v="2"/>
    <n v="3"/>
    <x v="2"/>
    <x v="4"/>
    <x v="4"/>
    <x v="1"/>
    <x v="2"/>
    <s v="Self-Adhesive Address Labels"/>
    <n v="1873.32"/>
    <n v="5"/>
    <n v="135.58000000000001"/>
  </r>
  <r>
    <d v="2015-03-05T00:00:00"/>
    <x v="2"/>
    <n v="3"/>
    <x v="2"/>
    <x v="9"/>
    <x v="0"/>
    <x v="0"/>
    <x v="3"/>
    <s v="Bush Somerset Collection Bookcase"/>
    <n v="1296.3399999999999"/>
    <n v="8"/>
    <n v="-7.92"/>
  </r>
  <r>
    <d v="2015-03-06T00:00:00"/>
    <x v="2"/>
    <n v="3"/>
    <x v="2"/>
    <x v="4"/>
    <x v="1"/>
    <x v="1"/>
    <x v="5"/>
    <s v="Newell 322"/>
    <n v="67.7"/>
    <n v="2"/>
    <n v="391.82"/>
  </r>
  <r>
    <d v="2015-03-06T00:00:00"/>
    <x v="2"/>
    <n v="3"/>
    <x v="2"/>
    <x v="10"/>
    <x v="5"/>
    <x v="1"/>
    <x v="7"/>
    <s v="Bush Somerset Collection Bookcase"/>
    <n v="49.17"/>
    <n v="4"/>
    <n v="-196.47"/>
  </r>
  <r>
    <d v="2015-03-06T00:00:00"/>
    <x v="2"/>
    <n v="3"/>
    <x v="2"/>
    <x v="8"/>
    <x v="7"/>
    <x v="1"/>
    <x v="1"/>
    <s v="Bush Somerset Collection Bookcase"/>
    <n v="389.01"/>
    <n v="1"/>
    <n v="195"/>
  </r>
  <r>
    <d v="2015-03-07T00:00:00"/>
    <x v="2"/>
    <n v="3"/>
    <x v="2"/>
    <x v="9"/>
    <x v="7"/>
    <x v="0"/>
    <x v="6"/>
    <s v="Eldon Expressions Desk Accessories"/>
    <n v="628.84"/>
    <n v="1"/>
    <n v="-158.29"/>
  </r>
  <r>
    <d v="2015-03-08T00:00:00"/>
    <x v="2"/>
    <n v="3"/>
    <x v="2"/>
    <x v="8"/>
    <x v="8"/>
    <x v="0"/>
    <x v="7"/>
    <s v="Newell 322"/>
    <n v="522.92999999999995"/>
    <n v="5"/>
    <n v="102.15"/>
  </r>
  <r>
    <d v="2015-03-09T00:00:00"/>
    <x v="2"/>
    <n v="3"/>
    <x v="2"/>
    <x v="11"/>
    <x v="7"/>
    <x v="0"/>
    <x v="2"/>
    <s v="Belkin 6 Outlet Surge"/>
    <n v="1228.2"/>
    <n v="8"/>
    <n v="202.24"/>
  </r>
  <r>
    <d v="2015-03-09T00:00:00"/>
    <x v="2"/>
    <n v="3"/>
    <x v="2"/>
    <x v="5"/>
    <x v="1"/>
    <x v="2"/>
    <x v="3"/>
    <s v="Bush Somerset Collection Bookcase"/>
    <n v="803.02"/>
    <n v="6"/>
    <n v="43.65"/>
  </r>
  <r>
    <d v="2015-03-09T00:00:00"/>
    <x v="2"/>
    <n v="3"/>
    <x v="2"/>
    <x v="7"/>
    <x v="3"/>
    <x v="0"/>
    <x v="0"/>
    <s v="Eldon Expressions Desk Accessories"/>
    <n v="859.54"/>
    <n v="1"/>
    <n v="126.12"/>
  </r>
  <r>
    <d v="2015-03-09T00:00:00"/>
    <x v="2"/>
    <n v="3"/>
    <x v="2"/>
    <x v="3"/>
    <x v="4"/>
    <x v="1"/>
    <x v="6"/>
    <s v="Fellowes PB200 Comb Binding Machine"/>
    <n v="1901.72"/>
    <n v="6"/>
    <n v="271.14999999999998"/>
  </r>
  <r>
    <d v="2015-03-11T00:00:00"/>
    <x v="2"/>
    <n v="3"/>
    <x v="2"/>
    <x v="11"/>
    <x v="4"/>
    <x v="1"/>
    <x v="0"/>
    <s v="Newell 322"/>
    <n v="801"/>
    <n v="5"/>
    <n v="264.7"/>
  </r>
  <r>
    <d v="2015-03-11T00:00:00"/>
    <x v="2"/>
    <n v="3"/>
    <x v="2"/>
    <x v="3"/>
    <x v="7"/>
    <x v="2"/>
    <x v="3"/>
    <s v="Self-Adhesive Address Labels"/>
    <n v="1030.06"/>
    <n v="8"/>
    <n v="-39.46"/>
  </r>
  <r>
    <d v="2015-03-12T00:00:00"/>
    <x v="2"/>
    <n v="3"/>
    <x v="2"/>
    <x v="6"/>
    <x v="1"/>
    <x v="1"/>
    <x v="7"/>
    <s v="Self-Adhesive Address Labels"/>
    <n v="1845.77"/>
    <n v="1"/>
    <n v="-25.14"/>
  </r>
  <r>
    <d v="2015-03-13T00:00:00"/>
    <x v="2"/>
    <n v="3"/>
    <x v="2"/>
    <x v="2"/>
    <x v="8"/>
    <x v="0"/>
    <x v="2"/>
    <s v="Cisco SPA 501G IP Phone"/>
    <n v="983.5"/>
    <n v="8"/>
    <n v="396.82"/>
  </r>
  <r>
    <d v="2015-03-13T00:00:00"/>
    <x v="2"/>
    <n v="3"/>
    <x v="2"/>
    <x v="4"/>
    <x v="1"/>
    <x v="2"/>
    <x v="4"/>
    <s v="Bush Somerset Collection Bookcase"/>
    <n v="1604.82"/>
    <n v="6"/>
    <n v="50.69"/>
  </r>
  <r>
    <d v="2015-03-15T00:00:00"/>
    <x v="2"/>
    <n v="3"/>
    <x v="2"/>
    <x v="7"/>
    <x v="3"/>
    <x v="2"/>
    <x v="8"/>
    <s v="Eldon Expressions Desk Accessories"/>
    <n v="1539.12"/>
    <n v="9"/>
    <n v="364.35"/>
  </r>
  <r>
    <d v="2015-03-16T00:00:00"/>
    <x v="2"/>
    <n v="3"/>
    <x v="2"/>
    <x v="6"/>
    <x v="1"/>
    <x v="0"/>
    <x v="0"/>
    <s v="Bretford CR4500 Series Table"/>
    <n v="93.34"/>
    <n v="2"/>
    <n v="265.18"/>
  </r>
  <r>
    <d v="2015-03-16T00:00:00"/>
    <x v="2"/>
    <n v="3"/>
    <x v="2"/>
    <x v="12"/>
    <x v="4"/>
    <x v="0"/>
    <x v="2"/>
    <s v="Eldon Expressions Desk Accessories"/>
    <n v="1995.85"/>
    <n v="6"/>
    <n v="-20.05"/>
  </r>
  <r>
    <d v="2015-03-16T00:00:00"/>
    <x v="2"/>
    <n v="3"/>
    <x v="2"/>
    <x v="9"/>
    <x v="1"/>
    <x v="0"/>
    <x v="6"/>
    <s v="Fellowes PB200 Comb Binding Machine"/>
    <n v="874.87"/>
    <n v="3"/>
    <n v="184.87"/>
  </r>
  <r>
    <d v="2015-03-16T00:00:00"/>
    <x v="2"/>
    <n v="3"/>
    <x v="2"/>
    <x v="10"/>
    <x v="1"/>
    <x v="2"/>
    <x v="6"/>
    <s v="Cisco SPA 501G IP Phone"/>
    <n v="1530.85"/>
    <n v="5"/>
    <n v="386.79"/>
  </r>
  <r>
    <d v="2015-03-17T00:00:00"/>
    <x v="2"/>
    <n v="3"/>
    <x v="2"/>
    <x v="6"/>
    <x v="4"/>
    <x v="2"/>
    <x v="8"/>
    <s v="Bretford CR4500 Series Table"/>
    <n v="1490.66"/>
    <n v="1"/>
    <n v="254.02"/>
  </r>
  <r>
    <d v="2015-03-17T00:00:00"/>
    <x v="2"/>
    <n v="3"/>
    <x v="2"/>
    <x v="8"/>
    <x v="0"/>
    <x v="0"/>
    <x v="3"/>
    <s v="Bretford CR4500 Series Table"/>
    <n v="882.92"/>
    <n v="5"/>
    <n v="171.21"/>
  </r>
  <r>
    <d v="2015-03-17T00:00:00"/>
    <x v="2"/>
    <n v="3"/>
    <x v="2"/>
    <x v="5"/>
    <x v="4"/>
    <x v="2"/>
    <x v="1"/>
    <s v="Bretford CR4500 Series Table"/>
    <n v="735.18"/>
    <n v="1"/>
    <n v="331.46"/>
  </r>
  <r>
    <d v="2015-03-17T00:00:00"/>
    <x v="2"/>
    <n v="3"/>
    <x v="2"/>
    <x v="4"/>
    <x v="9"/>
    <x v="1"/>
    <x v="2"/>
    <s v="Cisco SPA 501G IP Phone"/>
    <n v="1516.73"/>
    <n v="5"/>
    <n v="345.1"/>
  </r>
  <r>
    <d v="2015-03-18T00:00:00"/>
    <x v="2"/>
    <n v="3"/>
    <x v="2"/>
    <x v="6"/>
    <x v="6"/>
    <x v="1"/>
    <x v="4"/>
    <s v="Cisco SPA 501G IP Phone"/>
    <n v="326.12"/>
    <n v="3"/>
    <n v="-0.46"/>
  </r>
  <r>
    <d v="2015-03-18T00:00:00"/>
    <x v="2"/>
    <n v="3"/>
    <x v="2"/>
    <x v="4"/>
    <x v="2"/>
    <x v="2"/>
    <x v="8"/>
    <s v="Cisco SPA 501G IP Phone"/>
    <n v="1301.01"/>
    <n v="1"/>
    <n v="42.94"/>
  </r>
  <r>
    <d v="2015-03-23T00:00:00"/>
    <x v="2"/>
    <n v="3"/>
    <x v="2"/>
    <x v="4"/>
    <x v="5"/>
    <x v="0"/>
    <x v="5"/>
    <s v="Self-Adhesive Address Labels"/>
    <n v="333.51"/>
    <n v="5"/>
    <n v="-136.81"/>
  </r>
  <r>
    <d v="2015-03-25T00:00:00"/>
    <x v="2"/>
    <n v="3"/>
    <x v="2"/>
    <x v="9"/>
    <x v="0"/>
    <x v="1"/>
    <x v="3"/>
    <s v="Eldon Fold 'N Roll Cart System"/>
    <n v="50.82"/>
    <n v="4"/>
    <n v="199.02"/>
  </r>
  <r>
    <d v="2015-03-25T00:00:00"/>
    <x v="2"/>
    <n v="3"/>
    <x v="2"/>
    <x v="4"/>
    <x v="7"/>
    <x v="1"/>
    <x v="1"/>
    <s v="Fellowes PB200 Comb Binding Machine"/>
    <n v="93.53"/>
    <n v="2"/>
    <n v="78.09"/>
  </r>
  <r>
    <d v="2015-03-25T00:00:00"/>
    <x v="2"/>
    <n v="3"/>
    <x v="2"/>
    <x v="10"/>
    <x v="1"/>
    <x v="0"/>
    <x v="4"/>
    <s v="Newell 322"/>
    <n v="191.11"/>
    <n v="3"/>
    <n v="318.29000000000002"/>
  </r>
  <r>
    <d v="2015-03-26T00:00:00"/>
    <x v="2"/>
    <n v="3"/>
    <x v="2"/>
    <x v="12"/>
    <x v="4"/>
    <x v="0"/>
    <x v="0"/>
    <s v="Fellowes PB200 Comb Binding Machine"/>
    <n v="926.76"/>
    <n v="5"/>
    <n v="138.91"/>
  </r>
  <r>
    <d v="2015-03-26T00:00:00"/>
    <x v="2"/>
    <n v="3"/>
    <x v="2"/>
    <x v="5"/>
    <x v="0"/>
    <x v="1"/>
    <x v="4"/>
    <s v="Cisco SPA 501G IP Phone"/>
    <n v="1621.73"/>
    <n v="5"/>
    <n v="54.49"/>
  </r>
  <r>
    <d v="2015-03-26T00:00:00"/>
    <x v="2"/>
    <n v="3"/>
    <x v="2"/>
    <x v="3"/>
    <x v="6"/>
    <x v="0"/>
    <x v="6"/>
    <s v="Belkin 6 Outlet Surge"/>
    <n v="1118.33"/>
    <n v="5"/>
    <n v="-184.69"/>
  </r>
  <r>
    <d v="2015-03-26T00:00:00"/>
    <x v="2"/>
    <n v="3"/>
    <x v="2"/>
    <x v="7"/>
    <x v="5"/>
    <x v="0"/>
    <x v="2"/>
    <s v="Eldon Fold 'N Roll Cart System"/>
    <n v="24.37"/>
    <n v="3"/>
    <n v="-80.25"/>
  </r>
  <r>
    <d v="2015-03-27T00:00:00"/>
    <x v="2"/>
    <n v="3"/>
    <x v="2"/>
    <x v="12"/>
    <x v="1"/>
    <x v="1"/>
    <x v="2"/>
    <s v="Self-Adhesive Address Labels"/>
    <n v="294.73"/>
    <n v="5"/>
    <n v="175.54"/>
  </r>
  <r>
    <d v="2015-03-27T00:00:00"/>
    <x v="2"/>
    <n v="3"/>
    <x v="2"/>
    <x v="1"/>
    <x v="4"/>
    <x v="2"/>
    <x v="4"/>
    <s v="Cisco SPA 501G IP Phone"/>
    <n v="1994.01"/>
    <n v="4"/>
    <n v="386.16"/>
  </r>
  <r>
    <d v="2015-03-27T00:00:00"/>
    <x v="2"/>
    <n v="3"/>
    <x v="2"/>
    <x v="2"/>
    <x v="0"/>
    <x v="0"/>
    <x v="2"/>
    <s v="Eldon Expressions Desk Accessories"/>
    <n v="791.54"/>
    <n v="5"/>
    <n v="-9.1"/>
  </r>
  <r>
    <d v="2015-03-27T00:00:00"/>
    <x v="2"/>
    <n v="3"/>
    <x v="2"/>
    <x v="5"/>
    <x v="7"/>
    <x v="2"/>
    <x v="2"/>
    <s v="Bush Somerset Collection Bookcase"/>
    <n v="181.64"/>
    <n v="7"/>
    <n v="310.62"/>
  </r>
  <r>
    <d v="2015-03-28T00:00:00"/>
    <x v="2"/>
    <n v="3"/>
    <x v="2"/>
    <x v="12"/>
    <x v="6"/>
    <x v="2"/>
    <x v="5"/>
    <s v="Self-Adhesive Address Labels"/>
    <n v="511.06"/>
    <n v="7"/>
    <n v="314.66000000000003"/>
  </r>
  <r>
    <d v="2015-03-28T00:00:00"/>
    <x v="2"/>
    <n v="3"/>
    <x v="2"/>
    <x v="7"/>
    <x v="7"/>
    <x v="0"/>
    <x v="1"/>
    <s v="Bush Somerset Collection Bookcase"/>
    <n v="1223.04"/>
    <n v="5"/>
    <n v="-175.83"/>
  </r>
  <r>
    <d v="2015-03-30T00:00:00"/>
    <x v="2"/>
    <n v="3"/>
    <x v="2"/>
    <x v="0"/>
    <x v="0"/>
    <x v="2"/>
    <x v="4"/>
    <s v="Cisco SPA 501G IP Phone"/>
    <n v="1737.96"/>
    <n v="8"/>
    <n v="-194.12"/>
  </r>
  <r>
    <d v="2015-04-01T00:00:00"/>
    <x v="2"/>
    <n v="4"/>
    <x v="3"/>
    <x v="3"/>
    <x v="5"/>
    <x v="2"/>
    <x v="3"/>
    <s v="Hon Deluxe Fabric Upholstered Stacking Chairs"/>
    <n v="1460.78"/>
    <n v="4"/>
    <n v="-55.84"/>
  </r>
  <r>
    <d v="2015-04-01T00:00:00"/>
    <x v="2"/>
    <n v="4"/>
    <x v="3"/>
    <x v="0"/>
    <x v="3"/>
    <x v="1"/>
    <x v="5"/>
    <s v="Bretford CR4500 Series Table"/>
    <n v="1011.42"/>
    <n v="3"/>
    <n v="-129.06"/>
  </r>
  <r>
    <d v="2015-04-02T00:00:00"/>
    <x v="2"/>
    <n v="4"/>
    <x v="3"/>
    <x v="0"/>
    <x v="4"/>
    <x v="1"/>
    <x v="8"/>
    <s v="Newell 322"/>
    <n v="636.87"/>
    <n v="7"/>
    <n v="-92.84"/>
  </r>
  <r>
    <d v="2015-04-03T00:00:00"/>
    <x v="2"/>
    <n v="4"/>
    <x v="3"/>
    <x v="9"/>
    <x v="8"/>
    <x v="0"/>
    <x v="8"/>
    <s v="Eldon Fold 'N Roll Cart System"/>
    <n v="1694.64"/>
    <n v="8"/>
    <n v="-96.96"/>
  </r>
  <r>
    <d v="2015-04-03T00:00:00"/>
    <x v="2"/>
    <n v="4"/>
    <x v="3"/>
    <x v="2"/>
    <x v="0"/>
    <x v="1"/>
    <x v="5"/>
    <s v="Eldon Fold 'N Roll Cart System"/>
    <n v="104.69"/>
    <n v="2"/>
    <n v="19.59"/>
  </r>
  <r>
    <d v="2015-04-03T00:00:00"/>
    <x v="2"/>
    <n v="4"/>
    <x v="3"/>
    <x v="9"/>
    <x v="0"/>
    <x v="1"/>
    <x v="3"/>
    <s v="Fellowes PB200 Comb Binding Machine"/>
    <n v="737.25"/>
    <n v="6"/>
    <n v="-88.84"/>
  </r>
  <r>
    <d v="2015-04-03T00:00:00"/>
    <x v="2"/>
    <n v="4"/>
    <x v="3"/>
    <x v="10"/>
    <x v="3"/>
    <x v="0"/>
    <x v="0"/>
    <s v="Fellowes PB200 Comb Binding Machine"/>
    <n v="1845.24"/>
    <n v="5"/>
    <n v="318.01"/>
  </r>
  <r>
    <d v="2015-04-04T00:00:00"/>
    <x v="2"/>
    <n v="4"/>
    <x v="3"/>
    <x v="10"/>
    <x v="3"/>
    <x v="2"/>
    <x v="1"/>
    <s v="Hon Deluxe Fabric Upholstered Stacking Chairs"/>
    <n v="386.14"/>
    <n v="1"/>
    <n v="-113.95"/>
  </r>
  <r>
    <d v="2015-04-04T00:00:00"/>
    <x v="2"/>
    <n v="4"/>
    <x v="3"/>
    <x v="4"/>
    <x v="7"/>
    <x v="0"/>
    <x v="5"/>
    <s v="Newell 322"/>
    <n v="491.39"/>
    <n v="2"/>
    <n v="87.21"/>
  </r>
  <r>
    <d v="2015-04-05T00:00:00"/>
    <x v="2"/>
    <n v="4"/>
    <x v="3"/>
    <x v="4"/>
    <x v="4"/>
    <x v="2"/>
    <x v="6"/>
    <s v="Fellowes PB200 Comb Binding Machine"/>
    <n v="1205.47"/>
    <n v="9"/>
    <n v="-48.22"/>
  </r>
  <r>
    <d v="2015-04-05T00:00:00"/>
    <x v="2"/>
    <n v="4"/>
    <x v="3"/>
    <x v="1"/>
    <x v="3"/>
    <x v="0"/>
    <x v="4"/>
    <s v="Cisco SPA 501G IP Phone"/>
    <n v="1114.6099999999999"/>
    <n v="2"/>
    <n v="-193.7"/>
  </r>
  <r>
    <d v="2015-04-06T00:00:00"/>
    <x v="2"/>
    <n v="4"/>
    <x v="3"/>
    <x v="10"/>
    <x v="0"/>
    <x v="1"/>
    <x v="4"/>
    <s v="Hon Deluxe Fabric Upholstered Stacking Chairs"/>
    <n v="165.7"/>
    <n v="8"/>
    <n v="-82.14"/>
  </r>
  <r>
    <d v="2015-04-07T00:00:00"/>
    <x v="2"/>
    <n v="4"/>
    <x v="3"/>
    <x v="10"/>
    <x v="6"/>
    <x v="0"/>
    <x v="3"/>
    <s v="Hon Deluxe Fabric Upholstered Stacking Chairs"/>
    <n v="1447.4"/>
    <n v="8"/>
    <n v="117.93"/>
  </r>
  <r>
    <d v="2015-04-07T00:00:00"/>
    <x v="2"/>
    <n v="4"/>
    <x v="3"/>
    <x v="8"/>
    <x v="7"/>
    <x v="2"/>
    <x v="1"/>
    <s v="Bretford CR4500 Series Table"/>
    <n v="642.84"/>
    <n v="5"/>
    <n v="-100.24"/>
  </r>
  <r>
    <d v="2015-04-08T00:00:00"/>
    <x v="2"/>
    <n v="4"/>
    <x v="3"/>
    <x v="1"/>
    <x v="8"/>
    <x v="0"/>
    <x v="5"/>
    <s v="Self-Adhesive Address Labels"/>
    <n v="743.44"/>
    <n v="1"/>
    <n v="40.24"/>
  </r>
  <r>
    <d v="2015-04-08T00:00:00"/>
    <x v="2"/>
    <n v="4"/>
    <x v="3"/>
    <x v="9"/>
    <x v="2"/>
    <x v="1"/>
    <x v="5"/>
    <s v="Belkin 6 Outlet Surge"/>
    <n v="771.82"/>
    <n v="7"/>
    <n v="105.71"/>
  </r>
  <r>
    <d v="2015-04-09T00:00:00"/>
    <x v="2"/>
    <n v="4"/>
    <x v="3"/>
    <x v="12"/>
    <x v="8"/>
    <x v="2"/>
    <x v="2"/>
    <s v="Belkin 6 Outlet Surge"/>
    <n v="1858.75"/>
    <n v="6"/>
    <n v="210.88"/>
  </r>
  <r>
    <d v="2015-04-11T00:00:00"/>
    <x v="2"/>
    <n v="4"/>
    <x v="3"/>
    <x v="4"/>
    <x v="1"/>
    <x v="0"/>
    <x v="2"/>
    <s v="Bush Somerset Collection Bookcase"/>
    <n v="1476.27"/>
    <n v="6"/>
    <n v="299.39999999999998"/>
  </r>
  <r>
    <d v="2015-04-11T00:00:00"/>
    <x v="2"/>
    <n v="4"/>
    <x v="3"/>
    <x v="10"/>
    <x v="1"/>
    <x v="1"/>
    <x v="8"/>
    <s v="Bretford CR4500 Series Table"/>
    <n v="736.84"/>
    <n v="7"/>
    <n v="354.62"/>
  </r>
  <r>
    <d v="2015-04-11T00:00:00"/>
    <x v="2"/>
    <n v="4"/>
    <x v="3"/>
    <x v="12"/>
    <x v="2"/>
    <x v="0"/>
    <x v="2"/>
    <s v="Cisco SPA 501G IP Phone"/>
    <n v="46.73"/>
    <n v="7"/>
    <n v="304.95999999999998"/>
  </r>
  <r>
    <d v="2015-04-12T00:00:00"/>
    <x v="2"/>
    <n v="4"/>
    <x v="3"/>
    <x v="3"/>
    <x v="3"/>
    <x v="0"/>
    <x v="2"/>
    <s v="Eldon Fold 'N Roll Cart System"/>
    <n v="777.86"/>
    <n v="1"/>
    <n v="175.98"/>
  </r>
  <r>
    <d v="2015-04-13T00:00:00"/>
    <x v="2"/>
    <n v="4"/>
    <x v="3"/>
    <x v="10"/>
    <x v="0"/>
    <x v="1"/>
    <x v="4"/>
    <s v="Self-Adhesive Address Labels"/>
    <n v="643.16999999999996"/>
    <n v="3"/>
    <n v="-187.46"/>
  </r>
  <r>
    <d v="2015-04-14T00:00:00"/>
    <x v="2"/>
    <n v="4"/>
    <x v="3"/>
    <x v="11"/>
    <x v="3"/>
    <x v="1"/>
    <x v="3"/>
    <s v="Cisco SPA 501G IP Phone"/>
    <n v="21.48"/>
    <n v="6"/>
    <n v="278.25"/>
  </r>
  <r>
    <d v="2015-04-16T00:00:00"/>
    <x v="2"/>
    <n v="4"/>
    <x v="3"/>
    <x v="2"/>
    <x v="4"/>
    <x v="1"/>
    <x v="6"/>
    <s v="Fellowes PB200 Comb Binding Machine"/>
    <n v="536.54999999999995"/>
    <n v="7"/>
    <n v="-187.56"/>
  </r>
  <r>
    <d v="2015-04-16T00:00:00"/>
    <x v="2"/>
    <n v="4"/>
    <x v="3"/>
    <x v="10"/>
    <x v="5"/>
    <x v="0"/>
    <x v="5"/>
    <s v="Bretford CR4500 Series Table"/>
    <n v="873.53"/>
    <n v="3"/>
    <n v="-168.65"/>
  </r>
  <r>
    <d v="2015-04-18T00:00:00"/>
    <x v="2"/>
    <n v="4"/>
    <x v="3"/>
    <x v="8"/>
    <x v="0"/>
    <x v="0"/>
    <x v="4"/>
    <s v="Belkin 6 Outlet Surge"/>
    <n v="1480.17"/>
    <n v="7"/>
    <n v="120.25"/>
  </r>
  <r>
    <d v="2015-04-18T00:00:00"/>
    <x v="2"/>
    <n v="4"/>
    <x v="3"/>
    <x v="9"/>
    <x v="4"/>
    <x v="2"/>
    <x v="0"/>
    <s v="Belkin 6 Outlet Surge"/>
    <n v="1851.28"/>
    <n v="1"/>
    <n v="365.46"/>
  </r>
  <r>
    <d v="2015-04-18T00:00:00"/>
    <x v="2"/>
    <n v="4"/>
    <x v="3"/>
    <x v="5"/>
    <x v="6"/>
    <x v="1"/>
    <x v="0"/>
    <s v="Fellowes PB200 Comb Binding Machine"/>
    <n v="1855.57"/>
    <n v="6"/>
    <n v="-18.37"/>
  </r>
  <r>
    <d v="2015-04-21T00:00:00"/>
    <x v="2"/>
    <n v="4"/>
    <x v="3"/>
    <x v="4"/>
    <x v="5"/>
    <x v="1"/>
    <x v="0"/>
    <s v="Newell 322"/>
    <n v="1202.73"/>
    <n v="7"/>
    <n v="200.55"/>
  </r>
  <r>
    <d v="2015-04-23T00:00:00"/>
    <x v="2"/>
    <n v="4"/>
    <x v="3"/>
    <x v="8"/>
    <x v="1"/>
    <x v="0"/>
    <x v="7"/>
    <s v="Belkin 6 Outlet Surge"/>
    <n v="750.77"/>
    <n v="7"/>
    <n v="204.41"/>
  </r>
  <r>
    <d v="2015-04-24T00:00:00"/>
    <x v="2"/>
    <n v="4"/>
    <x v="3"/>
    <x v="1"/>
    <x v="0"/>
    <x v="0"/>
    <x v="8"/>
    <s v="Self-Adhesive Address Labels"/>
    <n v="1170.56"/>
    <n v="8"/>
    <n v="-164.59"/>
  </r>
  <r>
    <d v="2015-04-25T00:00:00"/>
    <x v="2"/>
    <n v="4"/>
    <x v="3"/>
    <x v="5"/>
    <x v="7"/>
    <x v="1"/>
    <x v="7"/>
    <s v="Bush Somerset Collection Bookcase"/>
    <n v="613.99"/>
    <n v="4"/>
    <n v="285.51"/>
  </r>
  <r>
    <d v="2015-04-27T00:00:00"/>
    <x v="2"/>
    <n v="4"/>
    <x v="3"/>
    <x v="1"/>
    <x v="9"/>
    <x v="0"/>
    <x v="2"/>
    <s v="Bush Somerset Collection Bookcase"/>
    <n v="345.34"/>
    <n v="9"/>
    <n v="398.7"/>
  </r>
  <r>
    <d v="2015-04-28T00:00:00"/>
    <x v="2"/>
    <n v="4"/>
    <x v="3"/>
    <x v="2"/>
    <x v="5"/>
    <x v="2"/>
    <x v="4"/>
    <s v="Bush Somerset Collection Bookcase"/>
    <n v="1213.18"/>
    <n v="8"/>
    <n v="288.92"/>
  </r>
  <r>
    <d v="2015-04-29T00:00:00"/>
    <x v="2"/>
    <n v="4"/>
    <x v="3"/>
    <x v="2"/>
    <x v="5"/>
    <x v="1"/>
    <x v="0"/>
    <s v="Eldon Expressions Desk Accessories"/>
    <n v="1525.87"/>
    <n v="7"/>
    <n v="301.36"/>
  </r>
  <r>
    <d v="2015-04-29T00:00:00"/>
    <x v="2"/>
    <n v="4"/>
    <x v="3"/>
    <x v="1"/>
    <x v="3"/>
    <x v="1"/>
    <x v="6"/>
    <s v="Newell 322"/>
    <n v="1257.02"/>
    <n v="5"/>
    <n v="-54.02"/>
  </r>
  <r>
    <d v="2015-04-30T00:00:00"/>
    <x v="2"/>
    <n v="4"/>
    <x v="3"/>
    <x v="7"/>
    <x v="2"/>
    <x v="1"/>
    <x v="2"/>
    <s v="Self-Adhesive Address Labels"/>
    <n v="1655.63"/>
    <n v="1"/>
    <n v="65.98"/>
  </r>
  <r>
    <d v="2015-05-01T00:00:00"/>
    <x v="2"/>
    <n v="5"/>
    <x v="4"/>
    <x v="9"/>
    <x v="6"/>
    <x v="0"/>
    <x v="6"/>
    <s v="Hon Deluxe Fabric Upholstered Stacking Chairs"/>
    <n v="229.68"/>
    <n v="6"/>
    <n v="32.5"/>
  </r>
  <r>
    <d v="2015-05-01T00:00:00"/>
    <x v="2"/>
    <n v="5"/>
    <x v="4"/>
    <x v="3"/>
    <x v="1"/>
    <x v="1"/>
    <x v="0"/>
    <s v="Hon Deluxe Fabric Upholstered Stacking Chairs"/>
    <n v="1820.55"/>
    <n v="8"/>
    <n v="18.489999999999998"/>
  </r>
  <r>
    <d v="2015-05-02T00:00:00"/>
    <x v="2"/>
    <n v="5"/>
    <x v="4"/>
    <x v="8"/>
    <x v="2"/>
    <x v="2"/>
    <x v="2"/>
    <s v="Bush Somerset Collection Bookcase"/>
    <n v="746.08"/>
    <n v="9"/>
    <n v="13.82"/>
  </r>
  <r>
    <d v="2015-05-03T00:00:00"/>
    <x v="2"/>
    <n v="5"/>
    <x v="4"/>
    <x v="5"/>
    <x v="5"/>
    <x v="2"/>
    <x v="3"/>
    <s v="Bush Somerset Collection Bookcase"/>
    <n v="1965.55"/>
    <n v="1"/>
    <n v="-92.41"/>
  </r>
  <r>
    <d v="2015-05-03T00:00:00"/>
    <x v="2"/>
    <n v="5"/>
    <x v="4"/>
    <x v="6"/>
    <x v="2"/>
    <x v="1"/>
    <x v="4"/>
    <s v="Newell 322"/>
    <n v="632.91999999999996"/>
    <n v="7"/>
    <n v="255.18"/>
  </r>
  <r>
    <d v="2015-05-04T00:00:00"/>
    <x v="2"/>
    <n v="5"/>
    <x v="4"/>
    <x v="3"/>
    <x v="9"/>
    <x v="1"/>
    <x v="2"/>
    <s v="Newell 322"/>
    <n v="1027.82"/>
    <n v="9"/>
    <n v="339.66"/>
  </r>
  <r>
    <d v="2015-05-04T00:00:00"/>
    <x v="2"/>
    <n v="5"/>
    <x v="4"/>
    <x v="0"/>
    <x v="2"/>
    <x v="2"/>
    <x v="3"/>
    <s v="Fellowes PB200 Comb Binding Machine"/>
    <n v="236.75"/>
    <n v="6"/>
    <n v="-133.71"/>
  </r>
  <r>
    <d v="2015-05-04T00:00:00"/>
    <x v="2"/>
    <n v="5"/>
    <x v="4"/>
    <x v="11"/>
    <x v="0"/>
    <x v="2"/>
    <x v="6"/>
    <s v="Self-Adhesive Address Labels"/>
    <n v="116.55"/>
    <n v="9"/>
    <n v="-1.87"/>
  </r>
  <r>
    <d v="2015-05-05T00:00:00"/>
    <x v="2"/>
    <n v="5"/>
    <x v="4"/>
    <x v="11"/>
    <x v="2"/>
    <x v="0"/>
    <x v="6"/>
    <s v="Cisco SPA 501G IP Phone"/>
    <n v="1565.23"/>
    <n v="7"/>
    <n v="165.94"/>
  </r>
  <r>
    <d v="2015-05-07T00:00:00"/>
    <x v="2"/>
    <n v="5"/>
    <x v="4"/>
    <x v="3"/>
    <x v="3"/>
    <x v="1"/>
    <x v="7"/>
    <s v="Eldon Fold 'N Roll Cart System"/>
    <n v="1386.1"/>
    <n v="7"/>
    <n v="277.27"/>
  </r>
  <r>
    <d v="2015-05-09T00:00:00"/>
    <x v="2"/>
    <n v="5"/>
    <x v="4"/>
    <x v="3"/>
    <x v="4"/>
    <x v="2"/>
    <x v="0"/>
    <s v="Fellowes PB200 Comb Binding Machine"/>
    <n v="469.57"/>
    <n v="4"/>
    <n v="-24.77"/>
  </r>
  <r>
    <d v="2015-05-11T00:00:00"/>
    <x v="2"/>
    <n v="5"/>
    <x v="4"/>
    <x v="8"/>
    <x v="2"/>
    <x v="0"/>
    <x v="7"/>
    <s v="Newell 322"/>
    <n v="360.63"/>
    <n v="7"/>
    <n v="-106.9"/>
  </r>
  <r>
    <d v="2015-05-11T00:00:00"/>
    <x v="2"/>
    <n v="5"/>
    <x v="4"/>
    <x v="10"/>
    <x v="8"/>
    <x v="2"/>
    <x v="5"/>
    <s v="Cisco SPA 501G IP Phone"/>
    <n v="1018.79"/>
    <n v="6"/>
    <n v="178.83"/>
  </r>
  <r>
    <d v="2015-05-14T00:00:00"/>
    <x v="2"/>
    <n v="5"/>
    <x v="4"/>
    <x v="9"/>
    <x v="6"/>
    <x v="0"/>
    <x v="3"/>
    <s v="Newell 322"/>
    <n v="1636.03"/>
    <n v="1"/>
    <n v="51.79"/>
  </r>
  <r>
    <d v="2015-05-14T00:00:00"/>
    <x v="2"/>
    <n v="5"/>
    <x v="4"/>
    <x v="9"/>
    <x v="8"/>
    <x v="2"/>
    <x v="3"/>
    <s v="Cisco SPA 501G IP Phone"/>
    <n v="687.37"/>
    <n v="4"/>
    <n v="275.99"/>
  </r>
  <r>
    <d v="2015-05-15T00:00:00"/>
    <x v="2"/>
    <n v="5"/>
    <x v="4"/>
    <x v="11"/>
    <x v="4"/>
    <x v="2"/>
    <x v="7"/>
    <s v="Self-Adhesive Address Labels"/>
    <n v="471.95"/>
    <n v="8"/>
    <n v="116.75"/>
  </r>
  <r>
    <d v="2015-05-16T00:00:00"/>
    <x v="2"/>
    <n v="5"/>
    <x v="4"/>
    <x v="6"/>
    <x v="9"/>
    <x v="0"/>
    <x v="6"/>
    <s v="Bush Somerset Collection Bookcase"/>
    <n v="1905.46"/>
    <n v="8"/>
    <n v="336.63"/>
  </r>
  <r>
    <d v="2015-05-17T00:00:00"/>
    <x v="2"/>
    <n v="5"/>
    <x v="4"/>
    <x v="1"/>
    <x v="7"/>
    <x v="2"/>
    <x v="5"/>
    <s v="Cisco SPA 501G IP Phone"/>
    <n v="1822.48"/>
    <n v="3"/>
    <n v="352.7"/>
  </r>
  <r>
    <d v="2015-05-17T00:00:00"/>
    <x v="2"/>
    <n v="5"/>
    <x v="4"/>
    <x v="10"/>
    <x v="3"/>
    <x v="1"/>
    <x v="6"/>
    <s v="Belkin 6 Outlet Surge"/>
    <n v="1102.8"/>
    <n v="8"/>
    <n v="-19.77"/>
  </r>
  <r>
    <d v="2015-05-19T00:00:00"/>
    <x v="2"/>
    <n v="5"/>
    <x v="4"/>
    <x v="12"/>
    <x v="3"/>
    <x v="0"/>
    <x v="1"/>
    <s v="Fellowes PB200 Comb Binding Machine"/>
    <n v="112.16"/>
    <n v="4"/>
    <n v="363.34"/>
  </r>
  <r>
    <d v="2015-05-21T00:00:00"/>
    <x v="2"/>
    <n v="5"/>
    <x v="4"/>
    <x v="1"/>
    <x v="1"/>
    <x v="1"/>
    <x v="5"/>
    <s v="Eldon Fold 'N Roll Cart System"/>
    <n v="945.89"/>
    <n v="5"/>
    <n v="223.67"/>
  </r>
  <r>
    <d v="2015-05-22T00:00:00"/>
    <x v="2"/>
    <n v="5"/>
    <x v="4"/>
    <x v="2"/>
    <x v="8"/>
    <x v="0"/>
    <x v="7"/>
    <s v="Bretford CR4500 Series Table"/>
    <n v="1183.05"/>
    <n v="5"/>
    <n v="382.04"/>
  </r>
  <r>
    <d v="2015-05-22T00:00:00"/>
    <x v="2"/>
    <n v="5"/>
    <x v="4"/>
    <x v="4"/>
    <x v="2"/>
    <x v="2"/>
    <x v="8"/>
    <s v="Fellowes PB200 Comb Binding Machine"/>
    <n v="1864.57"/>
    <n v="2"/>
    <n v="-20.81"/>
  </r>
  <r>
    <d v="2015-05-22T00:00:00"/>
    <x v="2"/>
    <n v="5"/>
    <x v="4"/>
    <x v="1"/>
    <x v="8"/>
    <x v="1"/>
    <x v="8"/>
    <s v="Self-Adhesive Address Labels"/>
    <n v="413.29"/>
    <n v="4"/>
    <n v="-67.38"/>
  </r>
  <r>
    <d v="2015-05-23T00:00:00"/>
    <x v="2"/>
    <n v="5"/>
    <x v="4"/>
    <x v="1"/>
    <x v="3"/>
    <x v="2"/>
    <x v="5"/>
    <s v="Hon Deluxe Fabric Upholstered Stacking Chairs"/>
    <n v="1898.73"/>
    <n v="2"/>
    <n v="60.37"/>
  </r>
  <r>
    <d v="2015-05-23T00:00:00"/>
    <x v="2"/>
    <n v="5"/>
    <x v="4"/>
    <x v="8"/>
    <x v="9"/>
    <x v="1"/>
    <x v="8"/>
    <s v="Fellowes PB200 Comb Binding Machine"/>
    <n v="380.63"/>
    <n v="3"/>
    <n v="49.49"/>
  </r>
  <r>
    <d v="2015-05-26T00:00:00"/>
    <x v="2"/>
    <n v="5"/>
    <x v="4"/>
    <x v="4"/>
    <x v="7"/>
    <x v="0"/>
    <x v="2"/>
    <s v="Self-Adhesive Address Labels"/>
    <n v="1251.27"/>
    <n v="7"/>
    <n v="-127.32"/>
  </r>
  <r>
    <d v="2015-05-26T00:00:00"/>
    <x v="2"/>
    <n v="5"/>
    <x v="4"/>
    <x v="8"/>
    <x v="9"/>
    <x v="2"/>
    <x v="6"/>
    <s v="Self-Adhesive Address Labels"/>
    <n v="1803.79"/>
    <n v="6"/>
    <n v="-137.75"/>
  </r>
  <r>
    <d v="2015-05-27T00:00:00"/>
    <x v="2"/>
    <n v="5"/>
    <x v="4"/>
    <x v="0"/>
    <x v="2"/>
    <x v="2"/>
    <x v="8"/>
    <s v="Bretford CR4500 Series Table"/>
    <n v="138"/>
    <n v="2"/>
    <n v="232.05"/>
  </r>
  <r>
    <d v="2015-05-27T00:00:00"/>
    <x v="2"/>
    <n v="5"/>
    <x v="4"/>
    <x v="2"/>
    <x v="0"/>
    <x v="0"/>
    <x v="4"/>
    <s v="Cisco SPA 501G IP Phone"/>
    <n v="350.18"/>
    <n v="4"/>
    <n v="337.51"/>
  </r>
  <r>
    <d v="2015-05-27T00:00:00"/>
    <x v="2"/>
    <n v="5"/>
    <x v="4"/>
    <x v="1"/>
    <x v="1"/>
    <x v="0"/>
    <x v="4"/>
    <s v="Eldon Fold 'N Roll Cart System"/>
    <n v="1389.01"/>
    <n v="8"/>
    <n v="165.59"/>
  </r>
  <r>
    <d v="2015-05-28T00:00:00"/>
    <x v="2"/>
    <n v="5"/>
    <x v="4"/>
    <x v="8"/>
    <x v="1"/>
    <x v="2"/>
    <x v="8"/>
    <s v="Fellowes PB200 Comb Binding Machine"/>
    <n v="1640.02"/>
    <n v="9"/>
    <n v="37.96"/>
  </r>
  <r>
    <d v="2015-05-29T00:00:00"/>
    <x v="2"/>
    <n v="5"/>
    <x v="4"/>
    <x v="4"/>
    <x v="0"/>
    <x v="0"/>
    <x v="1"/>
    <s v="Fellowes PB200 Comb Binding Machine"/>
    <n v="1436.1"/>
    <n v="9"/>
    <n v="180.99"/>
  </r>
  <r>
    <d v="2015-05-29T00:00:00"/>
    <x v="2"/>
    <n v="5"/>
    <x v="4"/>
    <x v="0"/>
    <x v="5"/>
    <x v="1"/>
    <x v="2"/>
    <s v="Bush Somerset Collection Bookcase"/>
    <n v="980.87"/>
    <n v="1"/>
    <n v="3.45"/>
  </r>
  <r>
    <d v="2015-05-31T00:00:00"/>
    <x v="2"/>
    <n v="5"/>
    <x v="4"/>
    <x v="6"/>
    <x v="4"/>
    <x v="1"/>
    <x v="5"/>
    <s v="Newell 322"/>
    <n v="514.38"/>
    <n v="6"/>
    <n v="239.57"/>
  </r>
  <r>
    <d v="2015-05-31T00:00:00"/>
    <x v="2"/>
    <n v="5"/>
    <x v="4"/>
    <x v="6"/>
    <x v="0"/>
    <x v="0"/>
    <x v="0"/>
    <s v="Hon Deluxe Fabric Upholstered Stacking Chairs"/>
    <n v="457.52"/>
    <n v="9"/>
    <n v="235.77"/>
  </r>
  <r>
    <d v="2015-05-31T00:00:00"/>
    <x v="2"/>
    <n v="5"/>
    <x v="4"/>
    <x v="10"/>
    <x v="2"/>
    <x v="0"/>
    <x v="4"/>
    <s v="Bush Somerset Collection Bookcase"/>
    <n v="752.28"/>
    <n v="4"/>
    <n v="-73.650000000000006"/>
  </r>
  <r>
    <d v="2015-06-02T00:00:00"/>
    <x v="2"/>
    <n v="6"/>
    <x v="5"/>
    <x v="0"/>
    <x v="9"/>
    <x v="1"/>
    <x v="2"/>
    <s v="Self-Adhesive Address Labels"/>
    <n v="799.81"/>
    <n v="9"/>
    <n v="205.74"/>
  </r>
  <r>
    <d v="2015-06-02T00:00:00"/>
    <x v="2"/>
    <n v="6"/>
    <x v="5"/>
    <x v="4"/>
    <x v="0"/>
    <x v="1"/>
    <x v="4"/>
    <s v="Newell 322"/>
    <n v="1254.17"/>
    <n v="5"/>
    <n v="37.549999999999997"/>
  </r>
  <r>
    <d v="2015-06-02T00:00:00"/>
    <x v="2"/>
    <n v="6"/>
    <x v="5"/>
    <x v="6"/>
    <x v="4"/>
    <x v="1"/>
    <x v="4"/>
    <s v="Eldon Fold 'N Roll Cart System"/>
    <n v="84.14"/>
    <n v="6"/>
    <n v="124.49"/>
  </r>
  <r>
    <d v="2015-06-03T00:00:00"/>
    <x v="2"/>
    <n v="6"/>
    <x v="5"/>
    <x v="0"/>
    <x v="7"/>
    <x v="2"/>
    <x v="6"/>
    <s v="Bretford CR4500 Series Table"/>
    <n v="142.83000000000001"/>
    <n v="8"/>
    <n v="135.77000000000001"/>
  </r>
  <r>
    <d v="2015-06-03T00:00:00"/>
    <x v="2"/>
    <n v="6"/>
    <x v="5"/>
    <x v="4"/>
    <x v="5"/>
    <x v="2"/>
    <x v="3"/>
    <s v="Hon Deluxe Fabric Upholstered Stacking Chairs"/>
    <n v="56.68"/>
    <n v="1"/>
    <n v="179.6"/>
  </r>
  <r>
    <d v="2015-06-04T00:00:00"/>
    <x v="2"/>
    <n v="6"/>
    <x v="5"/>
    <x v="8"/>
    <x v="5"/>
    <x v="1"/>
    <x v="6"/>
    <s v="Eldon Expressions Desk Accessories"/>
    <n v="536.16"/>
    <n v="3"/>
    <n v="-87.9"/>
  </r>
  <r>
    <d v="2015-06-04T00:00:00"/>
    <x v="2"/>
    <n v="6"/>
    <x v="5"/>
    <x v="11"/>
    <x v="6"/>
    <x v="2"/>
    <x v="8"/>
    <s v="Self-Adhesive Address Labels"/>
    <n v="1806.52"/>
    <n v="1"/>
    <n v="354.92"/>
  </r>
  <r>
    <d v="2015-06-05T00:00:00"/>
    <x v="2"/>
    <n v="6"/>
    <x v="5"/>
    <x v="9"/>
    <x v="5"/>
    <x v="0"/>
    <x v="3"/>
    <s v="Hon Deluxe Fabric Upholstered Stacking Chairs"/>
    <n v="1977.86"/>
    <n v="3"/>
    <n v="366.96"/>
  </r>
  <r>
    <d v="2015-06-07T00:00:00"/>
    <x v="2"/>
    <n v="6"/>
    <x v="5"/>
    <x v="8"/>
    <x v="4"/>
    <x v="2"/>
    <x v="2"/>
    <s v="Eldon Fold 'N Roll Cart System"/>
    <n v="682.13"/>
    <n v="1"/>
    <n v="100.25"/>
  </r>
  <r>
    <d v="2015-06-10T00:00:00"/>
    <x v="2"/>
    <n v="6"/>
    <x v="5"/>
    <x v="11"/>
    <x v="8"/>
    <x v="1"/>
    <x v="0"/>
    <s v="Cisco SPA 501G IP Phone"/>
    <n v="809.29"/>
    <n v="1"/>
    <n v="-159.72999999999999"/>
  </r>
  <r>
    <d v="2015-06-11T00:00:00"/>
    <x v="2"/>
    <n v="6"/>
    <x v="5"/>
    <x v="6"/>
    <x v="2"/>
    <x v="1"/>
    <x v="4"/>
    <s v="Newell 322"/>
    <n v="138.34"/>
    <n v="4"/>
    <n v="232.61"/>
  </r>
  <r>
    <d v="2015-06-12T00:00:00"/>
    <x v="2"/>
    <n v="6"/>
    <x v="5"/>
    <x v="12"/>
    <x v="2"/>
    <x v="2"/>
    <x v="7"/>
    <s v="Self-Adhesive Address Labels"/>
    <n v="946.31"/>
    <n v="5"/>
    <n v="95.73"/>
  </r>
  <r>
    <d v="2015-06-13T00:00:00"/>
    <x v="2"/>
    <n v="6"/>
    <x v="5"/>
    <x v="9"/>
    <x v="3"/>
    <x v="0"/>
    <x v="4"/>
    <s v="Eldon Fold 'N Roll Cart System"/>
    <n v="1906.61"/>
    <n v="4"/>
    <n v="331.24"/>
  </r>
  <r>
    <d v="2015-06-14T00:00:00"/>
    <x v="2"/>
    <n v="6"/>
    <x v="5"/>
    <x v="8"/>
    <x v="6"/>
    <x v="0"/>
    <x v="6"/>
    <s v="Eldon Expressions Desk Accessories"/>
    <n v="762.16"/>
    <n v="2"/>
    <n v="-87.93"/>
  </r>
  <r>
    <d v="2015-06-15T00:00:00"/>
    <x v="2"/>
    <n v="6"/>
    <x v="5"/>
    <x v="11"/>
    <x v="9"/>
    <x v="1"/>
    <x v="5"/>
    <s v="Bretford CR4500 Series Table"/>
    <n v="1114.97"/>
    <n v="5"/>
    <n v="-37.75"/>
  </r>
  <r>
    <d v="2015-06-16T00:00:00"/>
    <x v="2"/>
    <n v="6"/>
    <x v="5"/>
    <x v="8"/>
    <x v="0"/>
    <x v="2"/>
    <x v="1"/>
    <s v="Self-Adhesive Address Labels"/>
    <n v="216.51"/>
    <n v="5"/>
    <n v="-76.2"/>
  </r>
  <r>
    <d v="2015-06-16T00:00:00"/>
    <x v="2"/>
    <n v="6"/>
    <x v="5"/>
    <x v="2"/>
    <x v="6"/>
    <x v="0"/>
    <x v="7"/>
    <s v="Hon Deluxe Fabric Upholstered Stacking Chairs"/>
    <n v="1543.92"/>
    <n v="2"/>
    <n v="376.12"/>
  </r>
  <r>
    <d v="2015-06-17T00:00:00"/>
    <x v="2"/>
    <n v="6"/>
    <x v="5"/>
    <x v="0"/>
    <x v="7"/>
    <x v="1"/>
    <x v="1"/>
    <s v="Hon Deluxe Fabric Upholstered Stacking Chairs"/>
    <n v="401"/>
    <n v="1"/>
    <n v="16.25"/>
  </r>
  <r>
    <d v="2015-06-17T00:00:00"/>
    <x v="2"/>
    <n v="6"/>
    <x v="5"/>
    <x v="5"/>
    <x v="2"/>
    <x v="2"/>
    <x v="7"/>
    <s v="Fellowes PB200 Comb Binding Machine"/>
    <n v="1326.06"/>
    <n v="9"/>
    <n v="-40.369999999999997"/>
  </r>
  <r>
    <d v="2015-06-18T00:00:00"/>
    <x v="2"/>
    <n v="6"/>
    <x v="5"/>
    <x v="3"/>
    <x v="9"/>
    <x v="2"/>
    <x v="6"/>
    <s v="Eldon Fold 'N Roll Cart System"/>
    <n v="1350.05"/>
    <n v="4"/>
    <n v="99.56"/>
  </r>
  <r>
    <d v="2015-06-19T00:00:00"/>
    <x v="2"/>
    <n v="6"/>
    <x v="5"/>
    <x v="0"/>
    <x v="7"/>
    <x v="0"/>
    <x v="4"/>
    <s v="Eldon Expressions Desk Accessories"/>
    <n v="460.59"/>
    <n v="3"/>
    <n v="-85.82"/>
  </r>
  <r>
    <d v="2015-06-19T00:00:00"/>
    <x v="2"/>
    <n v="6"/>
    <x v="5"/>
    <x v="4"/>
    <x v="9"/>
    <x v="2"/>
    <x v="2"/>
    <s v="Newell 322"/>
    <n v="1279.27"/>
    <n v="1"/>
    <n v="103.4"/>
  </r>
  <r>
    <d v="2015-06-19T00:00:00"/>
    <x v="2"/>
    <n v="6"/>
    <x v="5"/>
    <x v="4"/>
    <x v="1"/>
    <x v="1"/>
    <x v="1"/>
    <s v="Eldon Expressions Desk Accessories"/>
    <n v="75.62"/>
    <n v="6"/>
    <n v="188.16"/>
  </r>
  <r>
    <d v="2015-06-21T00:00:00"/>
    <x v="2"/>
    <n v="6"/>
    <x v="5"/>
    <x v="11"/>
    <x v="7"/>
    <x v="0"/>
    <x v="1"/>
    <s v="Newell 322"/>
    <n v="1357.48"/>
    <n v="7"/>
    <n v="253.52"/>
  </r>
  <r>
    <d v="2015-06-22T00:00:00"/>
    <x v="2"/>
    <n v="6"/>
    <x v="5"/>
    <x v="6"/>
    <x v="2"/>
    <x v="0"/>
    <x v="3"/>
    <s v="Eldon Expressions Desk Accessories"/>
    <n v="1642.72"/>
    <n v="3"/>
    <n v="-124.82"/>
  </r>
  <r>
    <d v="2015-06-24T00:00:00"/>
    <x v="2"/>
    <n v="6"/>
    <x v="5"/>
    <x v="5"/>
    <x v="7"/>
    <x v="1"/>
    <x v="8"/>
    <s v="Eldon Expressions Desk Accessories"/>
    <n v="479.02"/>
    <n v="8"/>
    <n v="116.71"/>
  </r>
  <r>
    <d v="2015-06-25T00:00:00"/>
    <x v="2"/>
    <n v="6"/>
    <x v="5"/>
    <x v="7"/>
    <x v="2"/>
    <x v="0"/>
    <x v="6"/>
    <s v="Self-Adhesive Address Labels"/>
    <n v="1995.05"/>
    <n v="7"/>
    <n v="-109.11"/>
  </r>
  <r>
    <d v="2015-06-28T00:00:00"/>
    <x v="2"/>
    <n v="6"/>
    <x v="5"/>
    <x v="12"/>
    <x v="7"/>
    <x v="2"/>
    <x v="3"/>
    <s v="Bush Somerset Collection Bookcase"/>
    <n v="819.07"/>
    <n v="4"/>
    <n v="200.18"/>
  </r>
  <r>
    <d v="2015-06-29T00:00:00"/>
    <x v="2"/>
    <n v="6"/>
    <x v="5"/>
    <x v="8"/>
    <x v="6"/>
    <x v="2"/>
    <x v="4"/>
    <s v="Eldon Fold 'N Roll Cart System"/>
    <n v="1958.73"/>
    <n v="1"/>
    <n v="51.61"/>
  </r>
  <r>
    <d v="2015-06-30T00:00:00"/>
    <x v="2"/>
    <n v="6"/>
    <x v="5"/>
    <x v="0"/>
    <x v="0"/>
    <x v="0"/>
    <x v="0"/>
    <s v="Newell 322"/>
    <n v="340.74"/>
    <n v="8"/>
    <n v="-71.91"/>
  </r>
  <r>
    <d v="2015-07-01T00:00:00"/>
    <x v="2"/>
    <n v="7"/>
    <x v="6"/>
    <x v="4"/>
    <x v="2"/>
    <x v="0"/>
    <x v="8"/>
    <s v="Bush Somerset Collection Bookcase"/>
    <n v="1886.4"/>
    <n v="6"/>
    <n v="-75.39"/>
  </r>
  <r>
    <d v="2015-07-02T00:00:00"/>
    <x v="2"/>
    <n v="7"/>
    <x v="6"/>
    <x v="4"/>
    <x v="3"/>
    <x v="0"/>
    <x v="7"/>
    <s v="Newell 322"/>
    <n v="1256.23"/>
    <n v="2"/>
    <n v="-152.77000000000001"/>
  </r>
  <r>
    <d v="2015-07-03T00:00:00"/>
    <x v="2"/>
    <n v="7"/>
    <x v="6"/>
    <x v="4"/>
    <x v="1"/>
    <x v="1"/>
    <x v="4"/>
    <s v="Belkin 6 Outlet Surge"/>
    <n v="1038.3"/>
    <n v="2"/>
    <n v="-139.65"/>
  </r>
  <r>
    <d v="2015-07-04T00:00:00"/>
    <x v="2"/>
    <n v="7"/>
    <x v="6"/>
    <x v="11"/>
    <x v="8"/>
    <x v="1"/>
    <x v="3"/>
    <s v="Cisco SPA 501G IP Phone"/>
    <n v="225.17"/>
    <n v="8"/>
    <n v="180.74"/>
  </r>
  <r>
    <d v="2015-07-07T00:00:00"/>
    <x v="2"/>
    <n v="7"/>
    <x v="6"/>
    <x v="10"/>
    <x v="6"/>
    <x v="2"/>
    <x v="2"/>
    <s v="Cisco SPA 501G IP Phone"/>
    <n v="1952.4"/>
    <n v="1"/>
    <n v="-76.22"/>
  </r>
  <r>
    <d v="2015-07-08T00:00:00"/>
    <x v="2"/>
    <n v="7"/>
    <x v="6"/>
    <x v="8"/>
    <x v="9"/>
    <x v="1"/>
    <x v="8"/>
    <s v="Newell 322"/>
    <n v="664.55"/>
    <n v="4"/>
    <n v="-75.760000000000005"/>
  </r>
  <r>
    <d v="2015-07-08T00:00:00"/>
    <x v="2"/>
    <n v="7"/>
    <x v="6"/>
    <x v="10"/>
    <x v="7"/>
    <x v="0"/>
    <x v="7"/>
    <s v="Eldon Fold 'N Roll Cart System"/>
    <n v="1658.26"/>
    <n v="6"/>
    <n v="192.14"/>
  </r>
  <r>
    <d v="2015-07-09T00:00:00"/>
    <x v="2"/>
    <n v="7"/>
    <x v="6"/>
    <x v="2"/>
    <x v="1"/>
    <x v="1"/>
    <x v="5"/>
    <s v="Eldon Fold 'N Roll Cart System"/>
    <n v="1166.92"/>
    <n v="8"/>
    <n v="144.35"/>
  </r>
  <r>
    <d v="2015-07-09T00:00:00"/>
    <x v="2"/>
    <n v="7"/>
    <x v="6"/>
    <x v="2"/>
    <x v="9"/>
    <x v="2"/>
    <x v="0"/>
    <s v="Newell 322"/>
    <n v="177.7"/>
    <n v="9"/>
    <n v="154.82"/>
  </r>
  <r>
    <d v="2015-07-10T00:00:00"/>
    <x v="2"/>
    <n v="7"/>
    <x v="6"/>
    <x v="8"/>
    <x v="1"/>
    <x v="1"/>
    <x v="3"/>
    <s v="Bush Somerset Collection Bookcase"/>
    <n v="1818.87"/>
    <n v="3"/>
    <n v="350.87"/>
  </r>
  <r>
    <d v="2015-07-10T00:00:00"/>
    <x v="2"/>
    <n v="7"/>
    <x v="6"/>
    <x v="3"/>
    <x v="7"/>
    <x v="1"/>
    <x v="4"/>
    <s v="Eldon Fold 'N Roll Cart System"/>
    <n v="1129.68"/>
    <n v="8"/>
    <n v="56.79"/>
  </r>
  <r>
    <d v="2015-07-10T00:00:00"/>
    <x v="2"/>
    <n v="7"/>
    <x v="6"/>
    <x v="9"/>
    <x v="3"/>
    <x v="1"/>
    <x v="3"/>
    <s v="Eldon Expressions Desk Accessories"/>
    <n v="1804.66"/>
    <n v="2"/>
    <n v="339.07"/>
  </r>
  <r>
    <d v="2015-07-10T00:00:00"/>
    <x v="2"/>
    <n v="7"/>
    <x v="6"/>
    <x v="11"/>
    <x v="8"/>
    <x v="2"/>
    <x v="0"/>
    <s v="Self-Adhesive Address Labels"/>
    <n v="1545.89"/>
    <n v="6"/>
    <n v="13.78"/>
  </r>
  <r>
    <d v="2015-07-11T00:00:00"/>
    <x v="2"/>
    <n v="7"/>
    <x v="6"/>
    <x v="3"/>
    <x v="6"/>
    <x v="2"/>
    <x v="0"/>
    <s v="Eldon Expressions Desk Accessories"/>
    <n v="1031.01"/>
    <n v="4"/>
    <n v="332.06"/>
  </r>
  <r>
    <d v="2015-07-12T00:00:00"/>
    <x v="2"/>
    <n v="7"/>
    <x v="6"/>
    <x v="7"/>
    <x v="1"/>
    <x v="0"/>
    <x v="5"/>
    <s v="Fellowes PB200 Comb Binding Machine"/>
    <n v="1347.75"/>
    <n v="7"/>
    <n v="362.84"/>
  </r>
  <r>
    <d v="2015-07-14T00:00:00"/>
    <x v="2"/>
    <n v="7"/>
    <x v="6"/>
    <x v="11"/>
    <x v="3"/>
    <x v="2"/>
    <x v="1"/>
    <s v="Self-Adhesive Address Labels"/>
    <n v="369.5"/>
    <n v="1"/>
    <n v="18.440000000000001"/>
  </r>
  <r>
    <d v="2015-07-14T00:00:00"/>
    <x v="2"/>
    <n v="7"/>
    <x v="6"/>
    <x v="10"/>
    <x v="3"/>
    <x v="1"/>
    <x v="0"/>
    <s v="Bush Somerset Collection Bookcase"/>
    <n v="1582.91"/>
    <n v="3"/>
    <n v="145.08000000000001"/>
  </r>
  <r>
    <d v="2015-07-15T00:00:00"/>
    <x v="2"/>
    <n v="7"/>
    <x v="6"/>
    <x v="6"/>
    <x v="0"/>
    <x v="0"/>
    <x v="6"/>
    <s v="Bush Somerset Collection Bookcase"/>
    <n v="1953.2"/>
    <n v="9"/>
    <n v="95.35"/>
  </r>
  <r>
    <d v="2015-07-17T00:00:00"/>
    <x v="2"/>
    <n v="7"/>
    <x v="6"/>
    <x v="3"/>
    <x v="2"/>
    <x v="2"/>
    <x v="3"/>
    <s v="Self-Adhesive Address Labels"/>
    <n v="1422.51"/>
    <n v="3"/>
    <n v="137"/>
  </r>
  <r>
    <d v="2015-07-18T00:00:00"/>
    <x v="2"/>
    <n v="7"/>
    <x v="6"/>
    <x v="2"/>
    <x v="0"/>
    <x v="0"/>
    <x v="3"/>
    <s v="Cisco SPA 501G IP Phone"/>
    <n v="1034.71"/>
    <n v="3"/>
    <n v="200.42"/>
  </r>
  <r>
    <d v="2015-07-18T00:00:00"/>
    <x v="2"/>
    <n v="7"/>
    <x v="6"/>
    <x v="12"/>
    <x v="1"/>
    <x v="0"/>
    <x v="3"/>
    <s v="Eldon Expressions Desk Accessories"/>
    <n v="944.18"/>
    <n v="9"/>
    <n v="340.88"/>
  </r>
  <r>
    <d v="2015-07-18T00:00:00"/>
    <x v="2"/>
    <n v="7"/>
    <x v="6"/>
    <x v="6"/>
    <x v="2"/>
    <x v="0"/>
    <x v="5"/>
    <s v="Newell 322"/>
    <n v="1099.75"/>
    <n v="1"/>
    <n v="390.51"/>
  </r>
  <r>
    <d v="2015-07-19T00:00:00"/>
    <x v="2"/>
    <n v="7"/>
    <x v="6"/>
    <x v="7"/>
    <x v="5"/>
    <x v="1"/>
    <x v="1"/>
    <s v="Cisco SPA 501G IP Phone"/>
    <n v="788.99"/>
    <n v="7"/>
    <n v="93.79"/>
  </r>
  <r>
    <d v="2015-07-23T00:00:00"/>
    <x v="2"/>
    <n v="7"/>
    <x v="6"/>
    <x v="6"/>
    <x v="1"/>
    <x v="0"/>
    <x v="1"/>
    <s v="Eldon Fold 'N Roll Cart System"/>
    <n v="1443.44"/>
    <n v="1"/>
    <n v="-95.33"/>
  </r>
  <r>
    <d v="2015-07-23T00:00:00"/>
    <x v="2"/>
    <n v="7"/>
    <x v="6"/>
    <x v="3"/>
    <x v="0"/>
    <x v="1"/>
    <x v="6"/>
    <s v="Cisco SPA 501G IP Phone"/>
    <n v="524.58000000000004"/>
    <n v="4"/>
    <n v="-90.9"/>
  </r>
  <r>
    <d v="2015-07-23T00:00:00"/>
    <x v="2"/>
    <n v="7"/>
    <x v="6"/>
    <x v="8"/>
    <x v="6"/>
    <x v="0"/>
    <x v="6"/>
    <s v="Eldon Fold 'N Roll Cart System"/>
    <n v="1644.01"/>
    <n v="2"/>
    <n v="249.85"/>
  </r>
  <r>
    <d v="2015-07-24T00:00:00"/>
    <x v="2"/>
    <n v="7"/>
    <x v="6"/>
    <x v="0"/>
    <x v="7"/>
    <x v="0"/>
    <x v="2"/>
    <s v="Hon Deluxe Fabric Upholstered Stacking Chairs"/>
    <n v="599.73"/>
    <n v="3"/>
    <n v="-108.14"/>
  </r>
  <r>
    <d v="2015-07-24T00:00:00"/>
    <x v="2"/>
    <n v="7"/>
    <x v="6"/>
    <x v="1"/>
    <x v="6"/>
    <x v="1"/>
    <x v="6"/>
    <s v="Eldon Fold 'N Roll Cart System"/>
    <n v="251.96"/>
    <n v="8"/>
    <n v="292.77"/>
  </r>
  <r>
    <d v="2015-07-25T00:00:00"/>
    <x v="2"/>
    <n v="7"/>
    <x v="6"/>
    <x v="7"/>
    <x v="2"/>
    <x v="1"/>
    <x v="4"/>
    <s v="Eldon Expressions Desk Accessories"/>
    <n v="263.72000000000003"/>
    <n v="6"/>
    <n v="-160.84"/>
  </r>
  <r>
    <d v="2015-07-25T00:00:00"/>
    <x v="2"/>
    <n v="7"/>
    <x v="6"/>
    <x v="12"/>
    <x v="8"/>
    <x v="0"/>
    <x v="6"/>
    <s v="Eldon Expressions Desk Accessories"/>
    <n v="1251.6500000000001"/>
    <n v="5"/>
    <n v="256.41000000000003"/>
  </r>
  <r>
    <d v="2015-07-25T00:00:00"/>
    <x v="2"/>
    <n v="7"/>
    <x v="6"/>
    <x v="3"/>
    <x v="5"/>
    <x v="1"/>
    <x v="3"/>
    <s v="Bretford CR4500 Series Table"/>
    <n v="151.30000000000001"/>
    <n v="7"/>
    <n v="298.83"/>
  </r>
  <r>
    <d v="2015-07-26T00:00:00"/>
    <x v="2"/>
    <n v="7"/>
    <x v="6"/>
    <x v="11"/>
    <x v="9"/>
    <x v="1"/>
    <x v="7"/>
    <s v="Hon Deluxe Fabric Upholstered Stacking Chairs"/>
    <n v="801.21"/>
    <n v="6"/>
    <n v="113.37"/>
  </r>
  <r>
    <d v="2015-07-26T00:00:00"/>
    <x v="2"/>
    <n v="7"/>
    <x v="6"/>
    <x v="9"/>
    <x v="1"/>
    <x v="2"/>
    <x v="5"/>
    <s v="Bush Somerset Collection Bookcase"/>
    <n v="447.57"/>
    <n v="3"/>
    <n v="-136.04"/>
  </r>
  <r>
    <d v="2015-07-28T00:00:00"/>
    <x v="2"/>
    <n v="7"/>
    <x v="6"/>
    <x v="11"/>
    <x v="3"/>
    <x v="2"/>
    <x v="6"/>
    <s v="Eldon Fold 'N Roll Cart System"/>
    <n v="465.94"/>
    <n v="3"/>
    <n v="360.49"/>
  </r>
  <r>
    <d v="2015-07-28T00:00:00"/>
    <x v="2"/>
    <n v="7"/>
    <x v="6"/>
    <x v="7"/>
    <x v="7"/>
    <x v="0"/>
    <x v="6"/>
    <s v="Fellowes PB200 Comb Binding Machine"/>
    <n v="917.33"/>
    <n v="8"/>
    <n v="-111.85"/>
  </r>
  <r>
    <d v="2015-07-28T00:00:00"/>
    <x v="2"/>
    <n v="7"/>
    <x v="6"/>
    <x v="8"/>
    <x v="2"/>
    <x v="0"/>
    <x v="4"/>
    <s v="Fellowes PB200 Comb Binding Machine"/>
    <n v="1823.4"/>
    <n v="4"/>
    <n v="-45.22"/>
  </r>
  <r>
    <d v="2015-07-29T00:00:00"/>
    <x v="2"/>
    <n v="7"/>
    <x v="6"/>
    <x v="11"/>
    <x v="8"/>
    <x v="0"/>
    <x v="8"/>
    <s v="Bretford CR4500 Series Table"/>
    <n v="1953.06"/>
    <n v="1"/>
    <n v="164.39"/>
  </r>
  <r>
    <d v="2015-08-02T00:00:00"/>
    <x v="2"/>
    <n v="8"/>
    <x v="7"/>
    <x v="11"/>
    <x v="6"/>
    <x v="1"/>
    <x v="5"/>
    <s v="Newell 322"/>
    <n v="965.67"/>
    <n v="1"/>
    <n v="-104.5"/>
  </r>
  <r>
    <d v="2015-08-04T00:00:00"/>
    <x v="2"/>
    <n v="8"/>
    <x v="7"/>
    <x v="5"/>
    <x v="9"/>
    <x v="0"/>
    <x v="1"/>
    <s v="Belkin 6 Outlet Surge"/>
    <n v="1370.56"/>
    <n v="9"/>
    <n v="322.5"/>
  </r>
  <r>
    <d v="2015-08-05T00:00:00"/>
    <x v="2"/>
    <n v="8"/>
    <x v="7"/>
    <x v="3"/>
    <x v="0"/>
    <x v="1"/>
    <x v="7"/>
    <s v="Cisco SPA 501G IP Phone"/>
    <n v="1835.52"/>
    <n v="7"/>
    <n v="-47.35"/>
  </r>
  <r>
    <d v="2015-08-05T00:00:00"/>
    <x v="2"/>
    <n v="8"/>
    <x v="7"/>
    <x v="4"/>
    <x v="0"/>
    <x v="1"/>
    <x v="6"/>
    <s v="Fellowes PB200 Comb Binding Machine"/>
    <n v="528.19000000000005"/>
    <n v="3"/>
    <n v="209.55"/>
  </r>
  <r>
    <d v="2015-08-06T00:00:00"/>
    <x v="2"/>
    <n v="8"/>
    <x v="7"/>
    <x v="9"/>
    <x v="2"/>
    <x v="2"/>
    <x v="7"/>
    <s v="Eldon Fold 'N Roll Cart System"/>
    <n v="1170.17"/>
    <n v="1"/>
    <n v="1.62"/>
  </r>
  <r>
    <d v="2015-08-06T00:00:00"/>
    <x v="2"/>
    <n v="8"/>
    <x v="7"/>
    <x v="4"/>
    <x v="7"/>
    <x v="1"/>
    <x v="0"/>
    <s v="Eldon Expressions Desk Accessories"/>
    <n v="825.6"/>
    <n v="6"/>
    <n v="290.48"/>
  </r>
  <r>
    <d v="2015-08-07T00:00:00"/>
    <x v="2"/>
    <n v="8"/>
    <x v="7"/>
    <x v="1"/>
    <x v="8"/>
    <x v="0"/>
    <x v="6"/>
    <s v="Newell 322"/>
    <n v="1720.86"/>
    <n v="9"/>
    <n v="149.18"/>
  </r>
  <r>
    <d v="2015-08-09T00:00:00"/>
    <x v="2"/>
    <n v="8"/>
    <x v="7"/>
    <x v="1"/>
    <x v="3"/>
    <x v="0"/>
    <x v="0"/>
    <s v="Self-Adhesive Address Labels"/>
    <n v="1129.8"/>
    <n v="5"/>
    <n v="310.35000000000002"/>
  </r>
  <r>
    <d v="2015-08-10T00:00:00"/>
    <x v="2"/>
    <n v="8"/>
    <x v="7"/>
    <x v="1"/>
    <x v="6"/>
    <x v="0"/>
    <x v="0"/>
    <s v="Bush Somerset Collection Bookcase"/>
    <n v="784.64"/>
    <n v="6"/>
    <n v="-134.77000000000001"/>
  </r>
  <r>
    <d v="2015-08-10T00:00:00"/>
    <x v="2"/>
    <n v="8"/>
    <x v="7"/>
    <x v="4"/>
    <x v="3"/>
    <x v="2"/>
    <x v="6"/>
    <s v="Belkin 6 Outlet Surge"/>
    <n v="1527.68"/>
    <n v="4"/>
    <n v="103.9"/>
  </r>
  <r>
    <d v="2015-08-10T00:00:00"/>
    <x v="2"/>
    <n v="8"/>
    <x v="7"/>
    <x v="12"/>
    <x v="8"/>
    <x v="2"/>
    <x v="6"/>
    <s v="Bretford CR4500 Series Table"/>
    <n v="1412.13"/>
    <n v="4"/>
    <n v="3.09"/>
  </r>
  <r>
    <d v="2015-08-12T00:00:00"/>
    <x v="2"/>
    <n v="8"/>
    <x v="7"/>
    <x v="4"/>
    <x v="3"/>
    <x v="0"/>
    <x v="0"/>
    <s v="Self-Adhesive Address Labels"/>
    <n v="644.21"/>
    <n v="2"/>
    <n v="306.64999999999998"/>
  </r>
  <r>
    <d v="2015-08-13T00:00:00"/>
    <x v="2"/>
    <n v="8"/>
    <x v="7"/>
    <x v="5"/>
    <x v="9"/>
    <x v="1"/>
    <x v="8"/>
    <s v="Belkin 6 Outlet Surge"/>
    <n v="758.32"/>
    <n v="4"/>
    <n v="-188.34"/>
  </r>
  <r>
    <d v="2015-08-13T00:00:00"/>
    <x v="2"/>
    <n v="8"/>
    <x v="7"/>
    <x v="10"/>
    <x v="7"/>
    <x v="1"/>
    <x v="7"/>
    <s v="Self-Adhesive Address Labels"/>
    <n v="1039.1300000000001"/>
    <n v="7"/>
    <n v="-72.069999999999993"/>
  </r>
  <r>
    <d v="2015-08-13T00:00:00"/>
    <x v="2"/>
    <n v="8"/>
    <x v="7"/>
    <x v="4"/>
    <x v="4"/>
    <x v="2"/>
    <x v="1"/>
    <s v="Self-Adhesive Address Labels"/>
    <n v="471.26"/>
    <n v="1"/>
    <n v="-72.19"/>
  </r>
  <r>
    <d v="2015-08-14T00:00:00"/>
    <x v="2"/>
    <n v="8"/>
    <x v="7"/>
    <x v="10"/>
    <x v="6"/>
    <x v="2"/>
    <x v="2"/>
    <s v="Fellowes PB200 Comb Binding Machine"/>
    <n v="1449.93"/>
    <n v="5"/>
    <n v="-78.84"/>
  </r>
  <r>
    <d v="2015-08-14T00:00:00"/>
    <x v="2"/>
    <n v="8"/>
    <x v="7"/>
    <x v="11"/>
    <x v="9"/>
    <x v="0"/>
    <x v="4"/>
    <s v="Fellowes PB200 Comb Binding Machine"/>
    <n v="1710.69"/>
    <n v="3"/>
    <n v="323.45"/>
  </r>
  <r>
    <d v="2015-08-15T00:00:00"/>
    <x v="2"/>
    <n v="8"/>
    <x v="7"/>
    <x v="3"/>
    <x v="3"/>
    <x v="0"/>
    <x v="6"/>
    <s v="Bretford CR4500 Series Table"/>
    <n v="1719.67"/>
    <n v="2"/>
    <n v="-79.81"/>
  </r>
  <r>
    <d v="2015-08-15T00:00:00"/>
    <x v="2"/>
    <n v="8"/>
    <x v="7"/>
    <x v="12"/>
    <x v="4"/>
    <x v="1"/>
    <x v="7"/>
    <s v="Eldon Fold 'N Roll Cart System"/>
    <n v="863.16"/>
    <n v="3"/>
    <n v="14.94"/>
  </r>
  <r>
    <d v="2015-08-15T00:00:00"/>
    <x v="2"/>
    <n v="8"/>
    <x v="7"/>
    <x v="2"/>
    <x v="3"/>
    <x v="0"/>
    <x v="4"/>
    <s v="Eldon Expressions Desk Accessories"/>
    <n v="746.94"/>
    <n v="5"/>
    <n v="130.54"/>
  </r>
  <r>
    <d v="2015-08-16T00:00:00"/>
    <x v="2"/>
    <n v="8"/>
    <x v="7"/>
    <x v="2"/>
    <x v="2"/>
    <x v="0"/>
    <x v="0"/>
    <s v="Eldon Fold 'N Roll Cart System"/>
    <n v="718.38"/>
    <n v="1"/>
    <n v="109.74"/>
  </r>
  <r>
    <d v="2015-08-16T00:00:00"/>
    <x v="2"/>
    <n v="8"/>
    <x v="7"/>
    <x v="8"/>
    <x v="7"/>
    <x v="1"/>
    <x v="5"/>
    <s v="Self-Adhesive Address Labels"/>
    <n v="360.42"/>
    <n v="8"/>
    <n v="-143.62"/>
  </r>
  <r>
    <d v="2015-08-16T00:00:00"/>
    <x v="2"/>
    <n v="8"/>
    <x v="7"/>
    <x v="1"/>
    <x v="7"/>
    <x v="2"/>
    <x v="6"/>
    <s v="Fellowes PB200 Comb Binding Machine"/>
    <n v="1086.96"/>
    <n v="3"/>
    <n v="128.35"/>
  </r>
  <r>
    <d v="2015-08-16T00:00:00"/>
    <x v="2"/>
    <n v="8"/>
    <x v="7"/>
    <x v="10"/>
    <x v="5"/>
    <x v="2"/>
    <x v="2"/>
    <s v="Eldon Fold 'N Roll Cart System"/>
    <n v="461.73"/>
    <n v="6"/>
    <n v="-79.55"/>
  </r>
  <r>
    <d v="2015-08-16T00:00:00"/>
    <x v="2"/>
    <n v="8"/>
    <x v="7"/>
    <x v="1"/>
    <x v="4"/>
    <x v="2"/>
    <x v="1"/>
    <s v="Fellowes PB200 Comb Binding Machine"/>
    <n v="661.48"/>
    <n v="1"/>
    <n v="275.62"/>
  </r>
  <r>
    <d v="2015-08-16T00:00:00"/>
    <x v="2"/>
    <n v="8"/>
    <x v="7"/>
    <x v="3"/>
    <x v="7"/>
    <x v="1"/>
    <x v="3"/>
    <s v="Cisco SPA 501G IP Phone"/>
    <n v="102.69"/>
    <n v="1"/>
    <n v="307.47000000000003"/>
  </r>
  <r>
    <d v="2015-08-17T00:00:00"/>
    <x v="2"/>
    <n v="8"/>
    <x v="7"/>
    <x v="3"/>
    <x v="1"/>
    <x v="2"/>
    <x v="8"/>
    <s v="Cisco SPA 501G IP Phone"/>
    <n v="111.2"/>
    <n v="5"/>
    <n v="30.58"/>
  </r>
  <r>
    <d v="2015-08-18T00:00:00"/>
    <x v="2"/>
    <n v="8"/>
    <x v="7"/>
    <x v="11"/>
    <x v="1"/>
    <x v="2"/>
    <x v="8"/>
    <s v="Newell 322"/>
    <n v="1407.31"/>
    <n v="5"/>
    <n v="139.38"/>
  </r>
  <r>
    <d v="2015-08-19T00:00:00"/>
    <x v="2"/>
    <n v="8"/>
    <x v="7"/>
    <x v="2"/>
    <x v="5"/>
    <x v="1"/>
    <x v="0"/>
    <s v="Eldon Expressions Desk Accessories"/>
    <n v="1151.26"/>
    <n v="6"/>
    <n v="31.01"/>
  </r>
  <r>
    <d v="2015-08-20T00:00:00"/>
    <x v="2"/>
    <n v="8"/>
    <x v="7"/>
    <x v="7"/>
    <x v="5"/>
    <x v="2"/>
    <x v="0"/>
    <s v="Cisco SPA 501G IP Phone"/>
    <n v="827.98"/>
    <n v="3"/>
    <n v="149.19"/>
  </r>
  <r>
    <d v="2015-08-22T00:00:00"/>
    <x v="2"/>
    <n v="8"/>
    <x v="7"/>
    <x v="9"/>
    <x v="2"/>
    <x v="0"/>
    <x v="1"/>
    <s v="Fellowes PB200 Comb Binding Machine"/>
    <n v="953.1"/>
    <n v="5"/>
    <n v="164.61"/>
  </r>
  <r>
    <d v="2015-08-25T00:00:00"/>
    <x v="2"/>
    <n v="8"/>
    <x v="7"/>
    <x v="11"/>
    <x v="1"/>
    <x v="1"/>
    <x v="1"/>
    <s v="Fellowes PB200 Comb Binding Machine"/>
    <n v="860.61"/>
    <n v="1"/>
    <n v="268.60000000000002"/>
  </r>
  <r>
    <d v="2015-08-26T00:00:00"/>
    <x v="2"/>
    <n v="8"/>
    <x v="7"/>
    <x v="5"/>
    <x v="0"/>
    <x v="2"/>
    <x v="0"/>
    <s v="Eldon Expressions Desk Accessories"/>
    <n v="222.77"/>
    <n v="6"/>
    <n v="239.26"/>
  </r>
  <r>
    <d v="2015-08-27T00:00:00"/>
    <x v="2"/>
    <n v="8"/>
    <x v="7"/>
    <x v="7"/>
    <x v="8"/>
    <x v="2"/>
    <x v="6"/>
    <s v="Belkin 6 Outlet Surge"/>
    <n v="38.799999999999997"/>
    <n v="7"/>
    <n v="-36.19"/>
  </r>
  <r>
    <d v="2015-08-28T00:00:00"/>
    <x v="2"/>
    <n v="8"/>
    <x v="7"/>
    <x v="7"/>
    <x v="9"/>
    <x v="0"/>
    <x v="8"/>
    <s v="Cisco SPA 501G IP Phone"/>
    <n v="1729.17"/>
    <n v="4"/>
    <n v="-180.76"/>
  </r>
  <r>
    <d v="2015-08-29T00:00:00"/>
    <x v="2"/>
    <n v="8"/>
    <x v="7"/>
    <x v="5"/>
    <x v="9"/>
    <x v="0"/>
    <x v="2"/>
    <s v="Newell 322"/>
    <n v="1893.07"/>
    <n v="9"/>
    <n v="-63.37"/>
  </r>
  <r>
    <d v="2015-08-30T00:00:00"/>
    <x v="2"/>
    <n v="8"/>
    <x v="7"/>
    <x v="0"/>
    <x v="8"/>
    <x v="1"/>
    <x v="7"/>
    <s v="Newell 322"/>
    <n v="555.09"/>
    <n v="3"/>
    <n v="173.03"/>
  </r>
  <r>
    <d v="2015-08-30T00:00:00"/>
    <x v="2"/>
    <n v="8"/>
    <x v="7"/>
    <x v="7"/>
    <x v="2"/>
    <x v="0"/>
    <x v="1"/>
    <s v="Self-Adhesive Address Labels"/>
    <n v="1397.21"/>
    <n v="3"/>
    <n v="-31.72"/>
  </r>
  <r>
    <d v="2015-08-31T00:00:00"/>
    <x v="2"/>
    <n v="8"/>
    <x v="7"/>
    <x v="0"/>
    <x v="6"/>
    <x v="2"/>
    <x v="3"/>
    <s v="Hon Deluxe Fabric Upholstered Stacking Chairs"/>
    <n v="1261.1600000000001"/>
    <n v="2"/>
    <n v="-68.95"/>
  </r>
  <r>
    <d v="2015-09-03T00:00:00"/>
    <x v="2"/>
    <n v="9"/>
    <x v="8"/>
    <x v="5"/>
    <x v="0"/>
    <x v="0"/>
    <x v="8"/>
    <s v="Fellowes PB200 Comb Binding Machine"/>
    <n v="1451.6"/>
    <n v="4"/>
    <n v="304.01"/>
  </r>
  <r>
    <d v="2015-09-03T00:00:00"/>
    <x v="2"/>
    <n v="9"/>
    <x v="8"/>
    <x v="1"/>
    <x v="7"/>
    <x v="0"/>
    <x v="5"/>
    <s v="Eldon Fold 'N Roll Cart System"/>
    <n v="273.10000000000002"/>
    <n v="2"/>
    <n v="149.63"/>
  </r>
  <r>
    <d v="2015-09-05T00:00:00"/>
    <x v="2"/>
    <n v="9"/>
    <x v="8"/>
    <x v="3"/>
    <x v="6"/>
    <x v="0"/>
    <x v="1"/>
    <s v="Self-Adhesive Address Labels"/>
    <n v="500.91"/>
    <n v="8"/>
    <n v="285.16000000000003"/>
  </r>
  <r>
    <d v="2015-09-08T00:00:00"/>
    <x v="2"/>
    <n v="9"/>
    <x v="8"/>
    <x v="5"/>
    <x v="6"/>
    <x v="2"/>
    <x v="7"/>
    <s v="Bush Somerset Collection Bookcase"/>
    <n v="1206.1500000000001"/>
    <n v="7"/>
    <n v="-140.07"/>
  </r>
  <r>
    <d v="2015-09-08T00:00:00"/>
    <x v="2"/>
    <n v="9"/>
    <x v="8"/>
    <x v="1"/>
    <x v="4"/>
    <x v="1"/>
    <x v="1"/>
    <s v="Eldon Fold 'N Roll Cart System"/>
    <n v="1629.89"/>
    <n v="9"/>
    <n v="239.14"/>
  </r>
  <r>
    <d v="2015-09-08T00:00:00"/>
    <x v="2"/>
    <n v="9"/>
    <x v="8"/>
    <x v="5"/>
    <x v="3"/>
    <x v="0"/>
    <x v="6"/>
    <s v="Eldon Fold 'N Roll Cart System"/>
    <n v="27.92"/>
    <n v="2"/>
    <n v="373.17"/>
  </r>
  <r>
    <d v="2015-09-09T00:00:00"/>
    <x v="2"/>
    <n v="9"/>
    <x v="8"/>
    <x v="10"/>
    <x v="3"/>
    <x v="0"/>
    <x v="1"/>
    <s v="Bretford CR4500 Series Table"/>
    <n v="557.21"/>
    <n v="2"/>
    <n v="358.51"/>
  </r>
  <r>
    <d v="2015-09-09T00:00:00"/>
    <x v="2"/>
    <n v="9"/>
    <x v="8"/>
    <x v="6"/>
    <x v="9"/>
    <x v="0"/>
    <x v="5"/>
    <s v="Eldon Fold 'N Roll Cart System"/>
    <n v="189.73"/>
    <n v="7"/>
    <n v="-174.24"/>
  </r>
  <r>
    <d v="2015-09-10T00:00:00"/>
    <x v="2"/>
    <n v="9"/>
    <x v="8"/>
    <x v="0"/>
    <x v="4"/>
    <x v="2"/>
    <x v="0"/>
    <s v="Bush Somerset Collection Bookcase"/>
    <n v="1695.1"/>
    <n v="5"/>
    <n v="64.08"/>
  </r>
  <r>
    <d v="2015-09-10T00:00:00"/>
    <x v="2"/>
    <n v="9"/>
    <x v="8"/>
    <x v="6"/>
    <x v="4"/>
    <x v="0"/>
    <x v="2"/>
    <s v="Cisco SPA 501G IP Phone"/>
    <n v="1499.31"/>
    <n v="2"/>
    <n v="24.5"/>
  </r>
  <r>
    <d v="2015-09-11T00:00:00"/>
    <x v="2"/>
    <n v="9"/>
    <x v="8"/>
    <x v="11"/>
    <x v="8"/>
    <x v="0"/>
    <x v="7"/>
    <s v="Hon Deluxe Fabric Upholstered Stacking Chairs"/>
    <n v="1602.11"/>
    <n v="8"/>
    <n v="-74.97"/>
  </r>
  <r>
    <d v="2015-09-11T00:00:00"/>
    <x v="2"/>
    <n v="9"/>
    <x v="8"/>
    <x v="9"/>
    <x v="6"/>
    <x v="1"/>
    <x v="1"/>
    <s v="Self-Adhesive Address Labels"/>
    <n v="1542.48"/>
    <n v="7"/>
    <n v="319.08999999999997"/>
  </r>
  <r>
    <d v="2015-09-12T00:00:00"/>
    <x v="2"/>
    <n v="9"/>
    <x v="8"/>
    <x v="12"/>
    <x v="7"/>
    <x v="2"/>
    <x v="5"/>
    <s v="Fellowes PB200 Comb Binding Machine"/>
    <n v="331.22"/>
    <n v="4"/>
    <n v="160.51"/>
  </r>
  <r>
    <d v="2015-09-13T00:00:00"/>
    <x v="2"/>
    <n v="9"/>
    <x v="8"/>
    <x v="9"/>
    <x v="7"/>
    <x v="0"/>
    <x v="3"/>
    <s v="Cisco SPA 501G IP Phone"/>
    <n v="1785.3"/>
    <n v="5"/>
    <n v="-175.85"/>
  </r>
  <r>
    <d v="2015-09-15T00:00:00"/>
    <x v="2"/>
    <n v="9"/>
    <x v="8"/>
    <x v="6"/>
    <x v="4"/>
    <x v="0"/>
    <x v="5"/>
    <s v="Eldon Expressions Desk Accessories"/>
    <n v="1088.3399999999999"/>
    <n v="7"/>
    <n v="38.049999999999997"/>
  </r>
  <r>
    <d v="2015-09-15T00:00:00"/>
    <x v="2"/>
    <n v="9"/>
    <x v="8"/>
    <x v="9"/>
    <x v="8"/>
    <x v="1"/>
    <x v="1"/>
    <s v="Self-Adhesive Address Labels"/>
    <n v="437.89"/>
    <n v="4"/>
    <n v="177.08"/>
  </r>
  <r>
    <d v="2015-09-17T00:00:00"/>
    <x v="2"/>
    <n v="9"/>
    <x v="8"/>
    <x v="2"/>
    <x v="4"/>
    <x v="2"/>
    <x v="8"/>
    <s v="Cisco SPA 501G IP Phone"/>
    <n v="782.02"/>
    <n v="8"/>
    <n v="-78.63"/>
  </r>
  <r>
    <d v="2015-09-17T00:00:00"/>
    <x v="2"/>
    <n v="9"/>
    <x v="8"/>
    <x v="3"/>
    <x v="6"/>
    <x v="2"/>
    <x v="5"/>
    <s v="Cisco SPA 501G IP Phone"/>
    <n v="461.53"/>
    <n v="2"/>
    <n v="244.92"/>
  </r>
  <r>
    <d v="2015-09-17T00:00:00"/>
    <x v="2"/>
    <n v="9"/>
    <x v="8"/>
    <x v="6"/>
    <x v="7"/>
    <x v="2"/>
    <x v="5"/>
    <s v="Belkin 6 Outlet Surge"/>
    <n v="1428.93"/>
    <n v="3"/>
    <n v="31.53"/>
  </r>
  <r>
    <d v="2015-09-19T00:00:00"/>
    <x v="2"/>
    <n v="9"/>
    <x v="8"/>
    <x v="1"/>
    <x v="5"/>
    <x v="1"/>
    <x v="1"/>
    <s v="Bretford CR4500 Series Table"/>
    <n v="810.72"/>
    <n v="4"/>
    <n v="-103.49"/>
  </r>
  <r>
    <d v="2015-09-20T00:00:00"/>
    <x v="2"/>
    <n v="9"/>
    <x v="8"/>
    <x v="10"/>
    <x v="4"/>
    <x v="0"/>
    <x v="6"/>
    <s v="Bush Somerset Collection Bookcase"/>
    <n v="1791.18"/>
    <n v="2"/>
    <n v="-39"/>
  </r>
  <r>
    <d v="2015-09-20T00:00:00"/>
    <x v="2"/>
    <n v="9"/>
    <x v="8"/>
    <x v="8"/>
    <x v="5"/>
    <x v="1"/>
    <x v="3"/>
    <s v="Eldon Expressions Desk Accessories"/>
    <n v="1202.5899999999999"/>
    <n v="9"/>
    <n v="-118.18"/>
  </r>
  <r>
    <d v="2015-09-20T00:00:00"/>
    <x v="2"/>
    <n v="9"/>
    <x v="8"/>
    <x v="6"/>
    <x v="4"/>
    <x v="0"/>
    <x v="4"/>
    <s v="Fellowes PB200 Comb Binding Machine"/>
    <n v="1732.74"/>
    <n v="7"/>
    <n v="-183.89"/>
  </r>
  <r>
    <d v="2015-09-20T00:00:00"/>
    <x v="2"/>
    <n v="9"/>
    <x v="8"/>
    <x v="3"/>
    <x v="8"/>
    <x v="1"/>
    <x v="6"/>
    <s v="Bush Somerset Collection Bookcase"/>
    <n v="750.27"/>
    <n v="2"/>
    <n v="-103.82"/>
  </r>
  <r>
    <d v="2015-09-22T00:00:00"/>
    <x v="2"/>
    <n v="9"/>
    <x v="8"/>
    <x v="8"/>
    <x v="4"/>
    <x v="1"/>
    <x v="4"/>
    <s v="Eldon Expressions Desk Accessories"/>
    <n v="1116.55"/>
    <n v="5"/>
    <n v="219.25"/>
  </r>
  <r>
    <d v="2015-09-22T00:00:00"/>
    <x v="2"/>
    <n v="9"/>
    <x v="8"/>
    <x v="10"/>
    <x v="6"/>
    <x v="1"/>
    <x v="8"/>
    <s v="Eldon Fold 'N Roll Cart System"/>
    <n v="1073.04"/>
    <n v="8"/>
    <n v="-116.32"/>
  </r>
  <r>
    <d v="2015-09-23T00:00:00"/>
    <x v="2"/>
    <n v="9"/>
    <x v="8"/>
    <x v="3"/>
    <x v="2"/>
    <x v="1"/>
    <x v="4"/>
    <s v="Bush Somerset Collection Bookcase"/>
    <n v="1548.02"/>
    <n v="1"/>
    <n v="199.28"/>
  </r>
  <r>
    <d v="2015-09-24T00:00:00"/>
    <x v="2"/>
    <n v="9"/>
    <x v="8"/>
    <x v="9"/>
    <x v="9"/>
    <x v="2"/>
    <x v="5"/>
    <s v="Belkin 6 Outlet Surge"/>
    <n v="567.47"/>
    <n v="2"/>
    <n v="207.84"/>
  </r>
  <r>
    <d v="2015-09-24T00:00:00"/>
    <x v="2"/>
    <n v="9"/>
    <x v="8"/>
    <x v="0"/>
    <x v="7"/>
    <x v="2"/>
    <x v="8"/>
    <s v="Bretford CR4500 Series Table"/>
    <n v="1873.34"/>
    <n v="7"/>
    <n v="238.28"/>
  </r>
  <r>
    <d v="2015-09-24T00:00:00"/>
    <x v="2"/>
    <n v="9"/>
    <x v="8"/>
    <x v="2"/>
    <x v="6"/>
    <x v="0"/>
    <x v="4"/>
    <s v="Belkin 6 Outlet Surge"/>
    <n v="1788.36"/>
    <n v="7"/>
    <n v="386.6"/>
  </r>
  <r>
    <d v="2015-09-25T00:00:00"/>
    <x v="2"/>
    <n v="9"/>
    <x v="8"/>
    <x v="9"/>
    <x v="5"/>
    <x v="2"/>
    <x v="4"/>
    <s v="Bretford CR4500 Series Table"/>
    <n v="209.73"/>
    <n v="9"/>
    <n v="-124.46"/>
  </r>
  <r>
    <d v="2015-09-30T00:00:00"/>
    <x v="2"/>
    <n v="9"/>
    <x v="8"/>
    <x v="10"/>
    <x v="2"/>
    <x v="0"/>
    <x v="4"/>
    <s v="Self-Adhesive Address Labels"/>
    <n v="1145.42"/>
    <n v="7"/>
    <n v="-170.12"/>
  </r>
  <r>
    <d v="2015-09-30T00:00:00"/>
    <x v="2"/>
    <n v="9"/>
    <x v="8"/>
    <x v="8"/>
    <x v="3"/>
    <x v="2"/>
    <x v="8"/>
    <s v="Cisco SPA 501G IP Phone"/>
    <n v="288.44"/>
    <n v="2"/>
    <n v="-14.13"/>
  </r>
  <r>
    <d v="2015-10-01T00:00:00"/>
    <x v="2"/>
    <n v="10"/>
    <x v="9"/>
    <x v="11"/>
    <x v="6"/>
    <x v="1"/>
    <x v="5"/>
    <s v="Eldon Fold 'N Roll Cart System"/>
    <n v="1007.23"/>
    <n v="9"/>
    <n v="330.03"/>
  </r>
  <r>
    <d v="2015-10-01T00:00:00"/>
    <x v="2"/>
    <n v="10"/>
    <x v="9"/>
    <x v="5"/>
    <x v="7"/>
    <x v="2"/>
    <x v="4"/>
    <s v="Self-Adhesive Address Labels"/>
    <n v="490"/>
    <n v="5"/>
    <n v="251.81"/>
  </r>
  <r>
    <d v="2015-10-04T00:00:00"/>
    <x v="2"/>
    <n v="10"/>
    <x v="9"/>
    <x v="1"/>
    <x v="1"/>
    <x v="2"/>
    <x v="1"/>
    <s v="Hon Deluxe Fabric Upholstered Stacking Chairs"/>
    <n v="1521.38"/>
    <n v="2"/>
    <n v="336.27"/>
  </r>
  <r>
    <d v="2015-10-04T00:00:00"/>
    <x v="2"/>
    <n v="10"/>
    <x v="9"/>
    <x v="0"/>
    <x v="7"/>
    <x v="2"/>
    <x v="7"/>
    <s v="Belkin 6 Outlet Surge"/>
    <n v="1007.78"/>
    <n v="5"/>
    <n v="214.48"/>
  </r>
  <r>
    <d v="2015-10-05T00:00:00"/>
    <x v="2"/>
    <n v="10"/>
    <x v="9"/>
    <x v="10"/>
    <x v="6"/>
    <x v="1"/>
    <x v="8"/>
    <s v="Hon Deluxe Fabric Upholstered Stacking Chairs"/>
    <n v="1944.47"/>
    <n v="8"/>
    <n v="299.74"/>
  </r>
  <r>
    <d v="2015-10-06T00:00:00"/>
    <x v="2"/>
    <n v="10"/>
    <x v="9"/>
    <x v="5"/>
    <x v="8"/>
    <x v="1"/>
    <x v="0"/>
    <s v="Hon Deluxe Fabric Upholstered Stacking Chairs"/>
    <n v="1441.75"/>
    <n v="5"/>
    <n v="19.43"/>
  </r>
  <r>
    <d v="2015-10-06T00:00:00"/>
    <x v="2"/>
    <n v="10"/>
    <x v="9"/>
    <x v="8"/>
    <x v="9"/>
    <x v="2"/>
    <x v="2"/>
    <s v="Self-Adhesive Address Labels"/>
    <n v="1393.68"/>
    <n v="5"/>
    <n v="-58.5"/>
  </r>
  <r>
    <d v="2015-10-06T00:00:00"/>
    <x v="2"/>
    <n v="10"/>
    <x v="9"/>
    <x v="4"/>
    <x v="3"/>
    <x v="2"/>
    <x v="5"/>
    <s v="Bush Somerset Collection Bookcase"/>
    <n v="529.79"/>
    <n v="2"/>
    <n v="-173.39"/>
  </r>
  <r>
    <d v="2015-10-07T00:00:00"/>
    <x v="2"/>
    <n v="10"/>
    <x v="9"/>
    <x v="7"/>
    <x v="9"/>
    <x v="0"/>
    <x v="2"/>
    <s v="Fellowes PB200 Comb Binding Machine"/>
    <n v="1570.28"/>
    <n v="2"/>
    <n v="-175.88"/>
  </r>
  <r>
    <d v="2015-10-09T00:00:00"/>
    <x v="2"/>
    <n v="10"/>
    <x v="9"/>
    <x v="6"/>
    <x v="5"/>
    <x v="0"/>
    <x v="2"/>
    <s v="Cisco SPA 501G IP Phone"/>
    <n v="57.2"/>
    <n v="1"/>
    <n v="125.97"/>
  </r>
  <r>
    <d v="2015-10-10T00:00:00"/>
    <x v="2"/>
    <n v="10"/>
    <x v="9"/>
    <x v="11"/>
    <x v="3"/>
    <x v="2"/>
    <x v="7"/>
    <s v="Cisco SPA 501G IP Phone"/>
    <n v="1452.49"/>
    <n v="9"/>
    <n v="313.19"/>
  </r>
  <r>
    <d v="2015-10-10T00:00:00"/>
    <x v="2"/>
    <n v="10"/>
    <x v="9"/>
    <x v="8"/>
    <x v="7"/>
    <x v="1"/>
    <x v="5"/>
    <s v="Bush Somerset Collection Bookcase"/>
    <n v="676.12"/>
    <n v="3"/>
    <n v="287.19"/>
  </r>
  <r>
    <d v="2015-10-11T00:00:00"/>
    <x v="2"/>
    <n v="10"/>
    <x v="9"/>
    <x v="6"/>
    <x v="3"/>
    <x v="0"/>
    <x v="4"/>
    <s v="Fellowes PB200 Comb Binding Machine"/>
    <n v="533.13"/>
    <n v="1"/>
    <n v="192.68"/>
  </r>
  <r>
    <d v="2015-10-12T00:00:00"/>
    <x v="2"/>
    <n v="10"/>
    <x v="9"/>
    <x v="6"/>
    <x v="4"/>
    <x v="0"/>
    <x v="3"/>
    <s v="Bush Somerset Collection Bookcase"/>
    <n v="618.1"/>
    <n v="6"/>
    <n v="214.81"/>
  </r>
  <r>
    <d v="2015-10-13T00:00:00"/>
    <x v="2"/>
    <n v="10"/>
    <x v="9"/>
    <x v="7"/>
    <x v="9"/>
    <x v="2"/>
    <x v="7"/>
    <s v="Bush Somerset Collection Bookcase"/>
    <n v="286.52999999999997"/>
    <n v="6"/>
    <n v="28.95"/>
  </r>
  <r>
    <d v="2015-10-13T00:00:00"/>
    <x v="2"/>
    <n v="10"/>
    <x v="9"/>
    <x v="12"/>
    <x v="0"/>
    <x v="0"/>
    <x v="8"/>
    <s v="Eldon Fold 'N Roll Cart System"/>
    <n v="1550.13"/>
    <n v="7"/>
    <n v="-198.44"/>
  </r>
  <r>
    <d v="2015-10-14T00:00:00"/>
    <x v="2"/>
    <n v="10"/>
    <x v="9"/>
    <x v="9"/>
    <x v="4"/>
    <x v="0"/>
    <x v="4"/>
    <s v="Eldon Expressions Desk Accessories"/>
    <n v="996.68"/>
    <n v="5"/>
    <n v="-188.22"/>
  </r>
  <r>
    <d v="2015-10-14T00:00:00"/>
    <x v="2"/>
    <n v="10"/>
    <x v="9"/>
    <x v="3"/>
    <x v="0"/>
    <x v="2"/>
    <x v="3"/>
    <s v="Eldon Expressions Desk Accessories"/>
    <n v="176.96"/>
    <n v="4"/>
    <n v="-83.82"/>
  </r>
  <r>
    <d v="2015-10-15T00:00:00"/>
    <x v="2"/>
    <n v="10"/>
    <x v="9"/>
    <x v="2"/>
    <x v="0"/>
    <x v="0"/>
    <x v="7"/>
    <s v="Cisco SPA 501G IP Phone"/>
    <n v="263.08999999999997"/>
    <n v="9"/>
    <n v="-156.87"/>
  </r>
  <r>
    <d v="2015-10-17T00:00:00"/>
    <x v="2"/>
    <n v="10"/>
    <x v="9"/>
    <x v="7"/>
    <x v="7"/>
    <x v="0"/>
    <x v="3"/>
    <s v="Newell 322"/>
    <n v="584.98"/>
    <n v="1"/>
    <n v="192.21"/>
  </r>
  <r>
    <d v="2015-10-17T00:00:00"/>
    <x v="2"/>
    <n v="10"/>
    <x v="9"/>
    <x v="1"/>
    <x v="7"/>
    <x v="1"/>
    <x v="7"/>
    <s v="Bush Somerset Collection Bookcase"/>
    <n v="353.49"/>
    <n v="2"/>
    <n v="-168.8"/>
  </r>
  <r>
    <d v="2015-10-17T00:00:00"/>
    <x v="2"/>
    <n v="10"/>
    <x v="9"/>
    <x v="12"/>
    <x v="8"/>
    <x v="1"/>
    <x v="0"/>
    <s v="Bretford CR4500 Series Table"/>
    <n v="396.36"/>
    <n v="6"/>
    <n v="383.74"/>
  </r>
  <r>
    <d v="2015-10-18T00:00:00"/>
    <x v="2"/>
    <n v="10"/>
    <x v="9"/>
    <x v="10"/>
    <x v="8"/>
    <x v="2"/>
    <x v="3"/>
    <s v="Cisco SPA 501G IP Phone"/>
    <n v="1393.51"/>
    <n v="6"/>
    <n v="159.57"/>
  </r>
  <r>
    <d v="2015-10-18T00:00:00"/>
    <x v="2"/>
    <n v="10"/>
    <x v="9"/>
    <x v="11"/>
    <x v="8"/>
    <x v="1"/>
    <x v="6"/>
    <s v="Cisco SPA 501G IP Phone"/>
    <n v="576.86"/>
    <n v="1"/>
    <n v="320.07"/>
  </r>
  <r>
    <d v="2015-10-18T00:00:00"/>
    <x v="2"/>
    <n v="10"/>
    <x v="9"/>
    <x v="3"/>
    <x v="3"/>
    <x v="2"/>
    <x v="0"/>
    <s v="Bretford CR4500 Series Table"/>
    <n v="696.13"/>
    <n v="4"/>
    <n v="247.35"/>
  </r>
  <r>
    <d v="2015-10-19T00:00:00"/>
    <x v="2"/>
    <n v="10"/>
    <x v="9"/>
    <x v="2"/>
    <x v="9"/>
    <x v="1"/>
    <x v="3"/>
    <s v="Fellowes PB200 Comb Binding Machine"/>
    <n v="1586"/>
    <n v="3"/>
    <n v="-58.55"/>
  </r>
  <r>
    <d v="2015-10-19T00:00:00"/>
    <x v="2"/>
    <n v="10"/>
    <x v="9"/>
    <x v="9"/>
    <x v="9"/>
    <x v="0"/>
    <x v="4"/>
    <s v="Eldon Fold 'N Roll Cart System"/>
    <n v="1714.01"/>
    <n v="3"/>
    <n v="6.71"/>
  </r>
  <r>
    <d v="2015-10-20T00:00:00"/>
    <x v="2"/>
    <n v="10"/>
    <x v="9"/>
    <x v="9"/>
    <x v="1"/>
    <x v="2"/>
    <x v="3"/>
    <s v="Belkin 6 Outlet Surge"/>
    <n v="1956.76"/>
    <n v="3"/>
    <n v="194.04"/>
  </r>
  <r>
    <d v="2015-10-22T00:00:00"/>
    <x v="2"/>
    <n v="10"/>
    <x v="9"/>
    <x v="2"/>
    <x v="1"/>
    <x v="2"/>
    <x v="8"/>
    <s v="Bush Somerset Collection Bookcase"/>
    <n v="186.16"/>
    <n v="8"/>
    <n v="391.86"/>
  </r>
  <r>
    <d v="2015-10-22T00:00:00"/>
    <x v="2"/>
    <n v="10"/>
    <x v="9"/>
    <x v="7"/>
    <x v="2"/>
    <x v="0"/>
    <x v="8"/>
    <s v="Self-Adhesive Address Labels"/>
    <n v="1366.85"/>
    <n v="7"/>
    <n v="210.02"/>
  </r>
  <r>
    <d v="2015-10-23T00:00:00"/>
    <x v="2"/>
    <n v="10"/>
    <x v="9"/>
    <x v="10"/>
    <x v="1"/>
    <x v="2"/>
    <x v="2"/>
    <s v="Cisco SPA 501G IP Phone"/>
    <n v="1610.18"/>
    <n v="5"/>
    <n v="-5.45"/>
  </r>
  <r>
    <d v="2015-10-24T00:00:00"/>
    <x v="2"/>
    <n v="10"/>
    <x v="9"/>
    <x v="8"/>
    <x v="3"/>
    <x v="1"/>
    <x v="8"/>
    <s v="Cisco SPA 501G IP Phone"/>
    <n v="1071.8399999999999"/>
    <n v="1"/>
    <n v="167.36"/>
  </r>
  <r>
    <d v="2015-10-26T00:00:00"/>
    <x v="2"/>
    <n v="10"/>
    <x v="9"/>
    <x v="6"/>
    <x v="9"/>
    <x v="1"/>
    <x v="1"/>
    <s v="Fellowes PB200 Comb Binding Machine"/>
    <n v="1866.9"/>
    <n v="5"/>
    <n v="266.39999999999998"/>
  </r>
  <r>
    <d v="2015-10-26T00:00:00"/>
    <x v="2"/>
    <n v="10"/>
    <x v="9"/>
    <x v="3"/>
    <x v="4"/>
    <x v="2"/>
    <x v="0"/>
    <s v="Fellowes PB200 Comb Binding Machine"/>
    <n v="97.37"/>
    <n v="3"/>
    <n v="191.25"/>
  </r>
  <r>
    <d v="2015-10-26T00:00:00"/>
    <x v="2"/>
    <n v="10"/>
    <x v="9"/>
    <x v="4"/>
    <x v="0"/>
    <x v="0"/>
    <x v="8"/>
    <s v="Belkin 6 Outlet Surge"/>
    <n v="451.08"/>
    <n v="9"/>
    <n v="362.87"/>
  </r>
  <r>
    <d v="2015-10-28T00:00:00"/>
    <x v="2"/>
    <n v="10"/>
    <x v="9"/>
    <x v="8"/>
    <x v="2"/>
    <x v="1"/>
    <x v="7"/>
    <s v="Bush Somerset Collection Bookcase"/>
    <n v="1972.9"/>
    <n v="3"/>
    <n v="231.01"/>
  </r>
  <r>
    <d v="2015-10-29T00:00:00"/>
    <x v="2"/>
    <n v="10"/>
    <x v="9"/>
    <x v="4"/>
    <x v="7"/>
    <x v="2"/>
    <x v="7"/>
    <s v="Eldon Expressions Desk Accessories"/>
    <n v="1384.5"/>
    <n v="1"/>
    <n v="-2.5299999999999998"/>
  </r>
  <r>
    <d v="2015-10-29T00:00:00"/>
    <x v="2"/>
    <n v="10"/>
    <x v="9"/>
    <x v="5"/>
    <x v="6"/>
    <x v="0"/>
    <x v="7"/>
    <s v="Newell 322"/>
    <n v="956.3"/>
    <n v="2"/>
    <n v="-155.36000000000001"/>
  </r>
  <r>
    <d v="2015-10-30T00:00:00"/>
    <x v="2"/>
    <n v="10"/>
    <x v="9"/>
    <x v="6"/>
    <x v="7"/>
    <x v="2"/>
    <x v="3"/>
    <s v="Newell 322"/>
    <n v="1434.97"/>
    <n v="3"/>
    <n v="-148.71"/>
  </r>
  <r>
    <d v="2015-11-02T00:00:00"/>
    <x v="2"/>
    <n v="11"/>
    <x v="10"/>
    <x v="8"/>
    <x v="6"/>
    <x v="2"/>
    <x v="4"/>
    <s v="Cisco SPA 501G IP Phone"/>
    <n v="1469.39"/>
    <n v="1"/>
    <n v="-140.66"/>
  </r>
  <r>
    <d v="2015-11-05T00:00:00"/>
    <x v="2"/>
    <n v="11"/>
    <x v="10"/>
    <x v="0"/>
    <x v="7"/>
    <x v="1"/>
    <x v="5"/>
    <s v="Bretford CR4500 Series Table"/>
    <n v="257.45"/>
    <n v="6"/>
    <n v="145.86000000000001"/>
  </r>
  <r>
    <d v="2015-11-05T00:00:00"/>
    <x v="2"/>
    <n v="11"/>
    <x v="10"/>
    <x v="0"/>
    <x v="1"/>
    <x v="1"/>
    <x v="8"/>
    <s v="Self-Adhesive Address Labels"/>
    <n v="1276.3800000000001"/>
    <n v="2"/>
    <n v="264.36"/>
  </r>
  <r>
    <d v="2015-11-05T00:00:00"/>
    <x v="2"/>
    <n v="11"/>
    <x v="10"/>
    <x v="1"/>
    <x v="5"/>
    <x v="0"/>
    <x v="8"/>
    <s v="Fellowes PB200 Comb Binding Machine"/>
    <n v="26.36"/>
    <n v="6"/>
    <n v="291.60000000000002"/>
  </r>
  <r>
    <d v="2015-11-06T00:00:00"/>
    <x v="2"/>
    <n v="11"/>
    <x v="10"/>
    <x v="0"/>
    <x v="9"/>
    <x v="0"/>
    <x v="8"/>
    <s v="Belkin 6 Outlet Surge"/>
    <n v="337.82"/>
    <n v="9"/>
    <n v="117.75"/>
  </r>
  <r>
    <d v="2015-11-06T00:00:00"/>
    <x v="2"/>
    <n v="11"/>
    <x v="10"/>
    <x v="12"/>
    <x v="2"/>
    <x v="2"/>
    <x v="2"/>
    <s v="Fellowes PB200 Comb Binding Machine"/>
    <n v="1874.85"/>
    <n v="9"/>
    <n v="55.25"/>
  </r>
  <r>
    <d v="2015-11-07T00:00:00"/>
    <x v="2"/>
    <n v="11"/>
    <x v="10"/>
    <x v="0"/>
    <x v="8"/>
    <x v="2"/>
    <x v="1"/>
    <s v="Newell 322"/>
    <n v="153.97"/>
    <n v="7"/>
    <n v="80.38"/>
  </r>
  <r>
    <d v="2015-11-07T00:00:00"/>
    <x v="2"/>
    <n v="11"/>
    <x v="10"/>
    <x v="8"/>
    <x v="7"/>
    <x v="0"/>
    <x v="7"/>
    <s v="Newell 322"/>
    <n v="1816.7"/>
    <n v="4"/>
    <n v="169.82"/>
  </r>
  <r>
    <d v="2015-11-07T00:00:00"/>
    <x v="2"/>
    <n v="11"/>
    <x v="10"/>
    <x v="11"/>
    <x v="1"/>
    <x v="2"/>
    <x v="6"/>
    <s v="Fellowes PB200 Comb Binding Machine"/>
    <n v="50.27"/>
    <n v="1"/>
    <n v="46.43"/>
  </r>
  <r>
    <d v="2015-11-09T00:00:00"/>
    <x v="2"/>
    <n v="11"/>
    <x v="10"/>
    <x v="9"/>
    <x v="1"/>
    <x v="0"/>
    <x v="2"/>
    <s v="Fellowes PB200 Comb Binding Machine"/>
    <n v="54.91"/>
    <n v="7"/>
    <n v="255.05"/>
  </r>
  <r>
    <d v="2015-11-09T00:00:00"/>
    <x v="2"/>
    <n v="11"/>
    <x v="10"/>
    <x v="3"/>
    <x v="3"/>
    <x v="1"/>
    <x v="1"/>
    <s v="Bretford CR4500 Series Table"/>
    <n v="1262.42"/>
    <n v="9"/>
    <n v="2.86"/>
  </r>
  <r>
    <d v="2015-11-10T00:00:00"/>
    <x v="2"/>
    <n v="11"/>
    <x v="10"/>
    <x v="11"/>
    <x v="3"/>
    <x v="0"/>
    <x v="1"/>
    <s v="Bretford CR4500 Series Table"/>
    <n v="157.58000000000001"/>
    <n v="3"/>
    <n v="-152.76"/>
  </r>
  <r>
    <d v="2015-11-11T00:00:00"/>
    <x v="2"/>
    <n v="11"/>
    <x v="10"/>
    <x v="9"/>
    <x v="0"/>
    <x v="1"/>
    <x v="4"/>
    <s v="Eldon Fold 'N Roll Cart System"/>
    <n v="183.01"/>
    <n v="6"/>
    <n v="76.63"/>
  </r>
  <r>
    <d v="2015-11-12T00:00:00"/>
    <x v="2"/>
    <n v="11"/>
    <x v="10"/>
    <x v="4"/>
    <x v="3"/>
    <x v="1"/>
    <x v="8"/>
    <s v="Eldon Expressions Desk Accessories"/>
    <n v="1570.53"/>
    <n v="6"/>
    <n v="75.06"/>
  </r>
  <r>
    <d v="2015-11-13T00:00:00"/>
    <x v="2"/>
    <n v="11"/>
    <x v="10"/>
    <x v="7"/>
    <x v="2"/>
    <x v="0"/>
    <x v="5"/>
    <s v="Hon Deluxe Fabric Upholstered Stacking Chairs"/>
    <n v="405.84"/>
    <n v="4"/>
    <n v="22.53"/>
  </r>
  <r>
    <d v="2015-11-13T00:00:00"/>
    <x v="2"/>
    <n v="11"/>
    <x v="10"/>
    <x v="10"/>
    <x v="2"/>
    <x v="0"/>
    <x v="6"/>
    <s v="Cisco SPA 501G IP Phone"/>
    <n v="360.55"/>
    <n v="5"/>
    <n v="-30.71"/>
  </r>
  <r>
    <d v="2015-11-15T00:00:00"/>
    <x v="2"/>
    <n v="11"/>
    <x v="10"/>
    <x v="6"/>
    <x v="2"/>
    <x v="0"/>
    <x v="1"/>
    <s v="Bretford CR4500 Series Table"/>
    <n v="1102.68"/>
    <n v="5"/>
    <n v="357.61"/>
  </r>
  <r>
    <d v="2015-11-16T00:00:00"/>
    <x v="2"/>
    <n v="11"/>
    <x v="10"/>
    <x v="11"/>
    <x v="5"/>
    <x v="1"/>
    <x v="5"/>
    <s v="Belkin 6 Outlet Surge"/>
    <n v="1089.29"/>
    <n v="8"/>
    <n v="-121.23"/>
  </r>
  <r>
    <d v="2015-11-16T00:00:00"/>
    <x v="2"/>
    <n v="11"/>
    <x v="10"/>
    <x v="3"/>
    <x v="2"/>
    <x v="0"/>
    <x v="2"/>
    <s v="Belkin 6 Outlet Surge"/>
    <n v="1817.3"/>
    <n v="1"/>
    <n v="278.92"/>
  </r>
  <r>
    <d v="2015-11-18T00:00:00"/>
    <x v="2"/>
    <n v="11"/>
    <x v="10"/>
    <x v="11"/>
    <x v="2"/>
    <x v="1"/>
    <x v="4"/>
    <s v="Eldon Expressions Desk Accessories"/>
    <n v="1758.28"/>
    <n v="3"/>
    <n v="210.63"/>
  </r>
  <r>
    <d v="2015-11-18T00:00:00"/>
    <x v="2"/>
    <n v="11"/>
    <x v="10"/>
    <x v="12"/>
    <x v="7"/>
    <x v="2"/>
    <x v="4"/>
    <s v="Newell 322"/>
    <n v="208.33"/>
    <n v="9"/>
    <n v="-171.39"/>
  </r>
  <r>
    <d v="2015-11-19T00:00:00"/>
    <x v="2"/>
    <n v="11"/>
    <x v="10"/>
    <x v="9"/>
    <x v="0"/>
    <x v="2"/>
    <x v="3"/>
    <s v="Newell 322"/>
    <n v="1411.8"/>
    <n v="6"/>
    <n v="-62.6"/>
  </r>
  <r>
    <d v="2015-11-23T00:00:00"/>
    <x v="2"/>
    <n v="11"/>
    <x v="10"/>
    <x v="12"/>
    <x v="6"/>
    <x v="0"/>
    <x v="6"/>
    <s v="Hon Deluxe Fabric Upholstered Stacking Chairs"/>
    <n v="531.6"/>
    <n v="3"/>
    <n v="34.53"/>
  </r>
  <r>
    <d v="2015-11-23T00:00:00"/>
    <x v="2"/>
    <n v="11"/>
    <x v="10"/>
    <x v="1"/>
    <x v="7"/>
    <x v="2"/>
    <x v="0"/>
    <s v="Bush Somerset Collection Bookcase"/>
    <n v="1774.31"/>
    <n v="7"/>
    <n v="175.21"/>
  </r>
  <r>
    <d v="2015-11-26T00:00:00"/>
    <x v="2"/>
    <n v="11"/>
    <x v="10"/>
    <x v="11"/>
    <x v="6"/>
    <x v="2"/>
    <x v="7"/>
    <s v="Belkin 6 Outlet Surge"/>
    <n v="233.88"/>
    <n v="8"/>
    <n v="-29.41"/>
  </r>
  <r>
    <d v="2015-11-27T00:00:00"/>
    <x v="2"/>
    <n v="11"/>
    <x v="10"/>
    <x v="9"/>
    <x v="1"/>
    <x v="1"/>
    <x v="6"/>
    <s v="Self-Adhesive Address Labels"/>
    <n v="1744.38"/>
    <n v="9"/>
    <n v="-189.01"/>
  </r>
  <r>
    <d v="2015-11-27T00:00:00"/>
    <x v="2"/>
    <n v="11"/>
    <x v="10"/>
    <x v="3"/>
    <x v="4"/>
    <x v="0"/>
    <x v="4"/>
    <s v="Eldon Fold 'N Roll Cart System"/>
    <n v="658.52"/>
    <n v="6"/>
    <n v="344.36"/>
  </r>
  <r>
    <d v="2015-11-29T00:00:00"/>
    <x v="2"/>
    <n v="11"/>
    <x v="10"/>
    <x v="1"/>
    <x v="6"/>
    <x v="0"/>
    <x v="0"/>
    <s v="Eldon Expressions Desk Accessories"/>
    <n v="261.01"/>
    <n v="7"/>
    <n v="119.3"/>
  </r>
  <r>
    <d v="2015-11-29T00:00:00"/>
    <x v="2"/>
    <n v="11"/>
    <x v="10"/>
    <x v="5"/>
    <x v="9"/>
    <x v="2"/>
    <x v="4"/>
    <s v="Cisco SPA 501G IP Phone"/>
    <n v="1647.55"/>
    <n v="7"/>
    <n v="38.159999999999997"/>
  </r>
  <r>
    <d v="2015-11-29T00:00:00"/>
    <x v="2"/>
    <n v="11"/>
    <x v="10"/>
    <x v="5"/>
    <x v="8"/>
    <x v="1"/>
    <x v="0"/>
    <s v="Hon Deluxe Fabric Upholstered Stacking Chairs"/>
    <n v="956.65"/>
    <n v="1"/>
    <n v="-182.84"/>
  </r>
  <r>
    <d v="2015-11-29T00:00:00"/>
    <x v="2"/>
    <n v="11"/>
    <x v="10"/>
    <x v="9"/>
    <x v="7"/>
    <x v="2"/>
    <x v="6"/>
    <s v="Eldon Fold 'N Roll Cart System"/>
    <n v="1011.39"/>
    <n v="4"/>
    <n v="-135.59"/>
  </r>
  <r>
    <d v="2015-11-29T00:00:00"/>
    <x v="2"/>
    <n v="11"/>
    <x v="10"/>
    <x v="10"/>
    <x v="0"/>
    <x v="1"/>
    <x v="8"/>
    <s v="Bush Somerset Collection Bookcase"/>
    <n v="1707.44"/>
    <n v="9"/>
    <n v="13.2"/>
  </r>
  <r>
    <d v="2015-11-29T00:00:00"/>
    <x v="2"/>
    <n v="11"/>
    <x v="10"/>
    <x v="1"/>
    <x v="4"/>
    <x v="2"/>
    <x v="0"/>
    <s v="Newell 322"/>
    <n v="1916.92"/>
    <n v="7"/>
    <n v="304.72000000000003"/>
  </r>
  <r>
    <d v="2015-11-30T00:00:00"/>
    <x v="2"/>
    <n v="11"/>
    <x v="10"/>
    <x v="3"/>
    <x v="8"/>
    <x v="1"/>
    <x v="0"/>
    <s v="Belkin 6 Outlet Surge"/>
    <n v="376.24"/>
    <n v="3"/>
    <n v="-113.5"/>
  </r>
  <r>
    <d v="2015-12-01T00:00:00"/>
    <x v="2"/>
    <n v="12"/>
    <x v="11"/>
    <x v="7"/>
    <x v="2"/>
    <x v="1"/>
    <x v="3"/>
    <s v="Fellowes PB200 Comb Binding Machine"/>
    <n v="523.95000000000005"/>
    <n v="5"/>
    <n v="270.57"/>
  </r>
  <r>
    <d v="2015-12-02T00:00:00"/>
    <x v="2"/>
    <n v="12"/>
    <x v="11"/>
    <x v="11"/>
    <x v="5"/>
    <x v="1"/>
    <x v="6"/>
    <s v="Self-Adhesive Address Labels"/>
    <n v="588.38"/>
    <n v="6"/>
    <n v="-10.1"/>
  </r>
  <r>
    <d v="2015-12-02T00:00:00"/>
    <x v="2"/>
    <n v="12"/>
    <x v="11"/>
    <x v="11"/>
    <x v="6"/>
    <x v="1"/>
    <x v="1"/>
    <s v="Hon Deluxe Fabric Upholstered Stacking Chairs"/>
    <n v="657.01"/>
    <n v="1"/>
    <n v="-9.08"/>
  </r>
  <r>
    <d v="2015-12-03T00:00:00"/>
    <x v="2"/>
    <n v="12"/>
    <x v="11"/>
    <x v="8"/>
    <x v="1"/>
    <x v="0"/>
    <x v="5"/>
    <s v="Hon Deluxe Fabric Upholstered Stacking Chairs"/>
    <n v="1533.91"/>
    <n v="7"/>
    <n v="285.88"/>
  </r>
  <r>
    <d v="2015-12-04T00:00:00"/>
    <x v="2"/>
    <n v="12"/>
    <x v="11"/>
    <x v="9"/>
    <x v="7"/>
    <x v="1"/>
    <x v="5"/>
    <s v="Self-Adhesive Address Labels"/>
    <n v="923.73"/>
    <n v="1"/>
    <n v="177.18"/>
  </r>
  <r>
    <d v="2015-12-06T00:00:00"/>
    <x v="2"/>
    <n v="12"/>
    <x v="11"/>
    <x v="2"/>
    <x v="2"/>
    <x v="1"/>
    <x v="3"/>
    <s v="Bretford CR4500 Series Table"/>
    <n v="1437.63"/>
    <n v="2"/>
    <n v="134.09"/>
  </r>
  <r>
    <d v="2015-12-06T00:00:00"/>
    <x v="2"/>
    <n v="12"/>
    <x v="11"/>
    <x v="3"/>
    <x v="5"/>
    <x v="1"/>
    <x v="2"/>
    <s v="Belkin 6 Outlet Surge"/>
    <n v="1271.77"/>
    <n v="3"/>
    <n v="-9.36"/>
  </r>
  <r>
    <d v="2015-12-07T00:00:00"/>
    <x v="2"/>
    <n v="12"/>
    <x v="11"/>
    <x v="2"/>
    <x v="6"/>
    <x v="0"/>
    <x v="0"/>
    <s v="Bush Somerset Collection Bookcase"/>
    <n v="768.39"/>
    <n v="1"/>
    <n v="251.68"/>
  </r>
  <r>
    <d v="2015-12-07T00:00:00"/>
    <x v="2"/>
    <n v="12"/>
    <x v="11"/>
    <x v="9"/>
    <x v="3"/>
    <x v="1"/>
    <x v="5"/>
    <s v="Self-Adhesive Address Labels"/>
    <n v="1148.02"/>
    <n v="5"/>
    <n v="156.11000000000001"/>
  </r>
  <r>
    <d v="2015-12-08T00:00:00"/>
    <x v="2"/>
    <n v="12"/>
    <x v="11"/>
    <x v="0"/>
    <x v="5"/>
    <x v="0"/>
    <x v="0"/>
    <s v="Eldon Expressions Desk Accessories"/>
    <n v="692.66"/>
    <n v="5"/>
    <n v="-146.18"/>
  </r>
  <r>
    <d v="2015-12-09T00:00:00"/>
    <x v="2"/>
    <n v="12"/>
    <x v="11"/>
    <x v="8"/>
    <x v="5"/>
    <x v="2"/>
    <x v="8"/>
    <s v="Hon Deluxe Fabric Upholstered Stacking Chairs"/>
    <n v="655.38"/>
    <n v="1"/>
    <n v="311.87"/>
  </r>
  <r>
    <d v="2015-12-09T00:00:00"/>
    <x v="2"/>
    <n v="12"/>
    <x v="11"/>
    <x v="3"/>
    <x v="6"/>
    <x v="2"/>
    <x v="2"/>
    <s v="Self-Adhesive Address Labels"/>
    <n v="1527.68"/>
    <n v="8"/>
    <n v="350.33"/>
  </r>
  <r>
    <d v="2015-12-11T00:00:00"/>
    <x v="2"/>
    <n v="12"/>
    <x v="11"/>
    <x v="9"/>
    <x v="2"/>
    <x v="1"/>
    <x v="2"/>
    <s v="Bush Somerset Collection Bookcase"/>
    <n v="221.9"/>
    <n v="4"/>
    <n v="-76.03"/>
  </r>
  <r>
    <d v="2015-12-11T00:00:00"/>
    <x v="2"/>
    <n v="12"/>
    <x v="11"/>
    <x v="11"/>
    <x v="2"/>
    <x v="1"/>
    <x v="1"/>
    <s v="Eldon Fold 'N Roll Cart System"/>
    <n v="1871.08"/>
    <n v="7"/>
    <n v="145.75"/>
  </r>
  <r>
    <d v="2015-12-13T00:00:00"/>
    <x v="2"/>
    <n v="12"/>
    <x v="11"/>
    <x v="10"/>
    <x v="4"/>
    <x v="2"/>
    <x v="0"/>
    <s v="Hon Deluxe Fabric Upholstered Stacking Chairs"/>
    <n v="880.19"/>
    <n v="9"/>
    <n v="148.74"/>
  </r>
  <r>
    <d v="2015-12-13T00:00:00"/>
    <x v="2"/>
    <n v="12"/>
    <x v="11"/>
    <x v="0"/>
    <x v="6"/>
    <x v="0"/>
    <x v="3"/>
    <s v="Belkin 6 Outlet Surge"/>
    <n v="1133.99"/>
    <n v="2"/>
    <n v="267.10000000000002"/>
  </r>
  <r>
    <d v="2015-12-13T00:00:00"/>
    <x v="2"/>
    <n v="12"/>
    <x v="11"/>
    <x v="0"/>
    <x v="9"/>
    <x v="1"/>
    <x v="5"/>
    <s v="Hon Deluxe Fabric Upholstered Stacking Chairs"/>
    <n v="1866.36"/>
    <n v="6"/>
    <n v="140.66"/>
  </r>
  <r>
    <d v="2015-12-13T00:00:00"/>
    <x v="2"/>
    <n v="12"/>
    <x v="11"/>
    <x v="7"/>
    <x v="1"/>
    <x v="2"/>
    <x v="5"/>
    <s v="Bush Somerset Collection Bookcase"/>
    <n v="625.87"/>
    <n v="6"/>
    <n v="318.69"/>
  </r>
  <r>
    <d v="2015-12-14T00:00:00"/>
    <x v="2"/>
    <n v="12"/>
    <x v="11"/>
    <x v="11"/>
    <x v="8"/>
    <x v="1"/>
    <x v="2"/>
    <s v="Belkin 6 Outlet Surge"/>
    <n v="1360.31"/>
    <n v="5"/>
    <n v="385.93"/>
  </r>
  <r>
    <d v="2015-12-14T00:00:00"/>
    <x v="2"/>
    <n v="12"/>
    <x v="11"/>
    <x v="11"/>
    <x v="8"/>
    <x v="1"/>
    <x v="3"/>
    <s v="Fellowes PB200 Comb Binding Machine"/>
    <n v="1567.48"/>
    <n v="5"/>
    <n v="341.7"/>
  </r>
  <r>
    <d v="2015-12-14T00:00:00"/>
    <x v="2"/>
    <n v="12"/>
    <x v="11"/>
    <x v="12"/>
    <x v="5"/>
    <x v="0"/>
    <x v="8"/>
    <s v="Cisco SPA 501G IP Phone"/>
    <n v="49.6"/>
    <n v="9"/>
    <n v="242.15"/>
  </r>
  <r>
    <d v="2015-12-16T00:00:00"/>
    <x v="2"/>
    <n v="12"/>
    <x v="11"/>
    <x v="1"/>
    <x v="3"/>
    <x v="0"/>
    <x v="3"/>
    <s v="Newell 322"/>
    <n v="1990.37"/>
    <n v="2"/>
    <n v="-173.17"/>
  </r>
  <r>
    <d v="2015-12-18T00:00:00"/>
    <x v="2"/>
    <n v="12"/>
    <x v="11"/>
    <x v="0"/>
    <x v="0"/>
    <x v="2"/>
    <x v="6"/>
    <s v="Eldon Fold 'N Roll Cart System"/>
    <n v="1856.59"/>
    <n v="9"/>
    <n v="360.95"/>
  </r>
  <r>
    <d v="2015-12-18T00:00:00"/>
    <x v="2"/>
    <n v="12"/>
    <x v="11"/>
    <x v="5"/>
    <x v="2"/>
    <x v="1"/>
    <x v="1"/>
    <s v="Cisco SPA 501G IP Phone"/>
    <n v="1400.28"/>
    <n v="7"/>
    <n v="-58.02"/>
  </r>
  <r>
    <d v="2015-12-18T00:00:00"/>
    <x v="2"/>
    <n v="12"/>
    <x v="11"/>
    <x v="10"/>
    <x v="0"/>
    <x v="0"/>
    <x v="8"/>
    <s v="Bush Somerset Collection Bookcase"/>
    <n v="437.32"/>
    <n v="3"/>
    <n v="-83.22"/>
  </r>
  <r>
    <d v="2015-12-19T00:00:00"/>
    <x v="2"/>
    <n v="12"/>
    <x v="11"/>
    <x v="10"/>
    <x v="7"/>
    <x v="2"/>
    <x v="6"/>
    <s v="Eldon Expressions Desk Accessories"/>
    <n v="633.37"/>
    <n v="2"/>
    <n v="-190.57"/>
  </r>
  <r>
    <d v="2015-12-22T00:00:00"/>
    <x v="2"/>
    <n v="12"/>
    <x v="11"/>
    <x v="8"/>
    <x v="6"/>
    <x v="1"/>
    <x v="8"/>
    <s v="Cisco SPA 501G IP Phone"/>
    <n v="288.73"/>
    <n v="2"/>
    <n v="1.1299999999999999"/>
  </r>
  <r>
    <d v="2015-12-23T00:00:00"/>
    <x v="2"/>
    <n v="12"/>
    <x v="11"/>
    <x v="3"/>
    <x v="1"/>
    <x v="0"/>
    <x v="8"/>
    <s v="Belkin 6 Outlet Surge"/>
    <n v="414.11"/>
    <n v="6"/>
    <n v="-13.45"/>
  </r>
  <r>
    <d v="2015-12-23T00:00:00"/>
    <x v="2"/>
    <n v="12"/>
    <x v="11"/>
    <x v="7"/>
    <x v="5"/>
    <x v="0"/>
    <x v="4"/>
    <s v="Newell 322"/>
    <n v="1699.77"/>
    <n v="7"/>
    <n v="-86.13"/>
  </r>
  <r>
    <d v="2015-12-25T00:00:00"/>
    <x v="2"/>
    <n v="12"/>
    <x v="11"/>
    <x v="2"/>
    <x v="9"/>
    <x v="1"/>
    <x v="2"/>
    <s v="Fellowes PB200 Comb Binding Machine"/>
    <n v="418.68"/>
    <n v="5"/>
    <n v="122.32"/>
  </r>
  <r>
    <d v="2015-12-29T00:00:00"/>
    <x v="2"/>
    <n v="12"/>
    <x v="11"/>
    <x v="9"/>
    <x v="2"/>
    <x v="0"/>
    <x v="5"/>
    <s v="Cisco SPA 501G IP Phone"/>
    <n v="1330.77"/>
    <n v="1"/>
    <n v="-43.76"/>
  </r>
  <r>
    <d v="2015-12-29T00:00:00"/>
    <x v="2"/>
    <n v="12"/>
    <x v="11"/>
    <x v="1"/>
    <x v="6"/>
    <x v="0"/>
    <x v="2"/>
    <s v="Belkin 6 Outlet Surge"/>
    <n v="1059.97"/>
    <n v="9"/>
    <n v="10.77"/>
  </r>
  <r>
    <d v="2015-12-30T00:00:00"/>
    <x v="2"/>
    <n v="12"/>
    <x v="11"/>
    <x v="0"/>
    <x v="8"/>
    <x v="2"/>
    <x v="6"/>
    <s v="Newell 322"/>
    <n v="233.36"/>
    <n v="4"/>
    <n v="3.08"/>
  </r>
  <r>
    <d v="2016-01-01T00:00:00"/>
    <x v="3"/>
    <n v="1"/>
    <x v="0"/>
    <x v="0"/>
    <x v="7"/>
    <x v="2"/>
    <x v="3"/>
    <s v="Newell 322"/>
    <n v="1175.1199999999999"/>
    <n v="1"/>
    <n v="-174.49"/>
  </r>
  <r>
    <d v="2016-01-01T00:00:00"/>
    <x v="3"/>
    <n v="1"/>
    <x v="0"/>
    <x v="6"/>
    <x v="3"/>
    <x v="0"/>
    <x v="5"/>
    <s v="Newell 322"/>
    <n v="1636.35"/>
    <n v="5"/>
    <n v="238.32"/>
  </r>
  <r>
    <d v="2016-01-02T00:00:00"/>
    <x v="3"/>
    <n v="1"/>
    <x v="0"/>
    <x v="9"/>
    <x v="1"/>
    <x v="2"/>
    <x v="2"/>
    <s v="Cisco SPA 501G IP Phone"/>
    <n v="1534.39"/>
    <n v="3"/>
    <n v="381.58"/>
  </r>
  <r>
    <d v="2016-01-03T00:00:00"/>
    <x v="3"/>
    <n v="1"/>
    <x v="0"/>
    <x v="12"/>
    <x v="4"/>
    <x v="2"/>
    <x v="5"/>
    <s v="Belkin 6 Outlet Surge"/>
    <n v="653.16"/>
    <n v="4"/>
    <n v="-70.03"/>
  </r>
  <r>
    <d v="2016-01-04T00:00:00"/>
    <x v="3"/>
    <n v="1"/>
    <x v="0"/>
    <x v="4"/>
    <x v="5"/>
    <x v="0"/>
    <x v="7"/>
    <s v="Cisco SPA 501G IP Phone"/>
    <n v="1710.15"/>
    <n v="9"/>
    <n v="-111.92"/>
  </r>
  <r>
    <d v="2016-01-05T00:00:00"/>
    <x v="3"/>
    <n v="1"/>
    <x v="0"/>
    <x v="11"/>
    <x v="7"/>
    <x v="2"/>
    <x v="5"/>
    <s v="Bush Somerset Collection Bookcase"/>
    <n v="1270.23"/>
    <n v="9"/>
    <n v="59.54"/>
  </r>
  <r>
    <d v="2016-01-07T00:00:00"/>
    <x v="3"/>
    <n v="1"/>
    <x v="0"/>
    <x v="4"/>
    <x v="9"/>
    <x v="0"/>
    <x v="1"/>
    <s v="Bush Somerset Collection Bookcase"/>
    <n v="759.01"/>
    <n v="6"/>
    <n v="260.63"/>
  </r>
  <r>
    <d v="2016-01-07T00:00:00"/>
    <x v="3"/>
    <n v="1"/>
    <x v="0"/>
    <x v="1"/>
    <x v="7"/>
    <x v="1"/>
    <x v="1"/>
    <s v="Fellowes PB200 Comb Binding Machine"/>
    <n v="1972.2"/>
    <n v="4"/>
    <n v="53.4"/>
  </r>
  <r>
    <d v="2016-01-07T00:00:00"/>
    <x v="3"/>
    <n v="1"/>
    <x v="0"/>
    <x v="7"/>
    <x v="9"/>
    <x v="2"/>
    <x v="7"/>
    <s v="Eldon Expressions Desk Accessories"/>
    <n v="1341.47"/>
    <n v="4"/>
    <n v="96.34"/>
  </r>
  <r>
    <d v="2016-01-10T00:00:00"/>
    <x v="3"/>
    <n v="1"/>
    <x v="0"/>
    <x v="10"/>
    <x v="5"/>
    <x v="0"/>
    <x v="8"/>
    <s v="Cisco SPA 501G IP Phone"/>
    <n v="1051.08"/>
    <n v="4"/>
    <n v="349.3"/>
  </r>
  <r>
    <d v="2016-01-10T00:00:00"/>
    <x v="3"/>
    <n v="1"/>
    <x v="0"/>
    <x v="5"/>
    <x v="4"/>
    <x v="0"/>
    <x v="0"/>
    <s v="Bush Somerset Collection Bookcase"/>
    <n v="633.61"/>
    <n v="4"/>
    <n v="251.24"/>
  </r>
  <r>
    <d v="2016-01-10T00:00:00"/>
    <x v="3"/>
    <n v="1"/>
    <x v="0"/>
    <x v="8"/>
    <x v="5"/>
    <x v="1"/>
    <x v="2"/>
    <s v="Belkin 6 Outlet Surge"/>
    <n v="1052.83"/>
    <n v="4"/>
    <n v="156.47999999999999"/>
  </r>
  <r>
    <d v="2016-01-13T00:00:00"/>
    <x v="3"/>
    <n v="1"/>
    <x v="0"/>
    <x v="1"/>
    <x v="4"/>
    <x v="1"/>
    <x v="3"/>
    <s v="Bretford CR4500 Series Table"/>
    <n v="1457.91"/>
    <n v="6"/>
    <n v="369.28"/>
  </r>
  <r>
    <d v="2016-01-14T00:00:00"/>
    <x v="3"/>
    <n v="1"/>
    <x v="0"/>
    <x v="0"/>
    <x v="1"/>
    <x v="1"/>
    <x v="6"/>
    <s v="Eldon Expressions Desk Accessories"/>
    <n v="273"/>
    <n v="4"/>
    <n v="216.44"/>
  </r>
  <r>
    <d v="2016-01-14T00:00:00"/>
    <x v="3"/>
    <n v="1"/>
    <x v="0"/>
    <x v="12"/>
    <x v="0"/>
    <x v="1"/>
    <x v="4"/>
    <s v="Newell 322"/>
    <n v="755.71"/>
    <n v="6"/>
    <n v="281.42"/>
  </r>
  <r>
    <d v="2016-01-15T00:00:00"/>
    <x v="3"/>
    <n v="1"/>
    <x v="0"/>
    <x v="10"/>
    <x v="4"/>
    <x v="0"/>
    <x v="8"/>
    <s v="Belkin 6 Outlet Surge"/>
    <n v="1174.3900000000001"/>
    <n v="4"/>
    <n v="-104.98"/>
  </r>
  <r>
    <d v="2016-01-15T00:00:00"/>
    <x v="3"/>
    <n v="1"/>
    <x v="0"/>
    <x v="4"/>
    <x v="5"/>
    <x v="1"/>
    <x v="3"/>
    <s v="Fellowes PB200 Comb Binding Machine"/>
    <n v="300.57"/>
    <n v="2"/>
    <n v="-43.83"/>
  </r>
  <r>
    <d v="2016-01-15T00:00:00"/>
    <x v="3"/>
    <n v="1"/>
    <x v="0"/>
    <x v="2"/>
    <x v="9"/>
    <x v="0"/>
    <x v="4"/>
    <s v="Eldon Fold 'N Roll Cart System"/>
    <n v="478.59"/>
    <n v="3"/>
    <n v="-20.18"/>
  </r>
  <r>
    <d v="2016-01-17T00:00:00"/>
    <x v="3"/>
    <n v="1"/>
    <x v="0"/>
    <x v="6"/>
    <x v="4"/>
    <x v="0"/>
    <x v="0"/>
    <s v="Newell 322"/>
    <n v="1363.42"/>
    <n v="1"/>
    <n v="124.07"/>
  </r>
  <r>
    <d v="2016-01-18T00:00:00"/>
    <x v="3"/>
    <n v="1"/>
    <x v="0"/>
    <x v="5"/>
    <x v="6"/>
    <x v="0"/>
    <x v="7"/>
    <s v="Bretford CR4500 Series Table"/>
    <n v="979.63"/>
    <n v="6"/>
    <n v="-74.66"/>
  </r>
  <r>
    <d v="2016-01-18T00:00:00"/>
    <x v="3"/>
    <n v="1"/>
    <x v="0"/>
    <x v="1"/>
    <x v="1"/>
    <x v="1"/>
    <x v="8"/>
    <s v="Eldon Expressions Desk Accessories"/>
    <n v="105.46"/>
    <n v="1"/>
    <n v="179.97"/>
  </r>
  <r>
    <d v="2016-01-21T00:00:00"/>
    <x v="3"/>
    <n v="1"/>
    <x v="0"/>
    <x v="2"/>
    <x v="4"/>
    <x v="0"/>
    <x v="8"/>
    <s v="Eldon Fold 'N Roll Cart System"/>
    <n v="1597.91"/>
    <n v="5"/>
    <n v="340.88"/>
  </r>
  <r>
    <d v="2016-01-24T00:00:00"/>
    <x v="3"/>
    <n v="1"/>
    <x v="0"/>
    <x v="7"/>
    <x v="4"/>
    <x v="2"/>
    <x v="5"/>
    <s v="Eldon Expressions Desk Accessories"/>
    <n v="1337.14"/>
    <n v="7"/>
    <n v="-114.28"/>
  </r>
  <r>
    <d v="2016-01-25T00:00:00"/>
    <x v="3"/>
    <n v="1"/>
    <x v="0"/>
    <x v="3"/>
    <x v="4"/>
    <x v="1"/>
    <x v="2"/>
    <s v="Fellowes PB200 Comb Binding Machine"/>
    <n v="906.03"/>
    <n v="1"/>
    <n v="241.11"/>
  </r>
  <r>
    <d v="2016-01-26T00:00:00"/>
    <x v="3"/>
    <n v="1"/>
    <x v="0"/>
    <x v="9"/>
    <x v="1"/>
    <x v="2"/>
    <x v="3"/>
    <s v="Hon Deluxe Fabric Upholstered Stacking Chairs"/>
    <n v="1321.9"/>
    <n v="4"/>
    <n v="-42.49"/>
  </r>
  <r>
    <d v="2016-01-27T00:00:00"/>
    <x v="3"/>
    <n v="1"/>
    <x v="0"/>
    <x v="2"/>
    <x v="5"/>
    <x v="0"/>
    <x v="3"/>
    <s v="Bretford CR4500 Series Table"/>
    <n v="870.22"/>
    <n v="6"/>
    <n v="122.73"/>
  </r>
  <r>
    <d v="2016-01-28T00:00:00"/>
    <x v="3"/>
    <n v="1"/>
    <x v="0"/>
    <x v="2"/>
    <x v="1"/>
    <x v="0"/>
    <x v="4"/>
    <s v="Eldon Fold 'N Roll Cart System"/>
    <n v="1132.96"/>
    <n v="8"/>
    <n v="214.64"/>
  </r>
  <r>
    <d v="2016-01-28T00:00:00"/>
    <x v="3"/>
    <n v="1"/>
    <x v="0"/>
    <x v="8"/>
    <x v="2"/>
    <x v="2"/>
    <x v="0"/>
    <s v="Newell 322"/>
    <n v="941.02"/>
    <n v="2"/>
    <n v="377.64"/>
  </r>
  <r>
    <d v="2016-01-28T00:00:00"/>
    <x v="3"/>
    <n v="1"/>
    <x v="0"/>
    <x v="11"/>
    <x v="3"/>
    <x v="0"/>
    <x v="0"/>
    <s v="Eldon Fold 'N Roll Cart System"/>
    <n v="1748.53"/>
    <n v="9"/>
    <n v="206.75"/>
  </r>
  <r>
    <d v="2016-01-28T00:00:00"/>
    <x v="3"/>
    <n v="1"/>
    <x v="0"/>
    <x v="3"/>
    <x v="4"/>
    <x v="1"/>
    <x v="4"/>
    <s v="Bush Somerset Collection Bookcase"/>
    <n v="1039.75"/>
    <n v="5"/>
    <n v="143.65"/>
  </r>
  <r>
    <d v="2016-01-28T00:00:00"/>
    <x v="3"/>
    <n v="1"/>
    <x v="0"/>
    <x v="2"/>
    <x v="4"/>
    <x v="0"/>
    <x v="7"/>
    <s v="Newell 322"/>
    <n v="779.02"/>
    <n v="2"/>
    <n v="326.01"/>
  </r>
  <r>
    <d v="2016-01-28T00:00:00"/>
    <x v="3"/>
    <n v="1"/>
    <x v="0"/>
    <x v="4"/>
    <x v="9"/>
    <x v="1"/>
    <x v="2"/>
    <s v="Cisco SPA 501G IP Phone"/>
    <n v="436.77"/>
    <n v="4"/>
    <n v="-126.77"/>
  </r>
  <r>
    <d v="2016-01-29T00:00:00"/>
    <x v="3"/>
    <n v="1"/>
    <x v="0"/>
    <x v="9"/>
    <x v="6"/>
    <x v="0"/>
    <x v="8"/>
    <s v="Newell 322"/>
    <n v="1926.11"/>
    <n v="7"/>
    <n v="322.68"/>
  </r>
  <r>
    <d v="2016-01-29T00:00:00"/>
    <x v="3"/>
    <n v="1"/>
    <x v="0"/>
    <x v="2"/>
    <x v="5"/>
    <x v="0"/>
    <x v="4"/>
    <s v="Cisco SPA 501G IP Phone"/>
    <n v="1752.68"/>
    <n v="3"/>
    <n v="146.44999999999999"/>
  </r>
  <r>
    <d v="2016-02-01T00:00:00"/>
    <x v="3"/>
    <n v="2"/>
    <x v="1"/>
    <x v="10"/>
    <x v="8"/>
    <x v="2"/>
    <x v="2"/>
    <s v="Fellowes PB200 Comb Binding Machine"/>
    <n v="28.39"/>
    <n v="9"/>
    <n v="-107.8"/>
  </r>
  <r>
    <d v="2016-02-01T00:00:00"/>
    <x v="3"/>
    <n v="2"/>
    <x v="1"/>
    <x v="7"/>
    <x v="8"/>
    <x v="1"/>
    <x v="5"/>
    <s v="Eldon Fold 'N Roll Cart System"/>
    <n v="1170.21"/>
    <n v="2"/>
    <n v="320.89"/>
  </r>
  <r>
    <d v="2016-02-02T00:00:00"/>
    <x v="3"/>
    <n v="2"/>
    <x v="1"/>
    <x v="8"/>
    <x v="6"/>
    <x v="0"/>
    <x v="4"/>
    <s v="Fellowes PB200 Comb Binding Machine"/>
    <n v="999.34"/>
    <n v="4"/>
    <n v="258.8"/>
  </r>
  <r>
    <d v="2016-02-04T00:00:00"/>
    <x v="3"/>
    <n v="2"/>
    <x v="1"/>
    <x v="6"/>
    <x v="2"/>
    <x v="0"/>
    <x v="8"/>
    <s v="Bush Somerset Collection Bookcase"/>
    <n v="348.6"/>
    <n v="1"/>
    <n v="-0.16"/>
  </r>
  <r>
    <d v="2016-02-04T00:00:00"/>
    <x v="3"/>
    <n v="2"/>
    <x v="1"/>
    <x v="1"/>
    <x v="4"/>
    <x v="2"/>
    <x v="4"/>
    <s v="Bretford CR4500 Series Table"/>
    <n v="1799.91"/>
    <n v="1"/>
    <n v="339.86"/>
  </r>
  <r>
    <d v="2016-02-04T00:00:00"/>
    <x v="3"/>
    <n v="2"/>
    <x v="1"/>
    <x v="4"/>
    <x v="9"/>
    <x v="0"/>
    <x v="1"/>
    <s v="Self-Adhesive Address Labels"/>
    <n v="711.34"/>
    <n v="5"/>
    <n v="79.38"/>
  </r>
  <r>
    <d v="2016-02-04T00:00:00"/>
    <x v="3"/>
    <n v="2"/>
    <x v="1"/>
    <x v="9"/>
    <x v="9"/>
    <x v="2"/>
    <x v="4"/>
    <s v="Bush Somerset Collection Bookcase"/>
    <n v="452.98"/>
    <n v="2"/>
    <n v="342.34"/>
  </r>
  <r>
    <d v="2016-02-05T00:00:00"/>
    <x v="3"/>
    <n v="2"/>
    <x v="1"/>
    <x v="7"/>
    <x v="1"/>
    <x v="1"/>
    <x v="5"/>
    <s v="Belkin 6 Outlet Surge"/>
    <n v="680.47"/>
    <n v="6"/>
    <n v="295.76"/>
  </r>
  <r>
    <d v="2016-02-05T00:00:00"/>
    <x v="3"/>
    <n v="2"/>
    <x v="1"/>
    <x v="2"/>
    <x v="9"/>
    <x v="1"/>
    <x v="6"/>
    <s v="Eldon Fold 'N Roll Cart System"/>
    <n v="424.57"/>
    <n v="1"/>
    <n v="285.29000000000002"/>
  </r>
  <r>
    <d v="2016-02-06T00:00:00"/>
    <x v="3"/>
    <n v="2"/>
    <x v="1"/>
    <x v="11"/>
    <x v="3"/>
    <x v="2"/>
    <x v="4"/>
    <s v="Hon Deluxe Fabric Upholstered Stacking Chairs"/>
    <n v="824.85"/>
    <n v="1"/>
    <n v="182.03"/>
  </r>
  <r>
    <d v="2016-02-07T00:00:00"/>
    <x v="3"/>
    <n v="2"/>
    <x v="1"/>
    <x v="0"/>
    <x v="6"/>
    <x v="2"/>
    <x v="2"/>
    <s v="Eldon Fold 'N Roll Cart System"/>
    <n v="292.7"/>
    <n v="2"/>
    <n v="234.98"/>
  </r>
  <r>
    <d v="2016-02-10T00:00:00"/>
    <x v="3"/>
    <n v="2"/>
    <x v="1"/>
    <x v="0"/>
    <x v="9"/>
    <x v="0"/>
    <x v="6"/>
    <s v="Eldon Expressions Desk Accessories"/>
    <n v="917.69"/>
    <n v="3"/>
    <n v="337.72"/>
  </r>
  <r>
    <d v="2016-02-11T00:00:00"/>
    <x v="3"/>
    <n v="2"/>
    <x v="1"/>
    <x v="3"/>
    <x v="0"/>
    <x v="2"/>
    <x v="5"/>
    <s v="Eldon Fold 'N Roll Cart System"/>
    <n v="336.73"/>
    <n v="2"/>
    <n v="229.89"/>
  </r>
  <r>
    <d v="2016-02-11T00:00:00"/>
    <x v="3"/>
    <n v="2"/>
    <x v="1"/>
    <x v="1"/>
    <x v="1"/>
    <x v="1"/>
    <x v="1"/>
    <s v="Bush Somerset Collection Bookcase"/>
    <n v="1290.67"/>
    <n v="4"/>
    <n v="34.1"/>
  </r>
  <r>
    <d v="2016-02-11T00:00:00"/>
    <x v="3"/>
    <n v="2"/>
    <x v="1"/>
    <x v="1"/>
    <x v="4"/>
    <x v="2"/>
    <x v="6"/>
    <s v="Hon Deluxe Fabric Upholstered Stacking Chairs"/>
    <n v="191.58"/>
    <n v="1"/>
    <n v="-137.83000000000001"/>
  </r>
  <r>
    <d v="2016-02-11T00:00:00"/>
    <x v="3"/>
    <n v="2"/>
    <x v="1"/>
    <x v="11"/>
    <x v="2"/>
    <x v="1"/>
    <x v="1"/>
    <s v="Belkin 6 Outlet Surge"/>
    <n v="351.86"/>
    <n v="9"/>
    <n v="209.7"/>
  </r>
  <r>
    <d v="2016-02-13T00:00:00"/>
    <x v="3"/>
    <n v="2"/>
    <x v="1"/>
    <x v="8"/>
    <x v="5"/>
    <x v="1"/>
    <x v="3"/>
    <s v="Newell 322"/>
    <n v="492.2"/>
    <n v="9"/>
    <n v="-134.49"/>
  </r>
  <r>
    <d v="2016-02-14T00:00:00"/>
    <x v="3"/>
    <n v="2"/>
    <x v="1"/>
    <x v="7"/>
    <x v="9"/>
    <x v="1"/>
    <x v="4"/>
    <s v="Self-Adhesive Address Labels"/>
    <n v="791.97"/>
    <n v="4"/>
    <n v="-151.88"/>
  </r>
  <r>
    <d v="2016-02-15T00:00:00"/>
    <x v="3"/>
    <n v="2"/>
    <x v="1"/>
    <x v="2"/>
    <x v="8"/>
    <x v="0"/>
    <x v="3"/>
    <s v="Eldon Fold 'N Roll Cart System"/>
    <n v="1063.58"/>
    <n v="6"/>
    <n v="11.73"/>
  </r>
  <r>
    <d v="2016-02-16T00:00:00"/>
    <x v="3"/>
    <n v="2"/>
    <x v="1"/>
    <x v="3"/>
    <x v="8"/>
    <x v="2"/>
    <x v="3"/>
    <s v="Belkin 6 Outlet Surge"/>
    <n v="622.23"/>
    <n v="4"/>
    <n v="307.99"/>
  </r>
  <r>
    <d v="2016-02-16T00:00:00"/>
    <x v="3"/>
    <n v="2"/>
    <x v="1"/>
    <x v="8"/>
    <x v="1"/>
    <x v="1"/>
    <x v="5"/>
    <s v="Bretford CR4500 Series Table"/>
    <n v="68.790000000000006"/>
    <n v="7"/>
    <n v="218.48"/>
  </r>
  <r>
    <d v="2016-02-16T00:00:00"/>
    <x v="3"/>
    <n v="2"/>
    <x v="1"/>
    <x v="5"/>
    <x v="2"/>
    <x v="1"/>
    <x v="0"/>
    <s v="Hon Deluxe Fabric Upholstered Stacking Chairs"/>
    <n v="11.88"/>
    <n v="5"/>
    <n v="-36.18"/>
  </r>
  <r>
    <d v="2016-02-17T00:00:00"/>
    <x v="3"/>
    <n v="2"/>
    <x v="1"/>
    <x v="1"/>
    <x v="7"/>
    <x v="0"/>
    <x v="4"/>
    <s v="Eldon Fold 'N Roll Cart System"/>
    <n v="1310.86"/>
    <n v="7"/>
    <n v="242.52"/>
  </r>
  <r>
    <d v="2016-02-17T00:00:00"/>
    <x v="3"/>
    <n v="2"/>
    <x v="1"/>
    <x v="8"/>
    <x v="2"/>
    <x v="1"/>
    <x v="2"/>
    <s v="Eldon Fold 'N Roll Cart System"/>
    <n v="1692.8"/>
    <n v="5"/>
    <n v="334.81"/>
  </r>
  <r>
    <d v="2016-02-18T00:00:00"/>
    <x v="3"/>
    <n v="2"/>
    <x v="1"/>
    <x v="2"/>
    <x v="6"/>
    <x v="0"/>
    <x v="8"/>
    <s v="Eldon Expressions Desk Accessories"/>
    <n v="914"/>
    <n v="5"/>
    <n v="-34.700000000000003"/>
  </r>
  <r>
    <d v="2016-02-18T00:00:00"/>
    <x v="3"/>
    <n v="2"/>
    <x v="1"/>
    <x v="9"/>
    <x v="4"/>
    <x v="2"/>
    <x v="6"/>
    <s v="Eldon Fold 'N Roll Cart System"/>
    <n v="1647.94"/>
    <n v="2"/>
    <n v="-101.61"/>
  </r>
  <r>
    <d v="2016-02-18T00:00:00"/>
    <x v="3"/>
    <n v="2"/>
    <x v="1"/>
    <x v="0"/>
    <x v="8"/>
    <x v="0"/>
    <x v="2"/>
    <s v="Fellowes PB200 Comb Binding Machine"/>
    <n v="1133.99"/>
    <n v="1"/>
    <n v="-27.53"/>
  </r>
  <r>
    <d v="2016-02-19T00:00:00"/>
    <x v="3"/>
    <n v="2"/>
    <x v="1"/>
    <x v="6"/>
    <x v="7"/>
    <x v="0"/>
    <x v="0"/>
    <s v="Bush Somerset Collection Bookcase"/>
    <n v="1589.73"/>
    <n v="1"/>
    <n v="34.25"/>
  </r>
  <r>
    <d v="2016-02-20T00:00:00"/>
    <x v="3"/>
    <n v="2"/>
    <x v="1"/>
    <x v="12"/>
    <x v="2"/>
    <x v="0"/>
    <x v="1"/>
    <s v="Bush Somerset Collection Bookcase"/>
    <n v="1072.72"/>
    <n v="7"/>
    <n v="142.86000000000001"/>
  </r>
  <r>
    <d v="2016-02-22T00:00:00"/>
    <x v="3"/>
    <n v="2"/>
    <x v="1"/>
    <x v="7"/>
    <x v="9"/>
    <x v="2"/>
    <x v="3"/>
    <s v="Bush Somerset Collection Bookcase"/>
    <n v="1291.0999999999999"/>
    <n v="7"/>
    <n v="-182.12"/>
  </r>
  <r>
    <d v="2016-02-23T00:00:00"/>
    <x v="3"/>
    <n v="2"/>
    <x v="1"/>
    <x v="2"/>
    <x v="6"/>
    <x v="1"/>
    <x v="6"/>
    <s v="Bretford CR4500 Series Table"/>
    <n v="1908.3"/>
    <n v="6"/>
    <n v="-181.21"/>
  </r>
  <r>
    <d v="2016-02-24T00:00:00"/>
    <x v="3"/>
    <n v="2"/>
    <x v="1"/>
    <x v="0"/>
    <x v="4"/>
    <x v="1"/>
    <x v="5"/>
    <s v="Newell 322"/>
    <n v="703.47"/>
    <n v="1"/>
    <n v="337.91"/>
  </r>
  <r>
    <d v="2016-02-25T00:00:00"/>
    <x v="3"/>
    <n v="2"/>
    <x v="1"/>
    <x v="2"/>
    <x v="3"/>
    <x v="0"/>
    <x v="4"/>
    <s v="Bretford CR4500 Series Table"/>
    <n v="997.48"/>
    <n v="8"/>
    <n v="169.54"/>
  </r>
  <r>
    <d v="2016-02-27T00:00:00"/>
    <x v="3"/>
    <n v="2"/>
    <x v="1"/>
    <x v="2"/>
    <x v="5"/>
    <x v="0"/>
    <x v="5"/>
    <s v="Self-Adhesive Address Labels"/>
    <n v="1538.04"/>
    <n v="7"/>
    <n v="195.72"/>
  </r>
  <r>
    <d v="2016-02-28T00:00:00"/>
    <x v="3"/>
    <n v="2"/>
    <x v="1"/>
    <x v="0"/>
    <x v="3"/>
    <x v="1"/>
    <x v="4"/>
    <s v="Eldon Fold 'N Roll Cart System"/>
    <n v="20.6"/>
    <n v="7"/>
    <n v="349.57"/>
  </r>
  <r>
    <d v="2016-02-29T00:00:00"/>
    <x v="3"/>
    <n v="2"/>
    <x v="1"/>
    <x v="11"/>
    <x v="6"/>
    <x v="2"/>
    <x v="1"/>
    <s v="Bretford CR4500 Series Table"/>
    <n v="788.27"/>
    <n v="7"/>
    <n v="107.08"/>
  </r>
  <r>
    <d v="2016-02-29T00:00:00"/>
    <x v="3"/>
    <n v="2"/>
    <x v="1"/>
    <x v="9"/>
    <x v="3"/>
    <x v="0"/>
    <x v="8"/>
    <s v="Self-Adhesive Address Labels"/>
    <n v="702.98"/>
    <n v="9"/>
    <n v="160.4"/>
  </r>
  <r>
    <d v="2016-03-01T00:00:00"/>
    <x v="3"/>
    <n v="3"/>
    <x v="2"/>
    <x v="10"/>
    <x v="4"/>
    <x v="1"/>
    <x v="3"/>
    <s v="Bretford CR4500 Series Table"/>
    <n v="220.85"/>
    <n v="6"/>
    <n v="-194.02"/>
  </r>
  <r>
    <d v="2016-03-02T00:00:00"/>
    <x v="3"/>
    <n v="3"/>
    <x v="2"/>
    <x v="2"/>
    <x v="1"/>
    <x v="0"/>
    <x v="2"/>
    <s v="Hon Deluxe Fabric Upholstered Stacking Chairs"/>
    <n v="1433.32"/>
    <n v="5"/>
    <n v="-140.27000000000001"/>
  </r>
  <r>
    <d v="2016-03-02T00:00:00"/>
    <x v="3"/>
    <n v="3"/>
    <x v="2"/>
    <x v="12"/>
    <x v="2"/>
    <x v="1"/>
    <x v="2"/>
    <s v="Fellowes PB200 Comb Binding Machine"/>
    <n v="1963.02"/>
    <n v="5"/>
    <n v="-1.22"/>
  </r>
  <r>
    <d v="2016-03-03T00:00:00"/>
    <x v="3"/>
    <n v="3"/>
    <x v="2"/>
    <x v="4"/>
    <x v="8"/>
    <x v="2"/>
    <x v="8"/>
    <s v="Fellowes PB200 Comb Binding Machine"/>
    <n v="123.11"/>
    <n v="9"/>
    <n v="387.77"/>
  </r>
  <r>
    <d v="2016-03-04T00:00:00"/>
    <x v="3"/>
    <n v="3"/>
    <x v="2"/>
    <x v="2"/>
    <x v="9"/>
    <x v="2"/>
    <x v="3"/>
    <s v="Hon Deluxe Fabric Upholstered Stacking Chairs"/>
    <n v="514.26"/>
    <n v="1"/>
    <n v="160.27000000000001"/>
  </r>
  <r>
    <d v="2016-03-06T00:00:00"/>
    <x v="3"/>
    <n v="3"/>
    <x v="2"/>
    <x v="7"/>
    <x v="6"/>
    <x v="1"/>
    <x v="3"/>
    <s v="Cisco SPA 501G IP Phone"/>
    <n v="1872.93"/>
    <n v="2"/>
    <n v="13.19"/>
  </r>
  <r>
    <d v="2016-03-06T00:00:00"/>
    <x v="3"/>
    <n v="3"/>
    <x v="2"/>
    <x v="4"/>
    <x v="3"/>
    <x v="0"/>
    <x v="1"/>
    <s v="Bretford CR4500 Series Table"/>
    <n v="1135.26"/>
    <n v="5"/>
    <n v="232.45"/>
  </r>
  <r>
    <d v="2016-03-06T00:00:00"/>
    <x v="3"/>
    <n v="3"/>
    <x v="2"/>
    <x v="3"/>
    <x v="8"/>
    <x v="0"/>
    <x v="0"/>
    <s v="Newell 322"/>
    <n v="1301.69"/>
    <n v="6"/>
    <n v="-103.95"/>
  </r>
  <r>
    <d v="2016-03-08T00:00:00"/>
    <x v="3"/>
    <n v="3"/>
    <x v="2"/>
    <x v="6"/>
    <x v="4"/>
    <x v="1"/>
    <x v="3"/>
    <s v="Hon Deluxe Fabric Upholstered Stacking Chairs"/>
    <n v="809.88"/>
    <n v="5"/>
    <n v="102.24"/>
  </r>
  <r>
    <d v="2016-03-09T00:00:00"/>
    <x v="3"/>
    <n v="3"/>
    <x v="2"/>
    <x v="1"/>
    <x v="9"/>
    <x v="0"/>
    <x v="5"/>
    <s v="Self-Adhesive Address Labels"/>
    <n v="395.46"/>
    <n v="4"/>
    <n v="114.31"/>
  </r>
  <r>
    <d v="2016-03-10T00:00:00"/>
    <x v="3"/>
    <n v="3"/>
    <x v="2"/>
    <x v="3"/>
    <x v="1"/>
    <x v="2"/>
    <x v="7"/>
    <s v="Bush Somerset Collection Bookcase"/>
    <n v="1778.4"/>
    <n v="8"/>
    <n v="350.31"/>
  </r>
  <r>
    <d v="2016-03-10T00:00:00"/>
    <x v="3"/>
    <n v="3"/>
    <x v="2"/>
    <x v="10"/>
    <x v="6"/>
    <x v="0"/>
    <x v="4"/>
    <s v="Self-Adhesive Address Labels"/>
    <n v="218.6"/>
    <n v="7"/>
    <n v="-177.92"/>
  </r>
  <r>
    <d v="2016-03-11T00:00:00"/>
    <x v="3"/>
    <n v="3"/>
    <x v="2"/>
    <x v="10"/>
    <x v="0"/>
    <x v="0"/>
    <x v="8"/>
    <s v="Belkin 6 Outlet Surge"/>
    <n v="650.26"/>
    <n v="9"/>
    <n v="53.14"/>
  </r>
  <r>
    <d v="2016-03-12T00:00:00"/>
    <x v="3"/>
    <n v="3"/>
    <x v="2"/>
    <x v="0"/>
    <x v="0"/>
    <x v="1"/>
    <x v="8"/>
    <s v="Bush Somerset Collection Bookcase"/>
    <n v="471.4"/>
    <n v="3"/>
    <n v="118.12"/>
  </r>
  <r>
    <d v="2016-03-12T00:00:00"/>
    <x v="3"/>
    <n v="3"/>
    <x v="2"/>
    <x v="0"/>
    <x v="9"/>
    <x v="1"/>
    <x v="0"/>
    <s v="Fellowes PB200 Comb Binding Machine"/>
    <n v="943.43"/>
    <n v="8"/>
    <n v="222.42"/>
  </r>
  <r>
    <d v="2016-03-13T00:00:00"/>
    <x v="3"/>
    <n v="3"/>
    <x v="2"/>
    <x v="2"/>
    <x v="0"/>
    <x v="1"/>
    <x v="5"/>
    <s v="Eldon Fold 'N Roll Cart System"/>
    <n v="870.47"/>
    <n v="7"/>
    <n v="-16.57"/>
  </r>
  <r>
    <d v="2016-03-13T00:00:00"/>
    <x v="3"/>
    <n v="3"/>
    <x v="2"/>
    <x v="2"/>
    <x v="7"/>
    <x v="1"/>
    <x v="3"/>
    <s v="Eldon Fold 'N Roll Cart System"/>
    <n v="342.72"/>
    <n v="2"/>
    <n v="-183.81"/>
  </r>
  <r>
    <d v="2016-03-14T00:00:00"/>
    <x v="3"/>
    <n v="3"/>
    <x v="2"/>
    <x v="0"/>
    <x v="8"/>
    <x v="1"/>
    <x v="4"/>
    <s v="Belkin 6 Outlet Surge"/>
    <n v="450.04"/>
    <n v="9"/>
    <n v="-166.79"/>
  </r>
  <r>
    <d v="2016-03-14T00:00:00"/>
    <x v="3"/>
    <n v="3"/>
    <x v="2"/>
    <x v="6"/>
    <x v="8"/>
    <x v="0"/>
    <x v="3"/>
    <s v="Eldon Fold 'N Roll Cart System"/>
    <n v="650.11"/>
    <n v="3"/>
    <n v="139.30000000000001"/>
  </r>
  <r>
    <d v="2016-03-14T00:00:00"/>
    <x v="3"/>
    <n v="3"/>
    <x v="2"/>
    <x v="2"/>
    <x v="2"/>
    <x v="2"/>
    <x v="2"/>
    <s v="Eldon Expressions Desk Accessories"/>
    <n v="1142.5899999999999"/>
    <n v="2"/>
    <n v="126.88"/>
  </r>
  <r>
    <d v="2016-03-15T00:00:00"/>
    <x v="3"/>
    <n v="3"/>
    <x v="2"/>
    <x v="0"/>
    <x v="2"/>
    <x v="0"/>
    <x v="6"/>
    <s v="Belkin 6 Outlet Surge"/>
    <n v="1423.38"/>
    <n v="2"/>
    <n v="331.05"/>
  </r>
  <r>
    <d v="2016-03-15T00:00:00"/>
    <x v="3"/>
    <n v="3"/>
    <x v="2"/>
    <x v="7"/>
    <x v="1"/>
    <x v="1"/>
    <x v="0"/>
    <s v="Newell 322"/>
    <n v="1046.77"/>
    <n v="5"/>
    <n v="91.63"/>
  </r>
  <r>
    <d v="2016-03-17T00:00:00"/>
    <x v="3"/>
    <n v="3"/>
    <x v="2"/>
    <x v="3"/>
    <x v="8"/>
    <x v="1"/>
    <x v="0"/>
    <s v="Belkin 6 Outlet Surge"/>
    <n v="415.4"/>
    <n v="2"/>
    <n v="236.09"/>
  </r>
  <r>
    <d v="2016-03-17T00:00:00"/>
    <x v="3"/>
    <n v="3"/>
    <x v="2"/>
    <x v="6"/>
    <x v="9"/>
    <x v="0"/>
    <x v="2"/>
    <s v="Newell 322"/>
    <n v="842.35"/>
    <n v="1"/>
    <n v="161.35"/>
  </r>
  <r>
    <d v="2016-03-18T00:00:00"/>
    <x v="3"/>
    <n v="3"/>
    <x v="2"/>
    <x v="10"/>
    <x v="7"/>
    <x v="2"/>
    <x v="1"/>
    <s v="Belkin 6 Outlet Surge"/>
    <n v="1782.74"/>
    <n v="2"/>
    <n v="248.5"/>
  </r>
  <r>
    <d v="2016-03-20T00:00:00"/>
    <x v="3"/>
    <n v="3"/>
    <x v="2"/>
    <x v="2"/>
    <x v="7"/>
    <x v="2"/>
    <x v="7"/>
    <s v="Eldon Fold 'N Roll Cart System"/>
    <n v="1689.98"/>
    <n v="7"/>
    <n v="58.64"/>
  </r>
  <r>
    <d v="2016-03-21T00:00:00"/>
    <x v="3"/>
    <n v="3"/>
    <x v="2"/>
    <x v="0"/>
    <x v="1"/>
    <x v="1"/>
    <x v="5"/>
    <s v="Bush Somerset Collection Bookcase"/>
    <n v="1414.81"/>
    <n v="5"/>
    <n v="-183.39"/>
  </r>
  <r>
    <d v="2016-03-22T00:00:00"/>
    <x v="3"/>
    <n v="3"/>
    <x v="2"/>
    <x v="6"/>
    <x v="3"/>
    <x v="2"/>
    <x v="4"/>
    <s v="Bush Somerset Collection Bookcase"/>
    <n v="760.13"/>
    <n v="8"/>
    <n v="-115.34"/>
  </r>
  <r>
    <d v="2016-03-22T00:00:00"/>
    <x v="3"/>
    <n v="3"/>
    <x v="2"/>
    <x v="5"/>
    <x v="2"/>
    <x v="1"/>
    <x v="3"/>
    <s v="Newell 322"/>
    <n v="785.2"/>
    <n v="8"/>
    <n v="271"/>
  </r>
  <r>
    <d v="2016-03-26T00:00:00"/>
    <x v="3"/>
    <n v="3"/>
    <x v="2"/>
    <x v="6"/>
    <x v="8"/>
    <x v="0"/>
    <x v="1"/>
    <s v="Belkin 6 Outlet Surge"/>
    <n v="966.76"/>
    <n v="8"/>
    <n v="200.12"/>
  </r>
  <r>
    <d v="2016-03-26T00:00:00"/>
    <x v="3"/>
    <n v="3"/>
    <x v="2"/>
    <x v="2"/>
    <x v="3"/>
    <x v="1"/>
    <x v="5"/>
    <s v="Self-Adhesive Address Labels"/>
    <n v="900.77"/>
    <n v="9"/>
    <n v="370.5"/>
  </r>
  <r>
    <d v="2016-03-26T00:00:00"/>
    <x v="3"/>
    <n v="3"/>
    <x v="2"/>
    <x v="3"/>
    <x v="3"/>
    <x v="1"/>
    <x v="2"/>
    <s v="Hon Deluxe Fabric Upholstered Stacking Chairs"/>
    <n v="640.27"/>
    <n v="8"/>
    <n v="183.07"/>
  </r>
  <r>
    <d v="2016-03-27T00:00:00"/>
    <x v="3"/>
    <n v="3"/>
    <x v="2"/>
    <x v="12"/>
    <x v="6"/>
    <x v="0"/>
    <x v="4"/>
    <s v="Self-Adhesive Address Labels"/>
    <n v="1414.14"/>
    <n v="1"/>
    <n v="177.18"/>
  </r>
  <r>
    <d v="2016-03-28T00:00:00"/>
    <x v="3"/>
    <n v="3"/>
    <x v="2"/>
    <x v="8"/>
    <x v="7"/>
    <x v="0"/>
    <x v="0"/>
    <s v="Bush Somerset Collection Bookcase"/>
    <n v="1970.56"/>
    <n v="2"/>
    <n v="78.72"/>
  </r>
  <r>
    <d v="2016-03-28T00:00:00"/>
    <x v="3"/>
    <n v="3"/>
    <x v="2"/>
    <x v="1"/>
    <x v="7"/>
    <x v="0"/>
    <x v="3"/>
    <s v="Newell 322"/>
    <n v="1482.19"/>
    <n v="5"/>
    <n v="369.95"/>
  </r>
  <r>
    <d v="2016-03-29T00:00:00"/>
    <x v="3"/>
    <n v="3"/>
    <x v="2"/>
    <x v="2"/>
    <x v="4"/>
    <x v="1"/>
    <x v="5"/>
    <s v="Fellowes PB200 Comb Binding Machine"/>
    <n v="672.69"/>
    <n v="5"/>
    <n v="140.69999999999999"/>
  </r>
  <r>
    <d v="2016-03-29T00:00:00"/>
    <x v="3"/>
    <n v="3"/>
    <x v="2"/>
    <x v="4"/>
    <x v="1"/>
    <x v="1"/>
    <x v="1"/>
    <s v="Eldon Fold 'N Roll Cart System"/>
    <n v="975.13"/>
    <n v="5"/>
    <n v="33.729999999999997"/>
  </r>
  <r>
    <d v="2016-03-30T00:00:00"/>
    <x v="3"/>
    <n v="3"/>
    <x v="2"/>
    <x v="0"/>
    <x v="7"/>
    <x v="1"/>
    <x v="4"/>
    <s v="Hon Deluxe Fabric Upholstered Stacking Chairs"/>
    <n v="586.1"/>
    <n v="7"/>
    <n v="206.66"/>
  </r>
  <r>
    <d v="2016-03-30T00:00:00"/>
    <x v="3"/>
    <n v="3"/>
    <x v="2"/>
    <x v="12"/>
    <x v="7"/>
    <x v="1"/>
    <x v="7"/>
    <s v="Self-Adhesive Address Labels"/>
    <n v="1901.68"/>
    <n v="8"/>
    <n v="46.89"/>
  </r>
  <r>
    <d v="2016-03-30T00:00:00"/>
    <x v="3"/>
    <n v="3"/>
    <x v="2"/>
    <x v="2"/>
    <x v="6"/>
    <x v="1"/>
    <x v="5"/>
    <s v="Belkin 6 Outlet Surge"/>
    <n v="695.68"/>
    <n v="2"/>
    <n v="-185.58"/>
  </r>
  <r>
    <d v="2016-03-30T00:00:00"/>
    <x v="3"/>
    <n v="3"/>
    <x v="2"/>
    <x v="2"/>
    <x v="8"/>
    <x v="1"/>
    <x v="6"/>
    <s v="Eldon Expressions Desk Accessories"/>
    <n v="1228.8499999999999"/>
    <n v="7"/>
    <n v="60.39"/>
  </r>
  <r>
    <d v="2016-04-01T00:00:00"/>
    <x v="3"/>
    <n v="4"/>
    <x v="3"/>
    <x v="0"/>
    <x v="5"/>
    <x v="0"/>
    <x v="7"/>
    <s v="Belkin 6 Outlet Surge"/>
    <n v="1155.3399999999999"/>
    <n v="4"/>
    <n v="389.45"/>
  </r>
  <r>
    <d v="2016-04-01T00:00:00"/>
    <x v="3"/>
    <n v="4"/>
    <x v="3"/>
    <x v="11"/>
    <x v="9"/>
    <x v="1"/>
    <x v="4"/>
    <s v="Belkin 6 Outlet Surge"/>
    <n v="350.66"/>
    <n v="1"/>
    <n v="-16.149999999999999"/>
  </r>
  <r>
    <d v="2016-04-03T00:00:00"/>
    <x v="3"/>
    <n v="4"/>
    <x v="3"/>
    <x v="11"/>
    <x v="4"/>
    <x v="2"/>
    <x v="0"/>
    <s v="Bretford CR4500 Series Table"/>
    <n v="1852.32"/>
    <n v="7"/>
    <n v="-13.28"/>
  </r>
  <r>
    <d v="2016-04-03T00:00:00"/>
    <x v="3"/>
    <n v="4"/>
    <x v="3"/>
    <x v="8"/>
    <x v="7"/>
    <x v="1"/>
    <x v="3"/>
    <s v="Fellowes PB200 Comb Binding Machine"/>
    <n v="1210.6199999999999"/>
    <n v="4"/>
    <n v="363.03"/>
  </r>
  <r>
    <d v="2016-04-06T00:00:00"/>
    <x v="3"/>
    <n v="4"/>
    <x v="3"/>
    <x v="12"/>
    <x v="6"/>
    <x v="2"/>
    <x v="8"/>
    <s v="Belkin 6 Outlet Surge"/>
    <n v="1394.4"/>
    <n v="7"/>
    <n v="317.5"/>
  </r>
  <r>
    <d v="2016-04-06T00:00:00"/>
    <x v="3"/>
    <n v="4"/>
    <x v="3"/>
    <x v="1"/>
    <x v="7"/>
    <x v="1"/>
    <x v="8"/>
    <s v="Hon Deluxe Fabric Upholstered Stacking Chairs"/>
    <n v="1743.83"/>
    <n v="1"/>
    <n v="217.74"/>
  </r>
  <r>
    <d v="2016-04-06T00:00:00"/>
    <x v="3"/>
    <n v="4"/>
    <x v="3"/>
    <x v="12"/>
    <x v="2"/>
    <x v="0"/>
    <x v="6"/>
    <s v="Newell 322"/>
    <n v="514.47"/>
    <n v="4"/>
    <n v="387.53"/>
  </r>
  <r>
    <d v="2016-04-08T00:00:00"/>
    <x v="3"/>
    <n v="4"/>
    <x v="3"/>
    <x v="9"/>
    <x v="1"/>
    <x v="1"/>
    <x v="7"/>
    <s v="Eldon Fold 'N Roll Cart System"/>
    <n v="876.42"/>
    <n v="7"/>
    <n v="115.13"/>
  </r>
  <r>
    <d v="2016-04-09T00:00:00"/>
    <x v="3"/>
    <n v="4"/>
    <x v="3"/>
    <x v="0"/>
    <x v="1"/>
    <x v="0"/>
    <x v="6"/>
    <s v="Fellowes PB200 Comb Binding Machine"/>
    <n v="18.68"/>
    <n v="9"/>
    <n v="-95.63"/>
  </r>
  <r>
    <d v="2016-04-09T00:00:00"/>
    <x v="3"/>
    <n v="4"/>
    <x v="3"/>
    <x v="9"/>
    <x v="7"/>
    <x v="0"/>
    <x v="8"/>
    <s v="Eldon Fold 'N Roll Cart System"/>
    <n v="1169.28"/>
    <n v="3"/>
    <n v="222.31"/>
  </r>
  <r>
    <d v="2016-04-10T00:00:00"/>
    <x v="3"/>
    <n v="4"/>
    <x v="3"/>
    <x v="10"/>
    <x v="8"/>
    <x v="1"/>
    <x v="0"/>
    <s v="Bush Somerset Collection Bookcase"/>
    <n v="589.66999999999996"/>
    <n v="6"/>
    <n v="118.76"/>
  </r>
  <r>
    <d v="2016-04-12T00:00:00"/>
    <x v="3"/>
    <n v="4"/>
    <x v="3"/>
    <x v="10"/>
    <x v="0"/>
    <x v="0"/>
    <x v="2"/>
    <s v="Self-Adhesive Address Labels"/>
    <n v="519.95000000000005"/>
    <n v="3"/>
    <n v="364.39"/>
  </r>
  <r>
    <d v="2016-04-13T00:00:00"/>
    <x v="3"/>
    <n v="4"/>
    <x v="3"/>
    <x v="9"/>
    <x v="3"/>
    <x v="2"/>
    <x v="0"/>
    <s v="Eldon Fold 'N Roll Cart System"/>
    <n v="1813.64"/>
    <n v="3"/>
    <n v="165.03"/>
  </r>
  <r>
    <d v="2016-04-14T00:00:00"/>
    <x v="3"/>
    <n v="4"/>
    <x v="3"/>
    <x v="2"/>
    <x v="0"/>
    <x v="1"/>
    <x v="2"/>
    <s v="Self-Adhesive Address Labels"/>
    <n v="346.52"/>
    <n v="6"/>
    <n v="25.53"/>
  </r>
  <r>
    <d v="2016-04-16T00:00:00"/>
    <x v="3"/>
    <n v="4"/>
    <x v="3"/>
    <x v="3"/>
    <x v="0"/>
    <x v="2"/>
    <x v="5"/>
    <s v="Eldon Fold 'N Roll Cart System"/>
    <n v="810.29"/>
    <n v="3"/>
    <n v="-176.8"/>
  </r>
  <r>
    <d v="2016-04-16T00:00:00"/>
    <x v="3"/>
    <n v="4"/>
    <x v="3"/>
    <x v="4"/>
    <x v="7"/>
    <x v="2"/>
    <x v="8"/>
    <s v="Hon Deluxe Fabric Upholstered Stacking Chairs"/>
    <n v="556.4"/>
    <n v="7"/>
    <n v="-38.590000000000003"/>
  </r>
  <r>
    <d v="2016-04-17T00:00:00"/>
    <x v="3"/>
    <n v="4"/>
    <x v="3"/>
    <x v="6"/>
    <x v="3"/>
    <x v="1"/>
    <x v="4"/>
    <s v="Cisco SPA 501G IP Phone"/>
    <n v="527.82000000000005"/>
    <n v="1"/>
    <n v="-46.61"/>
  </r>
  <r>
    <d v="2016-04-17T00:00:00"/>
    <x v="3"/>
    <n v="4"/>
    <x v="3"/>
    <x v="1"/>
    <x v="5"/>
    <x v="0"/>
    <x v="4"/>
    <s v="Newell 322"/>
    <n v="1111.53"/>
    <n v="9"/>
    <n v="247.55"/>
  </r>
  <r>
    <d v="2016-04-18T00:00:00"/>
    <x v="3"/>
    <n v="4"/>
    <x v="3"/>
    <x v="5"/>
    <x v="1"/>
    <x v="0"/>
    <x v="3"/>
    <s v="Bretford CR4500 Series Table"/>
    <n v="1887.42"/>
    <n v="3"/>
    <n v="-100.52"/>
  </r>
  <r>
    <d v="2016-04-18T00:00:00"/>
    <x v="3"/>
    <n v="4"/>
    <x v="3"/>
    <x v="8"/>
    <x v="8"/>
    <x v="1"/>
    <x v="5"/>
    <s v="Bretford CR4500 Series Table"/>
    <n v="1831.8"/>
    <n v="2"/>
    <n v="241"/>
  </r>
  <r>
    <d v="2016-04-20T00:00:00"/>
    <x v="3"/>
    <n v="4"/>
    <x v="3"/>
    <x v="6"/>
    <x v="0"/>
    <x v="2"/>
    <x v="6"/>
    <s v="Cisco SPA 501G IP Phone"/>
    <n v="21.21"/>
    <n v="9"/>
    <n v="-36.42"/>
  </r>
  <r>
    <d v="2016-04-20T00:00:00"/>
    <x v="3"/>
    <n v="4"/>
    <x v="3"/>
    <x v="12"/>
    <x v="3"/>
    <x v="1"/>
    <x v="1"/>
    <s v="Self-Adhesive Address Labels"/>
    <n v="991.14"/>
    <n v="3"/>
    <n v="-189.32"/>
  </r>
  <r>
    <d v="2016-04-20T00:00:00"/>
    <x v="3"/>
    <n v="4"/>
    <x v="3"/>
    <x v="6"/>
    <x v="2"/>
    <x v="0"/>
    <x v="8"/>
    <s v="Hon Deluxe Fabric Upholstered Stacking Chairs"/>
    <n v="1236.06"/>
    <n v="1"/>
    <n v="175.65"/>
  </r>
  <r>
    <d v="2016-04-21T00:00:00"/>
    <x v="3"/>
    <n v="4"/>
    <x v="3"/>
    <x v="5"/>
    <x v="2"/>
    <x v="0"/>
    <x v="4"/>
    <s v="Newell 322"/>
    <n v="1495.05"/>
    <n v="2"/>
    <n v="270.83999999999997"/>
  </r>
  <r>
    <d v="2016-04-22T00:00:00"/>
    <x v="3"/>
    <n v="4"/>
    <x v="3"/>
    <x v="3"/>
    <x v="5"/>
    <x v="0"/>
    <x v="8"/>
    <s v="Self-Adhesive Address Labels"/>
    <n v="33.17"/>
    <n v="3"/>
    <n v="240.62"/>
  </r>
  <r>
    <d v="2016-04-24T00:00:00"/>
    <x v="3"/>
    <n v="4"/>
    <x v="3"/>
    <x v="8"/>
    <x v="5"/>
    <x v="0"/>
    <x v="1"/>
    <s v="Eldon Fold 'N Roll Cart System"/>
    <n v="602.01"/>
    <n v="3"/>
    <n v="379.79"/>
  </r>
  <r>
    <d v="2016-04-27T00:00:00"/>
    <x v="3"/>
    <n v="4"/>
    <x v="3"/>
    <x v="11"/>
    <x v="4"/>
    <x v="1"/>
    <x v="8"/>
    <s v="Cisco SPA 501G IP Phone"/>
    <n v="491.97"/>
    <n v="5"/>
    <n v="-52.09"/>
  </r>
  <r>
    <d v="2016-04-28T00:00:00"/>
    <x v="3"/>
    <n v="4"/>
    <x v="3"/>
    <x v="11"/>
    <x v="6"/>
    <x v="0"/>
    <x v="1"/>
    <s v="Hon Deluxe Fabric Upholstered Stacking Chairs"/>
    <n v="10.11"/>
    <n v="3"/>
    <n v="162.01"/>
  </r>
  <r>
    <d v="2016-04-28T00:00:00"/>
    <x v="3"/>
    <n v="4"/>
    <x v="3"/>
    <x v="4"/>
    <x v="0"/>
    <x v="0"/>
    <x v="0"/>
    <s v="Hon Deluxe Fabric Upholstered Stacking Chairs"/>
    <n v="33.619999999999997"/>
    <n v="8"/>
    <n v="372.8"/>
  </r>
  <r>
    <d v="2016-04-29T00:00:00"/>
    <x v="3"/>
    <n v="4"/>
    <x v="3"/>
    <x v="11"/>
    <x v="6"/>
    <x v="0"/>
    <x v="6"/>
    <s v="Bretford CR4500 Series Table"/>
    <n v="1069.3"/>
    <n v="4"/>
    <n v="51.16"/>
  </r>
  <r>
    <d v="2016-04-30T00:00:00"/>
    <x v="3"/>
    <n v="4"/>
    <x v="3"/>
    <x v="6"/>
    <x v="3"/>
    <x v="2"/>
    <x v="6"/>
    <s v="Bush Somerset Collection Bookcase"/>
    <n v="144.91"/>
    <n v="7"/>
    <n v="-72.7"/>
  </r>
  <r>
    <d v="2016-04-30T00:00:00"/>
    <x v="3"/>
    <n v="4"/>
    <x v="3"/>
    <x v="6"/>
    <x v="2"/>
    <x v="1"/>
    <x v="6"/>
    <s v="Bretford CR4500 Series Table"/>
    <n v="1586.09"/>
    <n v="8"/>
    <n v="-116.18"/>
  </r>
  <r>
    <d v="2016-04-30T00:00:00"/>
    <x v="3"/>
    <n v="4"/>
    <x v="3"/>
    <x v="0"/>
    <x v="2"/>
    <x v="2"/>
    <x v="6"/>
    <s v="Eldon Expressions Desk Accessories"/>
    <n v="1505.03"/>
    <n v="4"/>
    <n v="383.09"/>
  </r>
  <r>
    <d v="2016-05-02T00:00:00"/>
    <x v="3"/>
    <n v="5"/>
    <x v="4"/>
    <x v="7"/>
    <x v="4"/>
    <x v="2"/>
    <x v="0"/>
    <s v="Cisco SPA 501G IP Phone"/>
    <n v="979.16"/>
    <n v="3"/>
    <n v="-33.43"/>
  </r>
  <r>
    <d v="2016-05-03T00:00:00"/>
    <x v="3"/>
    <n v="5"/>
    <x v="4"/>
    <x v="0"/>
    <x v="8"/>
    <x v="1"/>
    <x v="6"/>
    <s v="Hon Deluxe Fabric Upholstered Stacking Chairs"/>
    <n v="1015.01"/>
    <n v="9"/>
    <n v="-139.76"/>
  </r>
  <r>
    <d v="2016-05-03T00:00:00"/>
    <x v="3"/>
    <n v="5"/>
    <x v="4"/>
    <x v="5"/>
    <x v="4"/>
    <x v="1"/>
    <x v="0"/>
    <s v="Eldon Expressions Desk Accessories"/>
    <n v="538.09"/>
    <n v="8"/>
    <n v="358.08"/>
  </r>
  <r>
    <d v="2016-05-03T00:00:00"/>
    <x v="3"/>
    <n v="5"/>
    <x v="4"/>
    <x v="1"/>
    <x v="9"/>
    <x v="1"/>
    <x v="0"/>
    <s v="Bretford CR4500 Series Table"/>
    <n v="1379.05"/>
    <n v="6"/>
    <n v="212.37"/>
  </r>
  <r>
    <d v="2016-05-03T00:00:00"/>
    <x v="3"/>
    <n v="5"/>
    <x v="4"/>
    <x v="5"/>
    <x v="1"/>
    <x v="2"/>
    <x v="7"/>
    <s v="Fellowes PB200 Comb Binding Machine"/>
    <n v="37.82"/>
    <n v="2"/>
    <n v="59.65"/>
  </r>
  <r>
    <d v="2016-05-04T00:00:00"/>
    <x v="3"/>
    <n v="5"/>
    <x v="4"/>
    <x v="4"/>
    <x v="7"/>
    <x v="0"/>
    <x v="2"/>
    <s v="Bush Somerset Collection Bookcase"/>
    <n v="1818.75"/>
    <n v="3"/>
    <n v="-122.55"/>
  </r>
  <r>
    <d v="2016-05-04T00:00:00"/>
    <x v="3"/>
    <n v="5"/>
    <x v="4"/>
    <x v="11"/>
    <x v="3"/>
    <x v="2"/>
    <x v="1"/>
    <s v="Hon Deluxe Fabric Upholstered Stacking Chairs"/>
    <n v="411.29"/>
    <n v="2"/>
    <n v="140.13999999999999"/>
  </r>
  <r>
    <d v="2016-05-08T00:00:00"/>
    <x v="3"/>
    <n v="5"/>
    <x v="4"/>
    <x v="1"/>
    <x v="0"/>
    <x v="2"/>
    <x v="8"/>
    <s v="Eldon Fold 'N Roll Cart System"/>
    <n v="876.52"/>
    <n v="1"/>
    <n v="302.58"/>
  </r>
  <r>
    <d v="2016-05-09T00:00:00"/>
    <x v="3"/>
    <n v="5"/>
    <x v="4"/>
    <x v="11"/>
    <x v="7"/>
    <x v="0"/>
    <x v="0"/>
    <s v="Bretford CR4500 Series Table"/>
    <n v="1443.66"/>
    <n v="9"/>
    <n v="-196.62"/>
  </r>
  <r>
    <d v="2016-05-09T00:00:00"/>
    <x v="3"/>
    <n v="5"/>
    <x v="4"/>
    <x v="2"/>
    <x v="6"/>
    <x v="2"/>
    <x v="0"/>
    <s v="Newell 322"/>
    <n v="555.78"/>
    <n v="3"/>
    <n v="285.92"/>
  </r>
  <r>
    <d v="2016-05-09T00:00:00"/>
    <x v="3"/>
    <n v="5"/>
    <x v="4"/>
    <x v="4"/>
    <x v="7"/>
    <x v="0"/>
    <x v="5"/>
    <s v="Self-Adhesive Address Labels"/>
    <n v="1391.04"/>
    <n v="6"/>
    <n v="115.16"/>
  </r>
  <r>
    <d v="2016-05-12T00:00:00"/>
    <x v="3"/>
    <n v="5"/>
    <x v="4"/>
    <x v="3"/>
    <x v="1"/>
    <x v="0"/>
    <x v="1"/>
    <s v="Eldon Expressions Desk Accessories"/>
    <n v="841.76"/>
    <n v="7"/>
    <n v="20.239999999999998"/>
  </r>
  <r>
    <d v="2016-05-15T00:00:00"/>
    <x v="3"/>
    <n v="5"/>
    <x v="4"/>
    <x v="12"/>
    <x v="6"/>
    <x v="0"/>
    <x v="8"/>
    <s v="Hon Deluxe Fabric Upholstered Stacking Chairs"/>
    <n v="1021.54"/>
    <n v="6"/>
    <n v="26.22"/>
  </r>
  <r>
    <d v="2016-05-17T00:00:00"/>
    <x v="3"/>
    <n v="5"/>
    <x v="4"/>
    <x v="5"/>
    <x v="5"/>
    <x v="1"/>
    <x v="8"/>
    <s v="Bush Somerset Collection Bookcase"/>
    <n v="833.99"/>
    <n v="6"/>
    <n v="-93.08"/>
  </r>
  <r>
    <d v="2016-05-18T00:00:00"/>
    <x v="3"/>
    <n v="5"/>
    <x v="4"/>
    <x v="5"/>
    <x v="4"/>
    <x v="0"/>
    <x v="0"/>
    <s v="Hon Deluxe Fabric Upholstered Stacking Chairs"/>
    <n v="450.34"/>
    <n v="5"/>
    <n v="46.91"/>
  </r>
  <r>
    <d v="2016-05-18T00:00:00"/>
    <x v="3"/>
    <n v="5"/>
    <x v="4"/>
    <x v="8"/>
    <x v="6"/>
    <x v="2"/>
    <x v="7"/>
    <s v="Hon Deluxe Fabric Upholstered Stacking Chairs"/>
    <n v="1778.5"/>
    <n v="8"/>
    <n v="-170.56"/>
  </r>
  <r>
    <d v="2016-05-20T00:00:00"/>
    <x v="3"/>
    <n v="5"/>
    <x v="4"/>
    <x v="7"/>
    <x v="4"/>
    <x v="0"/>
    <x v="6"/>
    <s v="Hon Deluxe Fabric Upholstered Stacking Chairs"/>
    <n v="1781.14"/>
    <n v="4"/>
    <n v="-165.55"/>
  </r>
  <r>
    <d v="2016-05-21T00:00:00"/>
    <x v="3"/>
    <n v="5"/>
    <x v="4"/>
    <x v="1"/>
    <x v="0"/>
    <x v="1"/>
    <x v="4"/>
    <s v="Cisco SPA 501G IP Phone"/>
    <n v="1898.65"/>
    <n v="1"/>
    <n v="294.29000000000002"/>
  </r>
  <r>
    <d v="2016-05-23T00:00:00"/>
    <x v="3"/>
    <n v="5"/>
    <x v="4"/>
    <x v="8"/>
    <x v="7"/>
    <x v="0"/>
    <x v="3"/>
    <s v="Bush Somerset Collection Bookcase"/>
    <n v="1319.98"/>
    <n v="2"/>
    <n v="274.72000000000003"/>
  </r>
  <r>
    <d v="2016-05-23T00:00:00"/>
    <x v="3"/>
    <n v="5"/>
    <x v="4"/>
    <x v="5"/>
    <x v="4"/>
    <x v="2"/>
    <x v="8"/>
    <s v="Bretford CR4500 Series Table"/>
    <n v="217.92"/>
    <n v="8"/>
    <n v="100.52"/>
  </r>
  <r>
    <d v="2016-05-24T00:00:00"/>
    <x v="3"/>
    <n v="5"/>
    <x v="4"/>
    <x v="12"/>
    <x v="2"/>
    <x v="0"/>
    <x v="6"/>
    <s v="Self-Adhesive Address Labels"/>
    <n v="1571.92"/>
    <n v="4"/>
    <n v="-10.31"/>
  </r>
  <r>
    <d v="2016-05-25T00:00:00"/>
    <x v="3"/>
    <n v="5"/>
    <x v="4"/>
    <x v="0"/>
    <x v="5"/>
    <x v="1"/>
    <x v="2"/>
    <s v="Eldon Fold 'N Roll Cart System"/>
    <n v="1878.11"/>
    <n v="8"/>
    <n v="1.42"/>
  </r>
  <r>
    <d v="2016-05-25T00:00:00"/>
    <x v="3"/>
    <n v="5"/>
    <x v="4"/>
    <x v="6"/>
    <x v="4"/>
    <x v="0"/>
    <x v="1"/>
    <s v="Eldon Fold 'N Roll Cart System"/>
    <n v="581.42999999999995"/>
    <n v="1"/>
    <n v="125.44"/>
  </r>
  <r>
    <d v="2016-05-26T00:00:00"/>
    <x v="3"/>
    <n v="5"/>
    <x v="4"/>
    <x v="5"/>
    <x v="0"/>
    <x v="1"/>
    <x v="6"/>
    <s v="Eldon Expressions Desk Accessories"/>
    <n v="1317.82"/>
    <n v="3"/>
    <n v="-108.8"/>
  </r>
  <r>
    <d v="2016-05-28T00:00:00"/>
    <x v="3"/>
    <n v="5"/>
    <x v="4"/>
    <x v="9"/>
    <x v="7"/>
    <x v="2"/>
    <x v="1"/>
    <s v="Fellowes PB200 Comb Binding Machine"/>
    <n v="297.97000000000003"/>
    <n v="6"/>
    <n v="297.16000000000003"/>
  </r>
  <r>
    <d v="2016-05-28T00:00:00"/>
    <x v="3"/>
    <n v="5"/>
    <x v="4"/>
    <x v="6"/>
    <x v="6"/>
    <x v="1"/>
    <x v="0"/>
    <s v="Cisco SPA 501G IP Phone"/>
    <n v="1048.55"/>
    <n v="7"/>
    <n v="-6.05"/>
  </r>
  <r>
    <d v="2016-05-28T00:00:00"/>
    <x v="3"/>
    <n v="5"/>
    <x v="4"/>
    <x v="11"/>
    <x v="1"/>
    <x v="0"/>
    <x v="5"/>
    <s v="Hon Deluxe Fabric Upholstered Stacking Chairs"/>
    <n v="861.11"/>
    <n v="3"/>
    <n v="-179.36"/>
  </r>
  <r>
    <d v="2016-05-30T00:00:00"/>
    <x v="3"/>
    <n v="5"/>
    <x v="4"/>
    <x v="8"/>
    <x v="7"/>
    <x v="1"/>
    <x v="7"/>
    <s v="Cisco SPA 501G IP Phone"/>
    <n v="1452.94"/>
    <n v="2"/>
    <n v="130.18"/>
  </r>
  <r>
    <d v="2016-05-31T00:00:00"/>
    <x v="3"/>
    <n v="5"/>
    <x v="4"/>
    <x v="9"/>
    <x v="4"/>
    <x v="2"/>
    <x v="1"/>
    <s v="Eldon Expressions Desk Accessories"/>
    <n v="206"/>
    <n v="5"/>
    <n v="-107.61"/>
  </r>
  <r>
    <d v="2016-05-31T00:00:00"/>
    <x v="3"/>
    <n v="5"/>
    <x v="4"/>
    <x v="4"/>
    <x v="4"/>
    <x v="0"/>
    <x v="0"/>
    <s v="Eldon Fold 'N Roll Cart System"/>
    <n v="467.35"/>
    <n v="1"/>
    <n v="13.84"/>
  </r>
  <r>
    <d v="2016-05-31T00:00:00"/>
    <x v="3"/>
    <n v="5"/>
    <x v="4"/>
    <x v="0"/>
    <x v="2"/>
    <x v="1"/>
    <x v="7"/>
    <s v="Bush Somerset Collection Bookcase"/>
    <n v="1625.6"/>
    <n v="3"/>
    <n v="128.04"/>
  </r>
  <r>
    <d v="2016-05-31T00:00:00"/>
    <x v="3"/>
    <n v="5"/>
    <x v="4"/>
    <x v="8"/>
    <x v="7"/>
    <x v="0"/>
    <x v="7"/>
    <s v="Bush Somerset Collection Bookcase"/>
    <n v="1030.6400000000001"/>
    <n v="2"/>
    <n v="-183.22"/>
  </r>
  <r>
    <d v="2016-06-02T00:00:00"/>
    <x v="3"/>
    <n v="6"/>
    <x v="5"/>
    <x v="10"/>
    <x v="1"/>
    <x v="1"/>
    <x v="6"/>
    <s v="Fellowes PB200 Comb Binding Machine"/>
    <n v="1826.04"/>
    <n v="3"/>
    <n v="121.23"/>
  </r>
  <r>
    <d v="2016-06-02T00:00:00"/>
    <x v="3"/>
    <n v="6"/>
    <x v="5"/>
    <x v="10"/>
    <x v="6"/>
    <x v="0"/>
    <x v="6"/>
    <s v="Bush Somerset Collection Bookcase"/>
    <n v="1660.07"/>
    <n v="4"/>
    <n v="-66.33"/>
  </r>
  <r>
    <d v="2016-06-02T00:00:00"/>
    <x v="3"/>
    <n v="6"/>
    <x v="5"/>
    <x v="3"/>
    <x v="8"/>
    <x v="2"/>
    <x v="2"/>
    <s v="Belkin 6 Outlet Surge"/>
    <n v="499.04"/>
    <n v="9"/>
    <n v="-10.08"/>
  </r>
  <r>
    <d v="2016-06-02T00:00:00"/>
    <x v="3"/>
    <n v="6"/>
    <x v="5"/>
    <x v="6"/>
    <x v="5"/>
    <x v="1"/>
    <x v="3"/>
    <s v="Self-Adhesive Address Labels"/>
    <n v="1528.27"/>
    <n v="1"/>
    <n v="118.69"/>
  </r>
  <r>
    <d v="2016-06-03T00:00:00"/>
    <x v="3"/>
    <n v="6"/>
    <x v="5"/>
    <x v="9"/>
    <x v="4"/>
    <x v="1"/>
    <x v="4"/>
    <s v="Self-Adhesive Address Labels"/>
    <n v="1817.43"/>
    <n v="1"/>
    <n v="-34.85"/>
  </r>
  <r>
    <d v="2016-06-04T00:00:00"/>
    <x v="3"/>
    <n v="6"/>
    <x v="5"/>
    <x v="10"/>
    <x v="4"/>
    <x v="0"/>
    <x v="6"/>
    <s v="Belkin 6 Outlet Surge"/>
    <n v="521.09"/>
    <n v="3"/>
    <n v="155.66"/>
  </r>
  <r>
    <d v="2016-06-04T00:00:00"/>
    <x v="3"/>
    <n v="6"/>
    <x v="5"/>
    <x v="3"/>
    <x v="8"/>
    <x v="1"/>
    <x v="1"/>
    <s v="Fellowes PB200 Comb Binding Machine"/>
    <n v="842.58"/>
    <n v="9"/>
    <n v="27.67"/>
  </r>
  <r>
    <d v="2016-06-04T00:00:00"/>
    <x v="3"/>
    <n v="6"/>
    <x v="5"/>
    <x v="4"/>
    <x v="1"/>
    <x v="2"/>
    <x v="7"/>
    <s v="Self-Adhesive Address Labels"/>
    <n v="1946.22"/>
    <n v="1"/>
    <n v="-191.85"/>
  </r>
  <r>
    <d v="2016-06-06T00:00:00"/>
    <x v="3"/>
    <n v="6"/>
    <x v="5"/>
    <x v="12"/>
    <x v="6"/>
    <x v="2"/>
    <x v="2"/>
    <s v="Bretford CR4500 Series Table"/>
    <n v="732.63"/>
    <n v="3"/>
    <n v="191.41"/>
  </r>
  <r>
    <d v="2016-06-06T00:00:00"/>
    <x v="3"/>
    <n v="6"/>
    <x v="5"/>
    <x v="2"/>
    <x v="1"/>
    <x v="0"/>
    <x v="1"/>
    <s v="Belkin 6 Outlet Surge"/>
    <n v="57.71"/>
    <n v="3"/>
    <n v="-195.17"/>
  </r>
  <r>
    <d v="2016-06-06T00:00:00"/>
    <x v="3"/>
    <n v="6"/>
    <x v="5"/>
    <x v="3"/>
    <x v="4"/>
    <x v="2"/>
    <x v="0"/>
    <s v="Self-Adhesive Address Labels"/>
    <n v="975.84"/>
    <n v="4"/>
    <n v="-110.74"/>
  </r>
  <r>
    <d v="2016-06-06T00:00:00"/>
    <x v="3"/>
    <n v="6"/>
    <x v="5"/>
    <x v="11"/>
    <x v="0"/>
    <x v="0"/>
    <x v="6"/>
    <s v="Cisco SPA 501G IP Phone"/>
    <n v="90.57"/>
    <n v="3"/>
    <n v="-137.59"/>
  </r>
  <r>
    <d v="2016-06-06T00:00:00"/>
    <x v="3"/>
    <n v="6"/>
    <x v="5"/>
    <x v="3"/>
    <x v="0"/>
    <x v="2"/>
    <x v="1"/>
    <s v="Bush Somerset Collection Bookcase"/>
    <n v="1435.03"/>
    <n v="8"/>
    <n v="42.52"/>
  </r>
  <r>
    <d v="2016-06-07T00:00:00"/>
    <x v="3"/>
    <n v="6"/>
    <x v="5"/>
    <x v="2"/>
    <x v="4"/>
    <x v="1"/>
    <x v="0"/>
    <s v="Self-Adhesive Address Labels"/>
    <n v="385.97"/>
    <n v="2"/>
    <n v="-74.14"/>
  </r>
  <r>
    <d v="2016-06-08T00:00:00"/>
    <x v="3"/>
    <n v="6"/>
    <x v="5"/>
    <x v="0"/>
    <x v="6"/>
    <x v="1"/>
    <x v="1"/>
    <s v="Eldon Expressions Desk Accessories"/>
    <n v="1887.28"/>
    <n v="5"/>
    <n v="325.62"/>
  </r>
  <r>
    <d v="2016-06-08T00:00:00"/>
    <x v="3"/>
    <n v="6"/>
    <x v="5"/>
    <x v="5"/>
    <x v="7"/>
    <x v="1"/>
    <x v="1"/>
    <s v="Cisco SPA 501G IP Phone"/>
    <n v="1544.56"/>
    <n v="7"/>
    <n v="292.95"/>
  </r>
  <r>
    <d v="2016-06-08T00:00:00"/>
    <x v="3"/>
    <n v="6"/>
    <x v="5"/>
    <x v="1"/>
    <x v="9"/>
    <x v="0"/>
    <x v="8"/>
    <s v="Eldon Fold 'N Roll Cart System"/>
    <n v="1311.26"/>
    <n v="9"/>
    <n v="302.37"/>
  </r>
  <r>
    <d v="2016-06-10T00:00:00"/>
    <x v="3"/>
    <n v="6"/>
    <x v="5"/>
    <x v="5"/>
    <x v="6"/>
    <x v="0"/>
    <x v="3"/>
    <s v="Bretford CR4500 Series Table"/>
    <n v="1192.72"/>
    <n v="9"/>
    <n v="250.97"/>
  </r>
  <r>
    <d v="2016-06-10T00:00:00"/>
    <x v="3"/>
    <n v="6"/>
    <x v="5"/>
    <x v="2"/>
    <x v="6"/>
    <x v="0"/>
    <x v="8"/>
    <s v="Bretford CR4500 Series Table"/>
    <n v="770.1"/>
    <n v="3"/>
    <n v="58.07"/>
  </r>
  <r>
    <d v="2016-06-10T00:00:00"/>
    <x v="3"/>
    <n v="6"/>
    <x v="5"/>
    <x v="6"/>
    <x v="2"/>
    <x v="0"/>
    <x v="3"/>
    <s v="Eldon Fold 'N Roll Cart System"/>
    <n v="342.6"/>
    <n v="1"/>
    <n v="344.78"/>
  </r>
  <r>
    <d v="2016-06-10T00:00:00"/>
    <x v="3"/>
    <n v="6"/>
    <x v="5"/>
    <x v="9"/>
    <x v="3"/>
    <x v="0"/>
    <x v="0"/>
    <s v="Cisco SPA 501G IP Phone"/>
    <n v="381.6"/>
    <n v="9"/>
    <n v="329.53"/>
  </r>
  <r>
    <d v="2016-06-11T00:00:00"/>
    <x v="3"/>
    <n v="6"/>
    <x v="5"/>
    <x v="7"/>
    <x v="6"/>
    <x v="1"/>
    <x v="5"/>
    <s v="Eldon Expressions Desk Accessories"/>
    <n v="893.13"/>
    <n v="1"/>
    <n v="-123.17"/>
  </r>
  <r>
    <d v="2016-06-12T00:00:00"/>
    <x v="3"/>
    <n v="6"/>
    <x v="5"/>
    <x v="2"/>
    <x v="7"/>
    <x v="2"/>
    <x v="2"/>
    <s v="Self-Adhesive Address Labels"/>
    <n v="507.61"/>
    <n v="2"/>
    <n v="60.97"/>
  </r>
  <r>
    <d v="2016-06-14T00:00:00"/>
    <x v="3"/>
    <n v="6"/>
    <x v="5"/>
    <x v="0"/>
    <x v="2"/>
    <x v="0"/>
    <x v="8"/>
    <s v="Bush Somerset Collection Bookcase"/>
    <n v="615.27"/>
    <n v="8"/>
    <n v="258.13"/>
  </r>
  <r>
    <d v="2016-06-16T00:00:00"/>
    <x v="3"/>
    <n v="6"/>
    <x v="5"/>
    <x v="6"/>
    <x v="2"/>
    <x v="2"/>
    <x v="7"/>
    <s v="Bush Somerset Collection Bookcase"/>
    <n v="500.08"/>
    <n v="7"/>
    <n v="314.26"/>
  </r>
  <r>
    <d v="2016-06-16T00:00:00"/>
    <x v="3"/>
    <n v="6"/>
    <x v="5"/>
    <x v="3"/>
    <x v="0"/>
    <x v="0"/>
    <x v="3"/>
    <s v="Belkin 6 Outlet Surge"/>
    <n v="513.29"/>
    <n v="6"/>
    <n v="2.11"/>
  </r>
  <r>
    <d v="2016-06-16T00:00:00"/>
    <x v="3"/>
    <n v="6"/>
    <x v="5"/>
    <x v="4"/>
    <x v="7"/>
    <x v="2"/>
    <x v="2"/>
    <s v="Eldon Fold 'N Roll Cart System"/>
    <n v="714.99"/>
    <n v="1"/>
    <n v="271.25"/>
  </r>
  <r>
    <d v="2016-06-18T00:00:00"/>
    <x v="3"/>
    <n v="6"/>
    <x v="5"/>
    <x v="9"/>
    <x v="0"/>
    <x v="1"/>
    <x v="7"/>
    <s v="Eldon Expressions Desk Accessories"/>
    <n v="1235.0899999999999"/>
    <n v="3"/>
    <n v="-176.01"/>
  </r>
  <r>
    <d v="2016-06-19T00:00:00"/>
    <x v="3"/>
    <n v="6"/>
    <x v="5"/>
    <x v="0"/>
    <x v="7"/>
    <x v="1"/>
    <x v="6"/>
    <s v="Belkin 6 Outlet Surge"/>
    <n v="48.15"/>
    <n v="7"/>
    <n v="323.89999999999998"/>
  </r>
  <r>
    <d v="2016-06-20T00:00:00"/>
    <x v="3"/>
    <n v="6"/>
    <x v="5"/>
    <x v="8"/>
    <x v="4"/>
    <x v="1"/>
    <x v="2"/>
    <s v="Bush Somerset Collection Bookcase"/>
    <n v="436.46"/>
    <n v="6"/>
    <n v="-36.31"/>
  </r>
  <r>
    <d v="2016-06-20T00:00:00"/>
    <x v="3"/>
    <n v="6"/>
    <x v="5"/>
    <x v="2"/>
    <x v="7"/>
    <x v="0"/>
    <x v="2"/>
    <s v="Self-Adhesive Address Labels"/>
    <n v="1924.96"/>
    <n v="9"/>
    <n v="352.23"/>
  </r>
  <r>
    <d v="2016-06-21T00:00:00"/>
    <x v="3"/>
    <n v="6"/>
    <x v="5"/>
    <x v="7"/>
    <x v="6"/>
    <x v="0"/>
    <x v="0"/>
    <s v="Bretford CR4500 Series Table"/>
    <n v="913.79"/>
    <n v="1"/>
    <n v="-20.52"/>
  </r>
  <r>
    <d v="2016-06-21T00:00:00"/>
    <x v="3"/>
    <n v="6"/>
    <x v="5"/>
    <x v="0"/>
    <x v="3"/>
    <x v="0"/>
    <x v="6"/>
    <s v="Bretford CR4500 Series Table"/>
    <n v="901.97"/>
    <n v="1"/>
    <n v="74.81"/>
  </r>
  <r>
    <d v="2016-06-28T00:00:00"/>
    <x v="3"/>
    <n v="6"/>
    <x v="5"/>
    <x v="5"/>
    <x v="2"/>
    <x v="1"/>
    <x v="0"/>
    <s v="Eldon Fold 'N Roll Cart System"/>
    <n v="1547.27"/>
    <n v="3"/>
    <n v="-180.7"/>
  </r>
  <r>
    <d v="2016-06-29T00:00:00"/>
    <x v="3"/>
    <n v="6"/>
    <x v="5"/>
    <x v="1"/>
    <x v="0"/>
    <x v="1"/>
    <x v="3"/>
    <s v="Self-Adhesive Address Labels"/>
    <n v="948.8"/>
    <n v="6"/>
    <n v="82.01"/>
  </r>
  <r>
    <d v="2016-06-29T00:00:00"/>
    <x v="3"/>
    <n v="6"/>
    <x v="5"/>
    <x v="6"/>
    <x v="3"/>
    <x v="1"/>
    <x v="3"/>
    <s v="Bretford CR4500 Series Table"/>
    <n v="589.53"/>
    <n v="5"/>
    <n v="39.18"/>
  </r>
  <r>
    <d v="2016-06-30T00:00:00"/>
    <x v="3"/>
    <n v="6"/>
    <x v="5"/>
    <x v="4"/>
    <x v="3"/>
    <x v="1"/>
    <x v="8"/>
    <s v="Hon Deluxe Fabric Upholstered Stacking Chairs"/>
    <n v="628.1"/>
    <n v="2"/>
    <n v="57.19"/>
  </r>
  <r>
    <d v="2016-06-30T00:00:00"/>
    <x v="3"/>
    <n v="6"/>
    <x v="5"/>
    <x v="11"/>
    <x v="0"/>
    <x v="2"/>
    <x v="6"/>
    <s v="Bretford CR4500 Series Table"/>
    <n v="301.27999999999997"/>
    <n v="1"/>
    <n v="91.81"/>
  </r>
  <r>
    <d v="2016-06-30T00:00:00"/>
    <x v="3"/>
    <n v="6"/>
    <x v="5"/>
    <x v="6"/>
    <x v="7"/>
    <x v="2"/>
    <x v="6"/>
    <s v="Self-Adhesive Address Labels"/>
    <n v="1025.32"/>
    <n v="6"/>
    <n v="312.52999999999997"/>
  </r>
  <r>
    <d v="2016-06-30T00:00:00"/>
    <x v="3"/>
    <n v="6"/>
    <x v="5"/>
    <x v="10"/>
    <x v="3"/>
    <x v="1"/>
    <x v="6"/>
    <s v="Newell 322"/>
    <n v="49.82"/>
    <n v="4"/>
    <n v="222.49"/>
  </r>
  <r>
    <d v="2016-07-01T00:00:00"/>
    <x v="3"/>
    <n v="7"/>
    <x v="6"/>
    <x v="8"/>
    <x v="4"/>
    <x v="2"/>
    <x v="0"/>
    <s v="Hon Deluxe Fabric Upholstered Stacking Chairs"/>
    <n v="450.79"/>
    <n v="1"/>
    <n v="139"/>
  </r>
  <r>
    <d v="2016-07-01T00:00:00"/>
    <x v="3"/>
    <n v="7"/>
    <x v="6"/>
    <x v="12"/>
    <x v="5"/>
    <x v="0"/>
    <x v="4"/>
    <s v="Self-Adhesive Address Labels"/>
    <n v="1844.69"/>
    <n v="3"/>
    <n v="-178.02"/>
  </r>
  <r>
    <d v="2016-07-01T00:00:00"/>
    <x v="3"/>
    <n v="7"/>
    <x v="6"/>
    <x v="12"/>
    <x v="4"/>
    <x v="0"/>
    <x v="0"/>
    <s v="Cisco SPA 501G IP Phone"/>
    <n v="555.53"/>
    <n v="4"/>
    <n v="252.62"/>
  </r>
  <r>
    <d v="2016-07-03T00:00:00"/>
    <x v="3"/>
    <n v="7"/>
    <x v="6"/>
    <x v="9"/>
    <x v="5"/>
    <x v="1"/>
    <x v="4"/>
    <s v="Eldon Fold 'N Roll Cart System"/>
    <n v="496.79"/>
    <n v="9"/>
    <n v="229.06"/>
  </r>
  <r>
    <d v="2016-07-03T00:00:00"/>
    <x v="3"/>
    <n v="7"/>
    <x v="6"/>
    <x v="3"/>
    <x v="9"/>
    <x v="2"/>
    <x v="5"/>
    <s v="Bush Somerset Collection Bookcase"/>
    <n v="1451.17"/>
    <n v="9"/>
    <n v="67.45"/>
  </r>
  <r>
    <d v="2016-07-04T00:00:00"/>
    <x v="3"/>
    <n v="7"/>
    <x v="6"/>
    <x v="1"/>
    <x v="9"/>
    <x v="2"/>
    <x v="2"/>
    <s v="Self-Adhesive Address Labels"/>
    <n v="187.52"/>
    <n v="2"/>
    <n v="339.94"/>
  </r>
  <r>
    <d v="2016-07-06T00:00:00"/>
    <x v="3"/>
    <n v="7"/>
    <x v="6"/>
    <x v="3"/>
    <x v="3"/>
    <x v="1"/>
    <x v="0"/>
    <s v="Fellowes PB200 Comb Binding Machine"/>
    <n v="1972.96"/>
    <n v="4"/>
    <n v="135.13999999999999"/>
  </r>
  <r>
    <d v="2016-07-06T00:00:00"/>
    <x v="3"/>
    <n v="7"/>
    <x v="6"/>
    <x v="0"/>
    <x v="1"/>
    <x v="2"/>
    <x v="8"/>
    <s v="Hon Deluxe Fabric Upholstered Stacking Chairs"/>
    <n v="945.8"/>
    <n v="4"/>
    <n v="207.31"/>
  </r>
  <r>
    <d v="2016-07-08T00:00:00"/>
    <x v="3"/>
    <n v="7"/>
    <x v="6"/>
    <x v="1"/>
    <x v="5"/>
    <x v="2"/>
    <x v="3"/>
    <s v="Bretford CR4500 Series Table"/>
    <n v="1058.27"/>
    <n v="1"/>
    <n v="32.74"/>
  </r>
  <r>
    <d v="2016-07-11T00:00:00"/>
    <x v="3"/>
    <n v="7"/>
    <x v="6"/>
    <x v="3"/>
    <x v="9"/>
    <x v="1"/>
    <x v="1"/>
    <s v="Eldon Fold 'N Roll Cart System"/>
    <n v="1416.51"/>
    <n v="9"/>
    <n v="195.84"/>
  </r>
  <r>
    <d v="2016-07-11T00:00:00"/>
    <x v="3"/>
    <n v="7"/>
    <x v="6"/>
    <x v="7"/>
    <x v="9"/>
    <x v="2"/>
    <x v="3"/>
    <s v="Eldon Fold 'N Roll Cart System"/>
    <n v="1748.03"/>
    <n v="3"/>
    <n v="144.97999999999999"/>
  </r>
  <r>
    <d v="2016-07-14T00:00:00"/>
    <x v="3"/>
    <n v="7"/>
    <x v="6"/>
    <x v="9"/>
    <x v="3"/>
    <x v="0"/>
    <x v="0"/>
    <s v="Fellowes PB200 Comb Binding Machine"/>
    <n v="16.739999999999998"/>
    <n v="2"/>
    <n v="-89.34"/>
  </r>
  <r>
    <d v="2016-07-15T00:00:00"/>
    <x v="3"/>
    <n v="7"/>
    <x v="6"/>
    <x v="4"/>
    <x v="1"/>
    <x v="2"/>
    <x v="6"/>
    <s v="Newell 322"/>
    <n v="462.57"/>
    <n v="3"/>
    <n v="217.38"/>
  </r>
  <r>
    <d v="2016-07-15T00:00:00"/>
    <x v="3"/>
    <n v="7"/>
    <x v="6"/>
    <x v="6"/>
    <x v="0"/>
    <x v="1"/>
    <x v="2"/>
    <s v="Cisco SPA 501G IP Phone"/>
    <n v="423.97"/>
    <n v="5"/>
    <n v="-35.369999999999997"/>
  </r>
  <r>
    <d v="2016-07-15T00:00:00"/>
    <x v="3"/>
    <n v="7"/>
    <x v="6"/>
    <x v="7"/>
    <x v="1"/>
    <x v="1"/>
    <x v="2"/>
    <s v="Eldon Fold 'N Roll Cart System"/>
    <n v="717.32"/>
    <n v="9"/>
    <n v="368.56"/>
  </r>
  <r>
    <d v="2016-07-18T00:00:00"/>
    <x v="3"/>
    <n v="7"/>
    <x v="6"/>
    <x v="7"/>
    <x v="8"/>
    <x v="0"/>
    <x v="6"/>
    <s v="Bush Somerset Collection Bookcase"/>
    <n v="1216.3699999999999"/>
    <n v="8"/>
    <n v="146"/>
  </r>
  <r>
    <d v="2016-07-18T00:00:00"/>
    <x v="3"/>
    <n v="7"/>
    <x v="6"/>
    <x v="12"/>
    <x v="3"/>
    <x v="0"/>
    <x v="7"/>
    <s v="Bush Somerset Collection Bookcase"/>
    <n v="1717.2"/>
    <n v="9"/>
    <n v="-22.24"/>
  </r>
  <r>
    <d v="2016-07-19T00:00:00"/>
    <x v="3"/>
    <n v="7"/>
    <x v="6"/>
    <x v="5"/>
    <x v="9"/>
    <x v="0"/>
    <x v="1"/>
    <s v="Belkin 6 Outlet Surge"/>
    <n v="661.17"/>
    <n v="4"/>
    <n v="-34.32"/>
  </r>
  <r>
    <d v="2016-07-20T00:00:00"/>
    <x v="3"/>
    <n v="7"/>
    <x v="6"/>
    <x v="7"/>
    <x v="5"/>
    <x v="2"/>
    <x v="6"/>
    <s v="Eldon Fold 'N Roll Cart System"/>
    <n v="478.46"/>
    <n v="2"/>
    <n v="-138.69999999999999"/>
  </r>
  <r>
    <d v="2016-07-20T00:00:00"/>
    <x v="3"/>
    <n v="7"/>
    <x v="6"/>
    <x v="5"/>
    <x v="1"/>
    <x v="1"/>
    <x v="7"/>
    <s v="Hon Deluxe Fabric Upholstered Stacking Chairs"/>
    <n v="1077.8800000000001"/>
    <n v="9"/>
    <n v="345.33"/>
  </r>
  <r>
    <d v="2016-07-20T00:00:00"/>
    <x v="3"/>
    <n v="7"/>
    <x v="6"/>
    <x v="12"/>
    <x v="7"/>
    <x v="1"/>
    <x v="8"/>
    <s v="Eldon Expressions Desk Accessories"/>
    <n v="1244.3499999999999"/>
    <n v="9"/>
    <n v="-51.62"/>
  </r>
  <r>
    <d v="2016-07-21T00:00:00"/>
    <x v="3"/>
    <n v="7"/>
    <x v="6"/>
    <x v="6"/>
    <x v="4"/>
    <x v="2"/>
    <x v="3"/>
    <s v="Eldon Expressions Desk Accessories"/>
    <n v="869.37"/>
    <n v="9"/>
    <n v="362.21"/>
  </r>
  <r>
    <d v="2016-07-21T00:00:00"/>
    <x v="3"/>
    <n v="7"/>
    <x v="6"/>
    <x v="10"/>
    <x v="0"/>
    <x v="2"/>
    <x v="0"/>
    <s v="Self-Adhesive Address Labels"/>
    <n v="1196.0999999999999"/>
    <n v="8"/>
    <n v="40.25"/>
  </r>
  <r>
    <d v="2016-07-21T00:00:00"/>
    <x v="3"/>
    <n v="7"/>
    <x v="6"/>
    <x v="0"/>
    <x v="6"/>
    <x v="1"/>
    <x v="5"/>
    <s v="Cisco SPA 501G IP Phone"/>
    <n v="1718"/>
    <n v="3"/>
    <n v="26.73"/>
  </r>
  <r>
    <d v="2016-07-24T00:00:00"/>
    <x v="3"/>
    <n v="7"/>
    <x v="6"/>
    <x v="3"/>
    <x v="3"/>
    <x v="1"/>
    <x v="2"/>
    <s v="Belkin 6 Outlet Surge"/>
    <n v="1552.02"/>
    <n v="5"/>
    <n v="399.41"/>
  </r>
  <r>
    <d v="2016-07-24T00:00:00"/>
    <x v="3"/>
    <n v="7"/>
    <x v="6"/>
    <x v="10"/>
    <x v="7"/>
    <x v="1"/>
    <x v="3"/>
    <s v="Fellowes PB200 Comb Binding Machine"/>
    <n v="459.5"/>
    <n v="6"/>
    <n v="281.45"/>
  </r>
  <r>
    <d v="2016-07-24T00:00:00"/>
    <x v="3"/>
    <n v="7"/>
    <x v="6"/>
    <x v="3"/>
    <x v="9"/>
    <x v="2"/>
    <x v="0"/>
    <s v="Eldon Fold 'N Roll Cart System"/>
    <n v="396.05"/>
    <n v="6"/>
    <n v="-97.55"/>
  </r>
  <r>
    <d v="2016-07-25T00:00:00"/>
    <x v="3"/>
    <n v="7"/>
    <x v="6"/>
    <x v="6"/>
    <x v="1"/>
    <x v="0"/>
    <x v="5"/>
    <s v="Bretford CR4500 Series Table"/>
    <n v="1574.87"/>
    <n v="9"/>
    <n v="381.96"/>
  </r>
  <r>
    <d v="2016-07-27T00:00:00"/>
    <x v="3"/>
    <n v="7"/>
    <x v="6"/>
    <x v="8"/>
    <x v="6"/>
    <x v="2"/>
    <x v="4"/>
    <s v="Hon Deluxe Fabric Upholstered Stacking Chairs"/>
    <n v="1068.9000000000001"/>
    <n v="2"/>
    <n v="29.84"/>
  </r>
  <r>
    <d v="2016-07-28T00:00:00"/>
    <x v="3"/>
    <n v="7"/>
    <x v="6"/>
    <x v="12"/>
    <x v="7"/>
    <x v="1"/>
    <x v="1"/>
    <s v="Eldon Expressions Desk Accessories"/>
    <n v="1164.1199999999999"/>
    <n v="7"/>
    <n v="-124.19"/>
  </r>
  <r>
    <d v="2016-07-29T00:00:00"/>
    <x v="3"/>
    <n v="7"/>
    <x v="6"/>
    <x v="2"/>
    <x v="7"/>
    <x v="1"/>
    <x v="7"/>
    <s v="Cisco SPA 501G IP Phone"/>
    <n v="1721.89"/>
    <n v="2"/>
    <n v="287.87"/>
  </r>
  <r>
    <d v="2016-07-29T00:00:00"/>
    <x v="3"/>
    <n v="7"/>
    <x v="6"/>
    <x v="12"/>
    <x v="4"/>
    <x v="1"/>
    <x v="4"/>
    <s v="Belkin 6 Outlet Surge"/>
    <n v="318.33"/>
    <n v="1"/>
    <n v="312.13"/>
  </r>
  <r>
    <d v="2016-07-30T00:00:00"/>
    <x v="3"/>
    <n v="7"/>
    <x v="6"/>
    <x v="1"/>
    <x v="6"/>
    <x v="2"/>
    <x v="5"/>
    <s v="Bretford CR4500 Series Table"/>
    <n v="1217.3699999999999"/>
    <n v="6"/>
    <n v="317.38"/>
  </r>
  <r>
    <d v="2016-07-30T00:00:00"/>
    <x v="3"/>
    <n v="7"/>
    <x v="6"/>
    <x v="3"/>
    <x v="7"/>
    <x v="0"/>
    <x v="0"/>
    <s v="Bretford CR4500 Series Table"/>
    <n v="285.08"/>
    <n v="9"/>
    <n v="87.09"/>
  </r>
  <r>
    <d v="2016-07-30T00:00:00"/>
    <x v="3"/>
    <n v="7"/>
    <x v="6"/>
    <x v="6"/>
    <x v="6"/>
    <x v="0"/>
    <x v="1"/>
    <s v="Eldon Fold 'N Roll Cart System"/>
    <n v="1616.67"/>
    <n v="4"/>
    <n v="203.06"/>
  </r>
  <r>
    <d v="2016-08-01T00:00:00"/>
    <x v="3"/>
    <n v="8"/>
    <x v="7"/>
    <x v="8"/>
    <x v="5"/>
    <x v="0"/>
    <x v="5"/>
    <s v="Cisco SPA 501G IP Phone"/>
    <n v="626.42999999999995"/>
    <n v="5"/>
    <n v="-20.350000000000001"/>
  </r>
  <r>
    <d v="2016-08-01T00:00:00"/>
    <x v="3"/>
    <n v="8"/>
    <x v="7"/>
    <x v="2"/>
    <x v="3"/>
    <x v="2"/>
    <x v="6"/>
    <s v="Bush Somerset Collection Bookcase"/>
    <n v="206.33"/>
    <n v="6"/>
    <n v="207.93"/>
  </r>
  <r>
    <d v="2016-08-03T00:00:00"/>
    <x v="3"/>
    <n v="8"/>
    <x v="7"/>
    <x v="1"/>
    <x v="9"/>
    <x v="1"/>
    <x v="3"/>
    <s v="Cisco SPA 501G IP Phone"/>
    <n v="766.68"/>
    <n v="5"/>
    <n v="-70.239999999999995"/>
  </r>
  <r>
    <d v="2016-08-04T00:00:00"/>
    <x v="3"/>
    <n v="8"/>
    <x v="7"/>
    <x v="9"/>
    <x v="3"/>
    <x v="0"/>
    <x v="0"/>
    <s v="Self-Adhesive Address Labels"/>
    <n v="1923.66"/>
    <n v="7"/>
    <n v="-29.92"/>
  </r>
  <r>
    <d v="2016-08-04T00:00:00"/>
    <x v="3"/>
    <n v="8"/>
    <x v="7"/>
    <x v="10"/>
    <x v="9"/>
    <x v="1"/>
    <x v="7"/>
    <s v="Eldon Fold 'N Roll Cart System"/>
    <n v="1885.25"/>
    <n v="5"/>
    <n v="108.05"/>
  </r>
  <r>
    <d v="2016-08-04T00:00:00"/>
    <x v="3"/>
    <n v="8"/>
    <x v="7"/>
    <x v="12"/>
    <x v="0"/>
    <x v="2"/>
    <x v="2"/>
    <s v="Newell 322"/>
    <n v="1699.02"/>
    <n v="7"/>
    <n v="-94.77"/>
  </r>
  <r>
    <d v="2016-08-05T00:00:00"/>
    <x v="3"/>
    <n v="8"/>
    <x v="7"/>
    <x v="6"/>
    <x v="1"/>
    <x v="1"/>
    <x v="6"/>
    <s v="Self-Adhesive Address Labels"/>
    <n v="814.18"/>
    <n v="1"/>
    <n v="353.85"/>
  </r>
  <r>
    <d v="2016-08-05T00:00:00"/>
    <x v="3"/>
    <n v="8"/>
    <x v="7"/>
    <x v="6"/>
    <x v="3"/>
    <x v="2"/>
    <x v="3"/>
    <s v="Newell 322"/>
    <n v="403"/>
    <n v="6"/>
    <n v="50.71"/>
  </r>
  <r>
    <d v="2016-08-05T00:00:00"/>
    <x v="3"/>
    <n v="8"/>
    <x v="7"/>
    <x v="0"/>
    <x v="1"/>
    <x v="1"/>
    <x v="5"/>
    <s v="Eldon Expressions Desk Accessories"/>
    <n v="1825.34"/>
    <n v="8"/>
    <n v="253.96"/>
  </r>
  <r>
    <d v="2016-08-05T00:00:00"/>
    <x v="3"/>
    <n v="8"/>
    <x v="7"/>
    <x v="9"/>
    <x v="2"/>
    <x v="0"/>
    <x v="4"/>
    <s v="Eldon Fold 'N Roll Cart System"/>
    <n v="1876.6"/>
    <n v="6"/>
    <n v="112.42"/>
  </r>
  <r>
    <d v="2016-08-07T00:00:00"/>
    <x v="3"/>
    <n v="8"/>
    <x v="7"/>
    <x v="10"/>
    <x v="5"/>
    <x v="0"/>
    <x v="6"/>
    <s v="Bretford CR4500 Series Table"/>
    <n v="1272.1600000000001"/>
    <n v="9"/>
    <n v="129.71"/>
  </r>
  <r>
    <d v="2016-08-08T00:00:00"/>
    <x v="3"/>
    <n v="8"/>
    <x v="7"/>
    <x v="6"/>
    <x v="9"/>
    <x v="2"/>
    <x v="0"/>
    <s v="Bush Somerset Collection Bookcase"/>
    <n v="1789.17"/>
    <n v="7"/>
    <n v="110.17"/>
  </r>
  <r>
    <d v="2016-08-08T00:00:00"/>
    <x v="3"/>
    <n v="8"/>
    <x v="7"/>
    <x v="10"/>
    <x v="6"/>
    <x v="1"/>
    <x v="0"/>
    <s v="Bush Somerset Collection Bookcase"/>
    <n v="1773.89"/>
    <n v="5"/>
    <n v="-137.6"/>
  </r>
  <r>
    <d v="2016-08-11T00:00:00"/>
    <x v="3"/>
    <n v="8"/>
    <x v="7"/>
    <x v="10"/>
    <x v="8"/>
    <x v="1"/>
    <x v="6"/>
    <s v="Eldon Expressions Desk Accessories"/>
    <n v="1716.74"/>
    <n v="8"/>
    <n v="-142.52000000000001"/>
  </r>
  <r>
    <d v="2016-08-12T00:00:00"/>
    <x v="3"/>
    <n v="8"/>
    <x v="7"/>
    <x v="12"/>
    <x v="3"/>
    <x v="0"/>
    <x v="6"/>
    <s v="Fellowes PB200 Comb Binding Machine"/>
    <n v="280.41000000000003"/>
    <n v="8"/>
    <n v="135.08000000000001"/>
  </r>
  <r>
    <d v="2016-08-12T00:00:00"/>
    <x v="3"/>
    <n v="8"/>
    <x v="7"/>
    <x v="4"/>
    <x v="1"/>
    <x v="0"/>
    <x v="3"/>
    <s v="Eldon Fold 'N Roll Cart System"/>
    <n v="197.54"/>
    <n v="5"/>
    <n v="344.35"/>
  </r>
  <r>
    <d v="2016-08-12T00:00:00"/>
    <x v="3"/>
    <n v="8"/>
    <x v="7"/>
    <x v="12"/>
    <x v="6"/>
    <x v="1"/>
    <x v="4"/>
    <s v="Bush Somerset Collection Bookcase"/>
    <n v="1015.61"/>
    <n v="8"/>
    <n v="199.47"/>
  </r>
  <r>
    <d v="2016-08-13T00:00:00"/>
    <x v="3"/>
    <n v="8"/>
    <x v="7"/>
    <x v="3"/>
    <x v="9"/>
    <x v="2"/>
    <x v="5"/>
    <s v="Bush Somerset Collection Bookcase"/>
    <n v="351.67"/>
    <n v="4"/>
    <n v="-41.62"/>
  </r>
  <r>
    <d v="2016-08-14T00:00:00"/>
    <x v="3"/>
    <n v="8"/>
    <x v="7"/>
    <x v="2"/>
    <x v="3"/>
    <x v="1"/>
    <x v="4"/>
    <s v="Newell 322"/>
    <n v="687.75"/>
    <n v="6"/>
    <n v="-14.42"/>
  </r>
  <r>
    <d v="2016-08-16T00:00:00"/>
    <x v="3"/>
    <n v="8"/>
    <x v="7"/>
    <x v="2"/>
    <x v="3"/>
    <x v="0"/>
    <x v="8"/>
    <s v="Cisco SPA 501G IP Phone"/>
    <n v="908.48"/>
    <n v="1"/>
    <n v="173.39"/>
  </r>
  <r>
    <d v="2016-08-17T00:00:00"/>
    <x v="3"/>
    <n v="8"/>
    <x v="7"/>
    <x v="3"/>
    <x v="2"/>
    <x v="2"/>
    <x v="8"/>
    <s v="Belkin 6 Outlet Surge"/>
    <n v="567.08000000000004"/>
    <n v="9"/>
    <n v="117.55"/>
  </r>
  <r>
    <d v="2016-08-18T00:00:00"/>
    <x v="3"/>
    <n v="8"/>
    <x v="7"/>
    <x v="10"/>
    <x v="3"/>
    <x v="2"/>
    <x v="8"/>
    <s v="Eldon Fold 'N Roll Cart System"/>
    <n v="1952.27"/>
    <n v="2"/>
    <n v="11.28"/>
  </r>
  <r>
    <d v="2016-08-18T00:00:00"/>
    <x v="3"/>
    <n v="8"/>
    <x v="7"/>
    <x v="5"/>
    <x v="2"/>
    <x v="0"/>
    <x v="2"/>
    <s v="Hon Deluxe Fabric Upholstered Stacking Chairs"/>
    <n v="1738.83"/>
    <n v="2"/>
    <n v="-192.55"/>
  </r>
  <r>
    <d v="2016-08-19T00:00:00"/>
    <x v="3"/>
    <n v="8"/>
    <x v="7"/>
    <x v="0"/>
    <x v="1"/>
    <x v="1"/>
    <x v="5"/>
    <s v="Cisco SPA 501G IP Phone"/>
    <n v="1019.71"/>
    <n v="2"/>
    <n v="237.71"/>
  </r>
  <r>
    <d v="2016-08-20T00:00:00"/>
    <x v="3"/>
    <n v="8"/>
    <x v="7"/>
    <x v="10"/>
    <x v="8"/>
    <x v="2"/>
    <x v="8"/>
    <s v="Cisco SPA 501G IP Phone"/>
    <n v="1627.73"/>
    <n v="8"/>
    <n v="-112.96"/>
  </r>
  <r>
    <d v="2016-08-21T00:00:00"/>
    <x v="3"/>
    <n v="8"/>
    <x v="7"/>
    <x v="3"/>
    <x v="9"/>
    <x v="0"/>
    <x v="5"/>
    <s v="Eldon Expressions Desk Accessories"/>
    <n v="698.44"/>
    <n v="5"/>
    <n v="-59.23"/>
  </r>
  <r>
    <d v="2016-08-21T00:00:00"/>
    <x v="3"/>
    <n v="8"/>
    <x v="7"/>
    <x v="0"/>
    <x v="2"/>
    <x v="2"/>
    <x v="1"/>
    <s v="Hon Deluxe Fabric Upholstered Stacking Chairs"/>
    <n v="649.71"/>
    <n v="6"/>
    <n v="-66.34"/>
  </r>
  <r>
    <d v="2016-08-22T00:00:00"/>
    <x v="3"/>
    <n v="8"/>
    <x v="7"/>
    <x v="1"/>
    <x v="8"/>
    <x v="1"/>
    <x v="6"/>
    <s v="Cisco SPA 501G IP Phone"/>
    <n v="446.4"/>
    <n v="1"/>
    <n v="136.13999999999999"/>
  </r>
  <r>
    <d v="2016-08-22T00:00:00"/>
    <x v="3"/>
    <n v="8"/>
    <x v="7"/>
    <x v="11"/>
    <x v="7"/>
    <x v="0"/>
    <x v="1"/>
    <s v="Cisco SPA 501G IP Phone"/>
    <n v="792.77"/>
    <n v="6"/>
    <n v="-160.65"/>
  </r>
  <r>
    <d v="2016-08-24T00:00:00"/>
    <x v="3"/>
    <n v="8"/>
    <x v="7"/>
    <x v="4"/>
    <x v="0"/>
    <x v="2"/>
    <x v="5"/>
    <s v="Belkin 6 Outlet Surge"/>
    <n v="1619.98"/>
    <n v="1"/>
    <n v="-161.18"/>
  </r>
  <r>
    <d v="2016-08-25T00:00:00"/>
    <x v="3"/>
    <n v="8"/>
    <x v="7"/>
    <x v="1"/>
    <x v="4"/>
    <x v="2"/>
    <x v="6"/>
    <s v="Belkin 6 Outlet Surge"/>
    <n v="1658.47"/>
    <n v="9"/>
    <n v="268.88"/>
  </r>
  <r>
    <d v="2016-08-25T00:00:00"/>
    <x v="3"/>
    <n v="8"/>
    <x v="7"/>
    <x v="11"/>
    <x v="9"/>
    <x v="0"/>
    <x v="8"/>
    <s v="Eldon Fold 'N Roll Cart System"/>
    <n v="247.26"/>
    <n v="8"/>
    <n v="31.68"/>
  </r>
  <r>
    <d v="2016-08-26T00:00:00"/>
    <x v="3"/>
    <n v="8"/>
    <x v="7"/>
    <x v="5"/>
    <x v="1"/>
    <x v="0"/>
    <x v="8"/>
    <s v="Belkin 6 Outlet Surge"/>
    <n v="314.7"/>
    <n v="7"/>
    <n v="9.4499999999999993"/>
  </r>
  <r>
    <d v="2016-08-26T00:00:00"/>
    <x v="3"/>
    <n v="8"/>
    <x v="7"/>
    <x v="5"/>
    <x v="7"/>
    <x v="0"/>
    <x v="0"/>
    <s v="Self-Adhesive Address Labels"/>
    <n v="1233.3900000000001"/>
    <n v="3"/>
    <n v="158.13"/>
  </r>
  <r>
    <d v="2016-08-28T00:00:00"/>
    <x v="3"/>
    <n v="8"/>
    <x v="7"/>
    <x v="7"/>
    <x v="8"/>
    <x v="0"/>
    <x v="3"/>
    <s v="Fellowes PB200 Comb Binding Machine"/>
    <n v="1480.22"/>
    <n v="7"/>
    <n v="363.89"/>
  </r>
  <r>
    <d v="2016-08-28T00:00:00"/>
    <x v="3"/>
    <n v="8"/>
    <x v="7"/>
    <x v="12"/>
    <x v="5"/>
    <x v="1"/>
    <x v="8"/>
    <s v="Eldon Fold 'N Roll Cart System"/>
    <n v="584.45000000000005"/>
    <n v="9"/>
    <n v="-115.52"/>
  </r>
  <r>
    <d v="2016-08-30T00:00:00"/>
    <x v="3"/>
    <n v="8"/>
    <x v="7"/>
    <x v="7"/>
    <x v="7"/>
    <x v="0"/>
    <x v="5"/>
    <s v="Newell 322"/>
    <n v="858.92"/>
    <n v="3"/>
    <n v="40.56"/>
  </r>
  <r>
    <d v="2016-09-01T00:00:00"/>
    <x v="3"/>
    <n v="9"/>
    <x v="8"/>
    <x v="7"/>
    <x v="9"/>
    <x v="1"/>
    <x v="6"/>
    <s v="Self-Adhesive Address Labels"/>
    <n v="1651.2"/>
    <n v="4"/>
    <n v="191.13"/>
  </r>
  <r>
    <d v="2016-09-03T00:00:00"/>
    <x v="3"/>
    <n v="9"/>
    <x v="8"/>
    <x v="8"/>
    <x v="4"/>
    <x v="0"/>
    <x v="5"/>
    <s v="Newell 322"/>
    <n v="476.05"/>
    <n v="7"/>
    <n v="270.08"/>
  </r>
  <r>
    <d v="2016-09-03T00:00:00"/>
    <x v="3"/>
    <n v="9"/>
    <x v="8"/>
    <x v="5"/>
    <x v="9"/>
    <x v="2"/>
    <x v="6"/>
    <s v="Eldon Expressions Desk Accessories"/>
    <n v="1823.79"/>
    <n v="7"/>
    <n v="159.24"/>
  </r>
  <r>
    <d v="2016-09-04T00:00:00"/>
    <x v="3"/>
    <n v="9"/>
    <x v="8"/>
    <x v="4"/>
    <x v="2"/>
    <x v="2"/>
    <x v="0"/>
    <s v="Bretford CR4500 Series Table"/>
    <n v="885.9"/>
    <n v="4"/>
    <n v="336.54"/>
  </r>
  <r>
    <d v="2016-09-04T00:00:00"/>
    <x v="3"/>
    <n v="9"/>
    <x v="8"/>
    <x v="3"/>
    <x v="5"/>
    <x v="2"/>
    <x v="5"/>
    <s v="Self-Adhesive Address Labels"/>
    <n v="1499.15"/>
    <n v="7"/>
    <n v="362.95"/>
  </r>
  <r>
    <d v="2016-09-05T00:00:00"/>
    <x v="3"/>
    <n v="9"/>
    <x v="8"/>
    <x v="12"/>
    <x v="0"/>
    <x v="2"/>
    <x v="2"/>
    <s v="Hon Deluxe Fabric Upholstered Stacking Chairs"/>
    <n v="1699.58"/>
    <n v="6"/>
    <n v="153.22999999999999"/>
  </r>
  <r>
    <d v="2016-09-05T00:00:00"/>
    <x v="3"/>
    <n v="9"/>
    <x v="8"/>
    <x v="4"/>
    <x v="7"/>
    <x v="0"/>
    <x v="7"/>
    <s v="Fellowes PB200 Comb Binding Machine"/>
    <n v="142.59"/>
    <n v="8"/>
    <n v="-49.88"/>
  </r>
  <r>
    <d v="2016-09-07T00:00:00"/>
    <x v="3"/>
    <n v="9"/>
    <x v="8"/>
    <x v="2"/>
    <x v="1"/>
    <x v="2"/>
    <x v="2"/>
    <s v="Fellowes PB200 Comb Binding Machine"/>
    <n v="1461.92"/>
    <n v="2"/>
    <n v="234.02"/>
  </r>
  <r>
    <d v="2016-09-08T00:00:00"/>
    <x v="3"/>
    <n v="9"/>
    <x v="8"/>
    <x v="5"/>
    <x v="2"/>
    <x v="2"/>
    <x v="5"/>
    <s v="Self-Adhesive Address Labels"/>
    <n v="1494.8"/>
    <n v="7"/>
    <n v="92.21"/>
  </r>
  <r>
    <d v="2016-09-08T00:00:00"/>
    <x v="3"/>
    <n v="9"/>
    <x v="8"/>
    <x v="1"/>
    <x v="0"/>
    <x v="2"/>
    <x v="8"/>
    <s v="Bush Somerset Collection Bookcase"/>
    <n v="967.74"/>
    <n v="3"/>
    <n v="-82.04"/>
  </r>
  <r>
    <d v="2016-09-08T00:00:00"/>
    <x v="3"/>
    <n v="9"/>
    <x v="8"/>
    <x v="1"/>
    <x v="0"/>
    <x v="2"/>
    <x v="1"/>
    <s v="Newell 322"/>
    <n v="207.4"/>
    <n v="5"/>
    <n v="73.05"/>
  </r>
  <r>
    <d v="2016-09-09T00:00:00"/>
    <x v="3"/>
    <n v="9"/>
    <x v="8"/>
    <x v="5"/>
    <x v="6"/>
    <x v="2"/>
    <x v="0"/>
    <s v="Eldon Fold 'N Roll Cart System"/>
    <n v="1238.94"/>
    <n v="1"/>
    <n v="-47.67"/>
  </r>
  <r>
    <d v="2016-09-10T00:00:00"/>
    <x v="3"/>
    <n v="9"/>
    <x v="8"/>
    <x v="11"/>
    <x v="5"/>
    <x v="2"/>
    <x v="3"/>
    <s v="Newell 322"/>
    <n v="512.29999999999995"/>
    <n v="6"/>
    <n v="104.01"/>
  </r>
  <r>
    <d v="2016-09-11T00:00:00"/>
    <x v="3"/>
    <n v="9"/>
    <x v="8"/>
    <x v="12"/>
    <x v="8"/>
    <x v="1"/>
    <x v="0"/>
    <s v="Eldon Fold 'N Roll Cart System"/>
    <n v="1512.2"/>
    <n v="1"/>
    <n v="257.7"/>
  </r>
  <r>
    <d v="2016-09-12T00:00:00"/>
    <x v="3"/>
    <n v="9"/>
    <x v="8"/>
    <x v="8"/>
    <x v="1"/>
    <x v="2"/>
    <x v="8"/>
    <s v="Eldon Fold 'N Roll Cart System"/>
    <n v="1957.92"/>
    <n v="8"/>
    <n v="240.49"/>
  </r>
  <r>
    <d v="2016-09-15T00:00:00"/>
    <x v="3"/>
    <n v="9"/>
    <x v="8"/>
    <x v="0"/>
    <x v="8"/>
    <x v="2"/>
    <x v="3"/>
    <s v="Newell 322"/>
    <n v="1278.6199999999999"/>
    <n v="5"/>
    <n v="60.05"/>
  </r>
  <r>
    <d v="2016-09-15T00:00:00"/>
    <x v="3"/>
    <n v="9"/>
    <x v="8"/>
    <x v="1"/>
    <x v="7"/>
    <x v="1"/>
    <x v="0"/>
    <s v="Self-Adhesive Address Labels"/>
    <n v="551"/>
    <n v="3"/>
    <n v="276.06"/>
  </r>
  <r>
    <d v="2016-09-15T00:00:00"/>
    <x v="3"/>
    <n v="9"/>
    <x v="8"/>
    <x v="7"/>
    <x v="4"/>
    <x v="0"/>
    <x v="4"/>
    <s v="Belkin 6 Outlet Surge"/>
    <n v="1055.1500000000001"/>
    <n v="8"/>
    <n v="265.31"/>
  </r>
  <r>
    <d v="2016-09-16T00:00:00"/>
    <x v="3"/>
    <n v="9"/>
    <x v="8"/>
    <x v="9"/>
    <x v="5"/>
    <x v="1"/>
    <x v="4"/>
    <s v="Newell 322"/>
    <n v="29.3"/>
    <n v="2"/>
    <n v="354.53"/>
  </r>
  <r>
    <d v="2016-09-17T00:00:00"/>
    <x v="3"/>
    <n v="9"/>
    <x v="8"/>
    <x v="2"/>
    <x v="5"/>
    <x v="2"/>
    <x v="7"/>
    <s v="Self-Adhesive Address Labels"/>
    <n v="1232.18"/>
    <n v="2"/>
    <n v="282.26"/>
  </r>
  <r>
    <d v="2016-09-20T00:00:00"/>
    <x v="3"/>
    <n v="9"/>
    <x v="8"/>
    <x v="8"/>
    <x v="4"/>
    <x v="0"/>
    <x v="4"/>
    <s v="Eldon Expressions Desk Accessories"/>
    <n v="1108.52"/>
    <n v="5"/>
    <n v="115.47"/>
  </r>
  <r>
    <d v="2016-09-20T00:00:00"/>
    <x v="3"/>
    <n v="9"/>
    <x v="8"/>
    <x v="8"/>
    <x v="2"/>
    <x v="0"/>
    <x v="8"/>
    <s v="Eldon Fold 'N Roll Cart System"/>
    <n v="698.75"/>
    <n v="9"/>
    <n v="67.37"/>
  </r>
  <r>
    <d v="2016-09-25T00:00:00"/>
    <x v="3"/>
    <n v="9"/>
    <x v="8"/>
    <x v="2"/>
    <x v="5"/>
    <x v="1"/>
    <x v="8"/>
    <s v="Hon Deluxe Fabric Upholstered Stacking Chairs"/>
    <n v="510.35"/>
    <n v="8"/>
    <n v="393.3"/>
  </r>
  <r>
    <d v="2016-09-25T00:00:00"/>
    <x v="3"/>
    <n v="9"/>
    <x v="8"/>
    <x v="3"/>
    <x v="2"/>
    <x v="1"/>
    <x v="4"/>
    <s v="Hon Deluxe Fabric Upholstered Stacking Chairs"/>
    <n v="1961.14"/>
    <n v="2"/>
    <n v="309.92"/>
  </r>
  <r>
    <d v="2016-09-27T00:00:00"/>
    <x v="3"/>
    <n v="9"/>
    <x v="8"/>
    <x v="9"/>
    <x v="9"/>
    <x v="2"/>
    <x v="0"/>
    <s v="Newell 322"/>
    <n v="1868.38"/>
    <n v="2"/>
    <n v="-127.66"/>
  </r>
  <r>
    <d v="2016-09-27T00:00:00"/>
    <x v="3"/>
    <n v="9"/>
    <x v="8"/>
    <x v="10"/>
    <x v="7"/>
    <x v="1"/>
    <x v="5"/>
    <s v="Hon Deluxe Fabric Upholstered Stacking Chairs"/>
    <n v="28.41"/>
    <n v="2"/>
    <n v="185.67"/>
  </r>
  <r>
    <d v="2016-09-27T00:00:00"/>
    <x v="3"/>
    <n v="9"/>
    <x v="8"/>
    <x v="9"/>
    <x v="8"/>
    <x v="2"/>
    <x v="1"/>
    <s v="Bush Somerset Collection Bookcase"/>
    <n v="1769.16"/>
    <n v="8"/>
    <n v="59.8"/>
  </r>
  <r>
    <d v="2016-09-29T00:00:00"/>
    <x v="3"/>
    <n v="9"/>
    <x v="8"/>
    <x v="11"/>
    <x v="5"/>
    <x v="2"/>
    <x v="7"/>
    <s v="Fellowes PB200 Comb Binding Machine"/>
    <n v="835.55"/>
    <n v="6"/>
    <n v="-121.48"/>
  </r>
  <r>
    <d v="2016-09-29T00:00:00"/>
    <x v="3"/>
    <n v="9"/>
    <x v="8"/>
    <x v="12"/>
    <x v="6"/>
    <x v="0"/>
    <x v="2"/>
    <s v="Hon Deluxe Fabric Upholstered Stacking Chairs"/>
    <n v="191.22"/>
    <n v="3"/>
    <n v="296.27999999999997"/>
  </r>
  <r>
    <d v="2016-09-29T00:00:00"/>
    <x v="3"/>
    <n v="9"/>
    <x v="8"/>
    <x v="5"/>
    <x v="9"/>
    <x v="0"/>
    <x v="7"/>
    <s v="Bretford CR4500 Series Table"/>
    <n v="1077.74"/>
    <n v="9"/>
    <n v="-96.6"/>
  </r>
  <r>
    <d v="2016-10-01T00:00:00"/>
    <x v="3"/>
    <n v="10"/>
    <x v="9"/>
    <x v="0"/>
    <x v="4"/>
    <x v="2"/>
    <x v="8"/>
    <s v="Bush Somerset Collection Bookcase"/>
    <n v="211.05"/>
    <n v="5"/>
    <n v="-37.74"/>
  </r>
  <r>
    <d v="2016-10-01T00:00:00"/>
    <x v="3"/>
    <n v="10"/>
    <x v="9"/>
    <x v="4"/>
    <x v="6"/>
    <x v="0"/>
    <x v="2"/>
    <s v="Hon Deluxe Fabric Upholstered Stacking Chairs"/>
    <n v="1637.79"/>
    <n v="3"/>
    <n v="287.11"/>
  </r>
  <r>
    <d v="2016-10-01T00:00:00"/>
    <x v="3"/>
    <n v="10"/>
    <x v="9"/>
    <x v="3"/>
    <x v="5"/>
    <x v="1"/>
    <x v="7"/>
    <s v="Newell 322"/>
    <n v="913.65"/>
    <n v="4"/>
    <n v="-106.81"/>
  </r>
  <r>
    <d v="2016-10-01T00:00:00"/>
    <x v="3"/>
    <n v="10"/>
    <x v="9"/>
    <x v="12"/>
    <x v="9"/>
    <x v="1"/>
    <x v="4"/>
    <s v="Eldon Expressions Desk Accessories"/>
    <n v="1439.88"/>
    <n v="5"/>
    <n v="-111.42"/>
  </r>
  <r>
    <d v="2016-10-03T00:00:00"/>
    <x v="3"/>
    <n v="10"/>
    <x v="9"/>
    <x v="8"/>
    <x v="6"/>
    <x v="1"/>
    <x v="2"/>
    <s v="Belkin 6 Outlet Surge"/>
    <n v="1161.3800000000001"/>
    <n v="7"/>
    <n v="40.81"/>
  </r>
  <r>
    <d v="2016-10-03T00:00:00"/>
    <x v="3"/>
    <n v="10"/>
    <x v="9"/>
    <x v="0"/>
    <x v="5"/>
    <x v="1"/>
    <x v="2"/>
    <s v="Eldon Fold 'N Roll Cart System"/>
    <n v="764.53"/>
    <n v="6"/>
    <n v="-52.7"/>
  </r>
  <r>
    <d v="2016-10-03T00:00:00"/>
    <x v="3"/>
    <n v="10"/>
    <x v="9"/>
    <x v="5"/>
    <x v="9"/>
    <x v="2"/>
    <x v="2"/>
    <s v="Fellowes PB200 Comb Binding Machine"/>
    <n v="399.19"/>
    <n v="4"/>
    <n v="-12.66"/>
  </r>
  <r>
    <d v="2016-10-04T00:00:00"/>
    <x v="3"/>
    <n v="10"/>
    <x v="9"/>
    <x v="4"/>
    <x v="9"/>
    <x v="1"/>
    <x v="6"/>
    <s v="Bush Somerset Collection Bookcase"/>
    <n v="1278.52"/>
    <n v="3"/>
    <n v="127.14"/>
  </r>
  <r>
    <d v="2016-10-04T00:00:00"/>
    <x v="3"/>
    <n v="10"/>
    <x v="9"/>
    <x v="2"/>
    <x v="9"/>
    <x v="2"/>
    <x v="4"/>
    <s v="Bush Somerset Collection Bookcase"/>
    <n v="1209.5899999999999"/>
    <n v="1"/>
    <n v="-18.36"/>
  </r>
  <r>
    <d v="2016-10-04T00:00:00"/>
    <x v="3"/>
    <n v="10"/>
    <x v="9"/>
    <x v="6"/>
    <x v="2"/>
    <x v="0"/>
    <x v="6"/>
    <s v="Bretford CR4500 Series Table"/>
    <n v="130.27000000000001"/>
    <n v="9"/>
    <n v="54.78"/>
  </r>
  <r>
    <d v="2016-10-04T00:00:00"/>
    <x v="3"/>
    <n v="10"/>
    <x v="9"/>
    <x v="0"/>
    <x v="3"/>
    <x v="0"/>
    <x v="1"/>
    <s v="Fellowes PB200 Comb Binding Machine"/>
    <n v="435.87"/>
    <n v="8"/>
    <n v="-79"/>
  </r>
  <r>
    <d v="2016-10-04T00:00:00"/>
    <x v="3"/>
    <n v="10"/>
    <x v="9"/>
    <x v="8"/>
    <x v="2"/>
    <x v="1"/>
    <x v="7"/>
    <s v="Bretford CR4500 Series Table"/>
    <n v="667.96"/>
    <n v="8"/>
    <n v="264.41000000000003"/>
  </r>
  <r>
    <d v="2016-10-05T00:00:00"/>
    <x v="3"/>
    <n v="10"/>
    <x v="9"/>
    <x v="10"/>
    <x v="7"/>
    <x v="0"/>
    <x v="0"/>
    <s v="Eldon Fold 'N Roll Cart System"/>
    <n v="665.54"/>
    <n v="4"/>
    <n v="-168.52"/>
  </r>
  <r>
    <d v="2016-10-05T00:00:00"/>
    <x v="3"/>
    <n v="10"/>
    <x v="9"/>
    <x v="2"/>
    <x v="8"/>
    <x v="1"/>
    <x v="3"/>
    <s v="Bretford CR4500 Series Table"/>
    <n v="125.75"/>
    <n v="1"/>
    <n v="-66.849999999999994"/>
  </r>
  <r>
    <d v="2016-10-09T00:00:00"/>
    <x v="3"/>
    <n v="10"/>
    <x v="9"/>
    <x v="5"/>
    <x v="2"/>
    <x v="1"/>
    <x v="3"/>
    <s v="Eldon Expressions Desk Accessories"/>
    <n v="1130.6199999999999"/>
    <n v="5"/>
    <n v="223.26"/>
  </r>
  <r>
    <d v="2016-10-11T00:00:00"/>
    <x v="3"/>
    <n v="10"/>
    <x v="9"/>
    <x v="9"/>
    <x v="7"/>
    <x v="1"/>
    <x v="2"/>
    <s v="Newell 322"/>
    <n v="1381.57"/>
    <n v="6"/>
    <n v="362.94"/>
  </r>
  <r>
    <d v="2016-10-12T00:00:00"/>
    <x v="3"/>
    <n v="10"/>
    <x v="9"/>
    <x v="8"/>
    <x v="7"/>
    <x v="1"/>
    <x v="5"/>
    <s v="Hon Deluxe Fabric Upholstered Stacking Chairs"/>
    <n v="1182"/>
    <n v="8"/>
    <n v="6.86"/>
  </r>
  <r>
    <d v="2016-10-14T00:00:00"/>
    <x v="3"/>
    <n v="10"/>
    <x v="9"/>
    <x v="7"/>
    <x v="1"/>
    <x v="0"/>
    <x v="2"/>
    <s v="Bush Somerset Collection Bookcase"/>
    <n v="1467.26"/>
    <n v="6"/>
    <n v="28"/>
  </r>
  <r>
    <d v="2016-10-14T00:00:00"/>
    <x v="3"/>
    <n v="10"/>
    <x v="9"/>
    <x v="0"/>
    <x v="8"/>
    <x v="1"/>
    <x v="4"/>
    <s v="Belkin 6 Outlet Surge"/>
    <n v="187.12"/>
    <n v="7"/>
    <n v="90.43"/>
  </r>
  <r>
    <d v="2016-10-14T00:00:00"/>
    <x v="3"/>
    <n v="10"/>
    <x v="9"/>
    <x v="4"/>
    <x v="8"/>
    <x v="1"/>
    <x v="4"/>
    <s v="Bush Somerset Collection Bookcase"/>
    <n v="263.47000000000003"/>
    <n v="7"/>
    <n v="-85.73"/>
  </r>
  <r>
    <d v="2016-10-15T00:00:00"/>
    <x v="3"/>
    <n v="10"/>
    <x v="9"/>
    <x v="11"/>
    <x v="8"/>
    <x v="1"/>
    <x v="1"/>
    <s v="Cisco SPA 501G IP Phone"/>
    <n v="349.42"/>
    <n v="4"/>
    <n v="221.74"/>
  </r>
  <r>
    <d v="2016-10-16T00:00:00"/>
    <x v="3"/>
    <n v="10"/>
    <x v="9"/>
    <x v="2"/>
    <x v="7"/>
    <x v="1"/>
    <x v="5"/>
    <s v="Newell 322"/>
    <n v="932.71"/>
    <n v="7"/>
    <n v="125.87"/>
  </r>
  <r>
    <d v="2016-10-16T00:00:00"/>
    <x v="3"/>
    <n v="10"/>
    <x v="9"/>
    <x v="10"/>
    <x v="4"/>
    <x v="2"/>
    <x v="7"/>
    <s v="Eldon Fold 'N Roll Cart System"/>
    <n v="1361.84"/>
    <n v="3"/>
    <n v="14.29"/>
  </r>
  <r>
    <d v="2016-10-18T00:00:00"/>
    <x v="3"/>
    <n v="10"/>
    <x v="9"/>
    <x v="2"/>
    <x v="9"/>
    <x v="1"/>
    <x v="2"/>
    <s v="Eldon Fold 'N Roll Cart System"/>
    <n v="269.61"/>
    <n v="1"/>
    <n v="79.260000000000005"/>
  </r>
  <r>
    <d v="2016-10-19T00:00:00"/>
    <x v="3"/>
    <n v="10"/>
    <x v="9"/>
    <x v="8"/>
    <x v="0"/>
    <x v="0"/>
    <x v="8"/>
    <s v="Hon Deluxe Fabric Upholstered Stacking Chairs"/>
    <n v="1421.45"/>
    <n v="5"/>
    <n v="-7.88"/>
  </r>
  <r>
    <d v="2016-10-20T00:00:00"/>
    <x v="3"/>
    <n v="10"/>
    <x v="9"/>
    <x v="8"/>
    <x v="3"/>
    <x v="1"/>
    <x v="7"/>
    <s v="Newell 322"/>
    <n v="944.99"/>
    <n v="9"/>
    <n v="271.77999999999997"/>
  </r>
  <r>
    <d v="2016-10-20T00:00:00"/>
    <x v="3"/>
    <n v="10"/>
    <x v="9"/>
    <x v="0"/>
    <x v="9"/>
    <x v="2"/>
    <x v="5"/>
    <s v="Bretford CR4500 Series Table"/>
    <n v="1382.89"/>
    <n v="4"/>
    <n v="-75.52"/>
  </r>
  <r>
    <d v="2016-10-21T00:00:00"/>
    <x v="3"/>
    <n v="10"/>
    <x v="9"/>
    <x v="6"/>
    <x v="7"/>
    <x v="1"/>
    <x v="3"/>
    <s v="Fellowes PB200 Comb Binding Machine"/>
    <n v="1677.94"/>
    <n v="7"/>
    <n v="241.37"/>
  </r>
  <r>
    <d v="2016-10-22T00:00:00"/>
    <x v="3"/>
    <n v="10"/>
    <x v="9"/>
    <x v="9"/>
    <x v="8"/>
    <x v="1"/>
    <x v="0"/>
    <s v="Hon Deluxe Fabric Upholstered Stacking Chairs"/>
    <n v="1916.09"/>
    <n v="8"/>
    <n v="-157.16"/>
  </r>
  <r>
    <d v="2016-10-22T00:00:00"/>
    <x v="3"/>
    <n v="10"/>
    <x v="9"/>
    <x v="1"/>
    <x v="5"/>
    <x v="1"/>
    <x v="0"/>
    <s v="Hon Deluxe Fabric Upholstered Stacking Chairs"/>
    <n v="151.03"/>
    <n v="3"/>
    <n v="132.08000000000001"/>
  </r>
  <r>
    <d v="2016-10-24T00:00:00"/>
    <x v="3"/>
    <n v="10"/>
    <x v="9"/>
    <x v="4"/>
    <x v="7"/>
    <x v="0"/>
    <x v="2"/>
    <s v="Hon Deluxe Fabric Upholstered Stacking Chairs"/>
    <n v="1074.4000000000001"/>
    <n v="3"/>
    <n v="-104.42"/>
  </r>
  <r>
    <d v="2016-10-24T00:00:00"/>
    <x v="3"/>
    <n v="10"/>
    <x v="9"/>
    <x v="1"/>
    <x v="1"/>
    <x v="2"/>
    <x v="7"/>
    <s v="Cisco SPA 501G IP Phone"/>
    <n v="1399.45"/>
    <n v="7"/>
    <n v="359.38"/>
  </r>
  <r>
    <d v="2016-10-24T00:00:00"/>
    <x v="3"/>
    <n v="10"/>
    <x v="9"/>
    <x v="5"/>
    <x v="1"/>
    <x v="1"/>
    <x v="7"/>
    <s v="Hon Deluxe Fabric Upholstered Stacking Chairs"/>
    <n v="1946.06"/>
    <n v="3"/>
    <n v="399.89"/>
  </r>
  <r>
    <d v="2016-10-26T00:00:00"/>
    <x v="3"/>
    <n v="10"/>
    <x v="9"/>
    <x v="3"/>
    <x v="3"/>
    <x v="1"/>
    <x v="2"/>
    <s v="Eldon Fold 'N Roll Cart System"/>
    <n v="1145.07"/>
    <n v="2"/>
    <n v="36.92"/>
  </r>
  <r>
    <d v="2016-10-26T00:00:00"/>
    <x v="3"/>
    <n v="10"/>
    <x v="9"/>
    <x v="10"/>
    <x v="3"/>
    <x v="0"/>
    <x v="6"/>
    <s v="Belkin 6 Outlet Surge"/>
    <n v="1087.96"/>
    <n v="8"/>
    <n v="261.77"/>
  </r>
  <r>
    <d v="2016-10-28T00:00:00"/>
    <x v="3"/>
    <n v="10"/>
    <x v="9"/>
    <x v="8"/>
    <x v="1"/>
    <x v="0"/>
    <x v="0"/>
    <s v="Newell 322"/>
    <n v="1215.46"/>
    <n v="2"/>
    <n v="237.95"/>
  </r>
  <r>
    <d v="2016-10-28T00:00:00"/>
    <x v="3"/>
    <n v="10"/>
    <x v="9"/>
    <x v="11"/>
    <x v="1"/>
    <x v="2"/>
    <x v="0"/>
    <s v="Fellowes PB200 Comb Binding Machine"/>
    <n v="1887.16"/>
    <n v="9"/>
    <n v="-97.23"/>
  </r>
  <r>
    <d v="2016-10-28T00:00:00"/>
    <x v="3"/>
    <n v="10"/>
    <x v="9"/>
    <x v="1"/>
    <x v="3"/>
    <x v="1"/>
    <x v="4"/>
    <s v="Hon Deluxe Fabric Upholstered Stacking Chairs"/>
    <n v="299.8"/>
    <n v="2"/>
    <n v="-187.98"/>
  </r>
  <r>
    <d v="2016-10-29T00:00:00"/>
    <x v="3"/>
    <n v="10"/>
    <x v="9"/>
    <x v="10"/>
    <x v="4"/>
    <x v="1"/>
    <x v="8"/>
    <s v="Belkin 6 Outlet Surge"/>
    <n v="86.02"/>
    <n v="3"/>
    <n v="-48.53"/>
  </r>
  <r>
    <d v="2016-10-29T00:00:00"/>
    <x v="3"/>
    <n v="10"/>
    <x v="9"/>
    <x v="2"/>
    <x v="3"/>
    <x v="0"/>
    <x v="7"/>
    <s v="Cisco SPA 501G IP Phone"/>
    <n v="46.53"/>
    <n v="8"/>
    <n v="221.68"/>
  </r>
  <r>
    <d v="2016-10-30T00:00:00"/>
    <x v="3"/>
    <n v="10"/>
    <x v="9"/>
    <x v="11"/>
    <x v="9"/>
    <x v="2"/>
    <x v="6"/>
    <s v="Fellowes PB200 Comb Binding Machine"/>
    <n v="1484.15"/>
    <n v="6"/>
    <n v="375.83"/>
  </r>
  <r>
    <d v="2016-10-31T00:00:00"/>
    <x v="3"/>
    <n v="10"/>
    <x v="9"/>
    <x v="12"/>
    <x v="1"/>
    <x v="2"/>
    <x v="2"/>
    <s v="Eldon Expressions Desk Accessories"/>
    <n v="1044.96"/>
    <n v="1"/>
    <n v="346.86"/>
  </r>
  <r>
    <d v="2016-11-01T00:00:00"/>
    <x v="3"/>
    <n v="11"/>
    <x v="10"/>
    <x v="2"/>
    <x v="8"/>
    <x v="0"/>
    <x v="5"/>
    <s v="Belkin 6 Outlet Surge"/>
    <n v="1513.32"/>
    <n v="3"/>
    <n v="-135.5"/>
  </r>
  <r>
    <d v="2016-11-01T00:00:00"/>
    <x v="3"/>
    <n v="11"/>
    <x v="10"/>
    <x v="8"/>
    <x v="0"/>
    <x v="1"/>
    <x v="6"/>
    <s v="Fellowes PB200 Comb Binding Machine"/>
    <n v="861.37"/>
    <n v="5"/>
    <n v="323.37"/>
  </r>
  <r>
    <d v="2016-11-02T00:00:00"/>
    <x v="3"/>
    <n v="11"/>
    <x v="10"/>
    <x v="11"/>
    <x v="5"/>
    <x v="1"/>
    <x v="4"/>
    <s v="Newell 322"/>
    <n v="343.57"/>
    <n v="3"/>
    <n v="110.7"/>
  </r>
  <r>
    <d v="2016-11-02T00:00:00"/>
    <x v="3"/>
    <n v="11"/>
    <x v="10"/>
    <x v="9"/>
    <x v="1"/>
    <x v="1"/>
    <x v="5"/>
    <s v="Self-Adhesive Address Labels"/>
    <n v="1271.22"/>
    <n v="3"/>
    <n v="71.67"/>
  </r>
  <r>
    <d v="2016-11-03T00:00:00"/>
    <x v="3"/>
    <n v="11"/>
    <x v="10"/>
    <x v="12"/>
    <x v="5"/>
    <x v="2"/>
    <x v="8"/>
    <s v="Fellowes PB200 Comb Binding Machine"/>
    <n v="1742.1"/>
    <n v="8"/>
    <n v="69.69"/>
  </r>
  <r>
    <d v="2016-11-04T00:00:00"/>
    <x v="3"/>
    <n v="11"/>
    <x v="10"/>
    <x v="2"/>
    <x v="1"/>
    <x v="1"/>
    <x v="7"/>
    <s v="Newell 322"/>
    <n v="1601.16"/>
    <n v="8"/>
    <n v="131.91"/>
  </r>
  <r>
    <d v="2016-11-04T00:00:00"/>
    <x v="3"/>
    <n v="11"/>
    <x v="10"/>
    <x v="8"/>
    <x v="8"/>
    <x v="2"/>
    <x v="2"/>
    <s v="Eldon Fold 'N Roll Cart System"/>
    <n v="813.48"/>
    <n v="3"/>
    <n v="254.04"/>
  </r>
  <r>
    <d v="2016-11-05T00:00:00"/>
    <x v="3"/>
    <n v="11"/>
    <x v="10"/>
    <x v="0"/>
    <x v="7"/>
    <x v="1"/>
    <x v="0"/>
    <s v="Bretford CR4500 Series Table"/>
    <n v="226.91"/>
    <n v="8"/>
    <n v="-133.75"/>
  </r>
  <r>
    <d v="2016-11-08T00:00:00"/>
    <x v="3"/>
    <n v="11"/>
    <x v="10"/>
    <x v="1"/>
    <x v="9"/>
    <x v="0"/>
    <x v="7"/>
    <s v="Cisco SPA 501G IP Phone"/>
    <n v="1345.24"/>
    <n v="2"/>
    <n v="274.17"/>
  </r>
  <r>
    <d v="2016-11-09T00:00:00"/>
    <x v="3"/>
    <n v="11"/>
    <x v="10"/>
    <x v="7"/>
    <x v="1"/>
    <x v="1"/>
    <x v="0"/>
    <s v="Bush Somerset Collection Bookcase"/>
    <n v="1563.24"/>
    <n v="3"/>
    <n v="359.07"/>
  </r>
  <r>
    <d v="2016-11-10T00:00:00"/>
    <x v="3"/>
    <n v="11"/>
    <x v="10"/>
    <x v="0"/>
    <x v="1"/>
    <x v="1"/>
    <x v="3"/>
    <s v="Fellowes PB200 Comb Binding Machine"/>
    <n v="1338.53"/>
    <n v="9"/>
    <n v="-49.61"/>
  </r>
  <r>
    <d v="2016-11-10T00:00:00"/>
    <x v="3"/>
    <n v="11"/>
    <x v="10"/>
    <x v="0"/>
    <x v="1"/>
    <x v="2"/>
    <x v="0"/>
    <s v="Eldon Fold 'N Roll Cart System"/>
    <n v="1092.92"/>
    <n v="5"/>
    <n v="-24.56"/>
  </r>
  <r>
    <d v="2016-11-10T00:00:00"/>
    <x v="3"/>
    <n v="11"/>
    <x v="10"/>
    <x v="6"/>
    <x v="1"/>
    <x v="2"/>
    <x v="4"/>
    <s v="Fellowes PB200 Comb Binding Machine"/>
    <n v="408.02"/>
    <n v="9"/>
    <n v="90.34"/>
  </r>
  <r>
    <d v="2016-11-10T00:00:00"/>
    <x v="3"/>
    <n v="11"/>
    <x v="10"/>
    <x v="1"/>
    <x v="9"/>
    <x v="1"/>
    <x v="7"/>
    <s v="Cisco SPA 501G IP Phone"/>
    <n v="1749.47"/>
    <n v="4"/>
    <n v="-111.98"/>
  </r>
  <r>
    <d v="2016-11-11T00:00:00"/>
    <x v="3"/>
    <n v="11"/>
    <x v="10"/>
    <x v="9"/>
    <x v="8"/>
    <x v="0"/>
    <x v="2"/>
    <s v="Hon Deluxe Fabric Upholstered Stacking Chairs"/>
    <n v="1222.8"/>
    <n v="7"/>
    <n v="-116.16"/>
  </r>
  <r>
    <d v="2016-11-12T00:00:00"/>
    <x v="3"/>
    <n v="11"/>
    <x v="10"/>
    <x v="9"/>
    <x v="6"/>
    <x v="2"/>
    <x v="7"/>
    <s v="Newell 322"/>
    <n v="337.14"/>
    <n v="1"/>
    <n v="388.33"/>
  </r>
  <r>
    <d v="2016-11-14T00:00:00"/>
    <x v="3"/>
    <n v="11"/>
    <x v="10"/>
    <x v="6"/>
    <x v="2"/>
    <x v="1"/>
    <x v="5"/>
    <s v="Self-Adhesive Address Labels"/>
    <n v="263.08999999999997"/>
    <n v="5"/>
    <n v="-1.48"/>
  </r>
  <r>
    <d v="2016-11-15T00:00:00"/>
    <x v="3"/>
    <n v="11"/>
    <x v="10"/>
    <x v="1"/>
    <x v="6"/>
    <x v="0"/>
    <x v="4"/>
    <s v="Self-Adhesive Address Labels"/>
    <n v="1096.74"/>
    <n v="2"/>
    <n v="159.08000000000001"/>
  </r>
  <r>
    <d v="2016-11-16T00:00:00"/>
    <x v="3"/>
    <n v="11"/>
    <x v="10"/>
    <x v="6"/>
    <x v="5"/>
    <x v="2"/>
    <x v="3"/>
    <s v="Newell 322"/>
    <n v="934.02"/>
    <n v="4"/>
    <n v="275.89999999999998"/>
  </r>
  <r>
    <d v="2016-11-16T00:00:00"/>
    <x v="3"/>
    <n v="11"/>
    <x v="10"/>
    <x v="6"/>
    <x v="0"/>
    <x v="1"/>
    <x v="7"/>
    <s v="Eldon Expressions Desk Accessories"/>
    <n v="663.01"/>
    <n v="8"/>
    <n v="355.64"/>
  </r>
  <r>
    <d v="2016-11-17T00:00:00"/>
    <x v="3"/>
    <n v="11"/>
    <x v="10"/>
    <x v="12"/>
    <x v="4"/>
    <x v="2"/>
    <x v="8"/>
    <s v="Cisco SPA 501G IP Phone"/>
    <n v="278.22000000000003"/>
    <n v="4"/>
    <n v="-53.64"/>
  </r>
  <r>
    <d v="2016-11-17T00:00:00"/>
    <x v="3"/>
    <n v="11"/>
    <x v="10"/>
    <x v="5"/>
    <x v="7"/>
    <x v="0"/>
    <x v="0"/>
    <s v="Fellowes PB200 Comb Binding Machine"/>
    <n v="1383.03"/>
    <n v="8"/>
    <n v="273.8"/>
  </r>
  <r>
    <d v="2016-11-17T00:00:00"/>
    <x v="3"/>
    <n v="11"/>
    <x v="10"/>
    <x v="6"/>
    <x v="9"/>
    <x v="1"/>
    <x v="4"/>
    <s v="Eldon Expressions Desk Accessories"/>
    <n v="690.01"/>
    <n v="4"/>
    <n v="-128.86000000000001"/>
  </r>
  <r>
    <d v="2016-11-18T00:00:00"/>
    <x v="3"/>
    <n v="11"/>
    <x v="10"/>
    <x v="9"/>
    <x v="2"/>
    <x v="1"/>
    <x v="6"/>
    <s v="Bretford CR4500 Series Table"/>
    <n v="1613.11"/>
    <n v="4"/>
    <n v="308.64999999999998"/>
  </r>
  <r>
    <d v="2016-11-18T00:00:00"/>
    <x v="3"/>
    <n v="11"/>
    <x v="10"/>
    <x v="3"/>
    <x v="2"/>
    <x v="2"/>
    <x v="1"/>
    <s v="Hon Deluxe Fabric Upholstered Stacking Chairs"/>
    <n v="1623.92"/>
    <n v="5"/>
    <n v="-132.26"/>
  </r>
  <r>
    <d v="2016-11-21T00:00:00"/>
    <x v="3"/>
    <n v="11"/>
    <x v="10"/>
    <x v="12"/>
    <x v="7"/>
    <x v="1"/>
    <x v="8"/>
    <s v="Cisco SPA 501G IP Phone"/>
    <n v="963.29"/>
    <n v="4"/>
    <n v="-126.67"/>
  </r>
  <r>
    <d v="2016-11-25T00:00:00"/>
    <x v="3"/>
    <n v="11"/>
    <x v="10"/>
    <x v="12"/>
    <x v="9"/>
    <x v="0"/>
    <x v="7"/>
    <s v="Bretford CR4500 Series Table"/>
    <n v="438.02"/>
    <n v="9"/>
    <n v="-84.74"/>
  </r>
  <r>
    <d v="2016-11-25T00:00:00"/>
    <x v="3"/>
    <n v="11"/>
    <x v="10"/>
    <x v="11"/>
    <x v="6"/>
    <x v="1"/>
    <x v="1"/>
    <s v="Bush Somerset Collection Bookcase"/>
    <n v="365.01"/>
    <n v="7"/>
    <n v="-108.39"/>
  </r>
  <r>
    <d v="2016-11-26T00:00:00"/>
    <x v="3"/>
    <n v="11"/>
    <x v="10"/>
    <x v="1"/>
    <x v="5"/>
    <x v="2"/>
    <x v="3"/>
    <s v="Cisco SPA 501G IP Phone"/>
    <n v="77.239999999999995"/>
    <n v="7"/>
    <n v="189.05"/>
  </r>
  <r>
    <d v="2016-11-27T00:00:00"/>
    <x v="3"/>
    <n v="11"/>
    <x v="10"/>
    <x v="4"/>
    <x v="1"/>
    <x v="1"/>
    <x v="7"/>
    <s v="Belkin 6 Outlet Surge"/>
    <n v="556.34"/>
    <n v="3"/>
    <n v="61.97"/>
  </r>
  <r>
    <d v="2016-11-27T00:00:00"/>
    <x v="3"/>
    <n v="11"/>
    <x v="10"/>
    <x v="2"/>
    <x v="9"/>
    <x v="0"/>
    <x v="0"/>
    <s v="Hon Deluxe Fabric Upholstered Stacking Chairs"/>
    <n v="988.8"/>
    <n v="9"/>
    <n v="105.3"/>
  </r>
  <r>
    <d v="2016-11-29T00:00:00"/>
    <x v="3"/>
    <n v="11"/>
    <x v="10"/>
    <x v="8"/>
    <x v="2"/>
    <x v="1"/>
    <x v="5"/>
    <s v="Newell 322"/>
    <n v="1155.29"/>
    <n v="2"/>
    <n v="398.45"/>
  </r>
  <r>
    <d v="2016-11-29T00:00:00"/>
    <x v="3"/>
    <n v="11"/>
    <x v="10"/>
    <x v="2"/>
    <x v="5"/>
    <x v="2"/>
    <x v="8"/>
    <s v="Fellowes PB200 Comb Binding Machine"/>
    <n v="1782.43"/>
    <n v="6"/>
    <n v="226.87"/>
  </r>
  <r>
    <d v="2016-12-01T00:00:00"/>
    <x v="3"/>
    <n v="12"/>
    <x v="11"/>
    <x v="2"/>
    <x v="8"/>
    <x v="2"/>
    <x v="2"/>
    <s v="Bush Somerset Collection Bookcase"/>
    <n v="706.97"/>
    <n v="2"/>
    <n v="137.68"/>
  </r>
  <r>
    <d v="2016-12-01T00:00:00"/>
    <x v="3"/>
    <n v="12"/>
    <x v="11"/>
    <x v="2"/>
    <x v="4"/>
    <x v="2"/>
    <x v="4"/>
    <s v="Self-Adhesive Address Labels"/>
    <n v="197.48"/>
    <n v="7"/>
    <n v="-116.34"/>
  </r>
  <r>
    <d v="2016-12-02T00:00:00"/>
    <x v="3"/>
    <n v="12"/>
    <x v="11"/>
    <x v="6"/>
    <x v="2"/>
    <x v="2"/>
    <x v="0"/>
    <s v="Cisco SPA 501G IP Phone"/>
    <n v="1177.77"/>
    <n v="9"/>
    <n v="204.26"/>
  </r>
  <r>
    <d v="2016-12-03T00:00:00"/>
    <x v="3"/>
    <n v="12"/>
    <x v="11"/>
    <x v="9"/>
    <x v="8"/>
    <x v="1"/>
    <x v="7"/>
    <s v="Fellowes PB200 Comb Binding Machine"/>
    <n v="1251.31"/>
    <n v="2"/>
    <n v="160.74"/>
  </r>
  <r>
    <d v="2016-12-04T00:00:00"/>
    <x v="3"/>
    <n v="12"/>
    <x v="11"/>
    <x v="5"/>
    <x v="4"/>
    <x v="2"/>
    <x v="2"/>
    <s v="Newell 322"/>
    <n v="431.94"/>
    <n v="3"/>
    <n v="89.09"/>
  </r>
  <r>
    <d v="2016-12-04T00:00:00"/>
    <x v="3"/>
    <n v="12"/>
    <x v="11"/>
    <x v="5"/>
    <x v="8"/>
    <x v="2"/>
    <x v="1"/>
    <s v="Fellowes PB200 Comb Binding Machine"/>
    <n v="656.35"/>
    <n v="8"/>
    <n v="-121.57"/>
  </r>
  <r>
    <d v="2016-12-05T00:00:00"/>
    <x v="3"/>
    <n v="12"/>
    <x v="11"/>
    <x v="1"/>
    <x v="0"/>
    <x v="0"/>
    <x v="7"/>
    <s v="Fellowes PB200 Comb Binding Machine"/>
    <n v="439.12"/>
    <n v="3"/>
    <n v="232.72"/>
  </r>
  <r>
    <d v="2016-12-05T00:00:00"/>
    <x v="3"/>
    <n v="12"/>
    <x v="11"/>
    <x v="1"/>
    <x v="8"/>
    <x v="0"/>
    <x v="4"/>
    <s v="Belkin 6 Outlet Surge"/>
    <n v="590.12"/>
    <n v="8"/>
    <n v="156.91"/>
  </r>
  <r>
    <d v="2016-12-05T00:00:00"/>
    <x v="3"/>
    <n v="12"/>
    <x v="11"/>
    <x v="6"/>
    <x v="7"/>
    <x v="2"/>
    <x v="4"/>
    <s v="Cisco SPA 501G IP Phone"/>
    <n v="1311.12"/>
    <n v="9"/>
    <n v="-87.61"/>
  </r>
  <r>
    <d v="2016-12-08T00:00:00"/>
    <x v="3"/>
    <n v="12"/>
    <x v="11"/>
    <x v="2"/>
    <x v="5"/>
    <x v="0"/>
    <x v="7"/>
    <s v="Cisco SPA 501G IP Phone"/>
    <n v="1013.8"/>
    <n v="3"/>
    <n v="-3.97"/>
  </r>
  <r>
    <d v="2016-12-09T00:00:00"/>
    <x v="3"/>
    <n v="12"/>
    <x v="11"/>
    <x v="10"/>
    <x v="4"/>
    <x v="0"/>
    <x v="1"/>
    <s v="Fellowes PB200 Comb Binding Machine"/>
    <n v="1263.77"/>
    <n v="1"/>
    <n v="-44.75"/>
  </r>
  <r>
    <d v="2016-12-09T00:00:00"/>
    <x v="3"/>
    <n v="12"/>
    <x v="11"/>
    <x v="3"/>
    <x v="9"/>
    <x v="1"/>
    <x v="1"/>
    <s v="Self-Adhesive Address Labels"/>
    <n v="1232.23"/>
    <n v="5"/>
    <n v="3.5"/>
  </r>
  <r>
    <d v="2016-12-09T00:00:00"/>
    <x v="3"/>
    <n v="12"/>
    <x v="11"/>
    <x v="2"/>
    <x v="7"/>
    <x v="1"/>
    <x v="8"/>
    <s v="Eldon Expressions Desk Accessories"/>
    <n v="674.93"/>
    <n v="4"/>
    <n v="-93.68"/>
  </r>
  <r>
    <d v="2016-12-10T00:00:00"/>
    <x v="3"/>
    <n v="12"/>
    <x v="11"/>
    <x v="10"/>
    <x v="3"/>
    <x v="2"/>
    <x v="0"/>
    <s v="Bush Somerset Collection Bookcase"/>
    <n v="1222.3"/>
    <n v="2"/>
    <n v="167.81"/>
  </r>
  <r>
    <d v="2016-12-10T00:00:00"/>
    <x v="3"/>
    <n v="12"/>
    <x v="11"/>
    <x v="7"/>
    <x v="4"/>
    <x v="2"/>
    <x v="6"/>
    <s v="Bretford CR4500 Series Table"/>
    <n v="626.42999999999995"/>
    <n v="9"/>
    <n v="285.75"/>
  </r>
  <r>
    <d v="2016-12-11T00:00:00"/>
    <x v="3"/>
    <n v="12"/>
    <x v="11"/>
    <x v="2"/>
    <x v="5"/>
    <x v="2"/>
    <x v="5"/>
    <s v="Cisco SPA 501G IP Phone"/>
    <n v="1621.25"/>
    <n v="7"/>
    <n v="385.37"/>
  </r>
  <r>
    <d v="2016-12-12T00:00:00"/>
    <x v="3"/>
    <n v="12"/>
    <x v="11"/>
    <x v="6"/>
    <x v="2"/>
    <x v="2"/>
    <x v="8"/>
    <s v="Bretford CR4500 Series Table"/>
    <n v="177.16"/>
    <n v="5"/>
    <n v="-93.94"/>
  </r>
  <r>
    <d v="2016-12-13T00:00:00"/>
    <x v="3"/>
    <n v="12"/>
    <x v="11"/>
    <x v="5"/>
    <x v="7"/>
    <x v="0"/>
    <x v="6"/>
    <s v="Fellowes PB200 Comb Binding Machine"/>
    <n v="1486.19"/>
    <n v="7"/>
    <n v="339.41"/>
  </r>
  <r>
    <d v="2016-12-14T00:00:00"/>
    <x v="3"/>
    <n v="12"/>
    <x v="11"/>
    <x v="9"/>
    <x v="5"/>
    <x v="0"/>
    <x v="7"/>
    <s v="Bretford CR4500 Series Table"/>
    <n v="431.32"/>
    <n v="9"/>
    <n v="84.01"/>
  </r>
  <r>
    <d v="2016-12-14T00:00:00"/>
    <x v="3"/>
    <n v="12"/>
    <x v="11"/>
    <x v="12"/>
    <x v="6"/>
    <x v="2"/>
    <x v="7"/>
    <s v="Cisco SPA 501G IP Phone"/>
    <n v="1662.2"/>
    <n v="7"/>
    <n v="100.94"/>
  </r>
  <r>
    <d v="2016-12-16T00:00:00"/>
    <x v="3"/>
    <n v="12"/>
    <x v="11"/>
    <x v="9"/>
    <x v="5"/>
    <x v="0"/>
    <x v="0"/>
    <s v="Eldon Fold 'N Roll Cart System"/>
    <n v="299.12"/>
    <n v="1"/>
    <n v="246.53"/>
  </r>
  <r>
    <d v="2016-12-16T00:00:00"/>
    <x v="3"/>
    <n v="12"/>
    <x v="11"/>
    <x v="12"/>
    <x v="4"/>
    <x v="0"/>
    <x v="2"/>
    <s v="Bush Somerset Collection Bookcase"/>
    <n v="1819.44"/>
    <n v="4"/>
    <n v="310.02"/>
  </r>
  <r>
    <d v="2016-12-16T00:00:00"/>
    <x v="3"/>
    <n v="12"/>
    <x v="11"/>
    <x v="11"/>
    <x v="6"/>
    <x v="2"/>
    <x v="1"/>
    <s v="Hon Deluxe Fabric Upholstered Stacking Chairs"/>
    <n v="603.1"/>
    <n v="4"/>
    <n v="188.55"/>
  </r>
  <r>
    <d v="2016-12-18T00:00:00"/>
    <x v="3"/>
    <n v="12"/>
    <x v="11"/>
    <x v="11"/>
    <x v="1"/>
    <x v="1"/>
    <x v="4"/>
    <s v="Fellowes PB200 Comb Binding Machine"/>
    <n v="66.63"/>
    <n v="3"/>
    <n v="339.47"/>
  </r>
  <r>
    <d v="2016-12-20T00:00:00"/>
    <x v="3"/>
    <n v="12"/>
    <x v="11"/>
    <x v="11"/>
    <x v="0"/>
    <x v="1"/>
    <x v="3"/>
    <s v="Self-Adhesive Address Labels"/>
    <n v="1811.69"/>
    <n v="7"/>
    <n v="283.06"/>
  </r>
  <r>
    <d v="2016-12-21T00:00:00"/>
    <x v="3"/>
    <n v="12"/>
    <x v="11"/>
    <x v="2"/>
    <x v="8"/>
    <x v="2"/>
    <x v="1"/>
    <s v="Cisco SPA 501G IP Phone"/>
    <n v="1885.18"/>
    <n v="4"/>
    <n v="254.85"/>
  </r>
  <r>
    <d v="2016-12-22T00:00:00"/>
    <x v="3"/>
    <n v="12"/>
    <x v="11"/>
    <x v="2"/>
    <x v="7"/>
    <x v="0"/>
    <x v="3"/>
    <s v="Eldon Expressions Desk Accessories"/>
    <n v="661.86"/>
    <n v="7"/>
    <n v="334.36"/>
  </r>
  <r>
    <d v="2016-12-23T00:00:00"/>
    <x v="3"/>
    <n v="12"/>
    <x v="11"/>
    <x v="6"/>
    <x v="2"/>
    <x v="1"/>
    <x v="0"/>
    <s v="Fellowes PB200 Comb Binding Machine"/>
    <n v="1064.25"/>
    <n v="8"/>
    <n v="232.4"/>
  </r>
  <r>
    <d v="2016-12-25T00:00:00"/>
    <x v="3"/>
    <n v="12"/>
    <x v="11"/>
    <x v="1"/>
    <x v="2"/>
    <x v="2"/>
    <x v="8"/>
    <s v="Bretford CR4500 Series Table"/>
    <n v="88.51"/>
    <n v="6"/>
    <n v="22.97"/>
  </r>
  <r>
    <d v="2016-12-29T00:00:00"/>
    <x v="3"/>
    <n v="12"/>
    <x v="11"/>
    <x v="1"/>
    <x v="2"/>
    <x v="0"/>
    <x v="1"/>
    <s v="Bretford CR4500 Series Table"/>
    <n v="599.91999999999996"/>
    <n v="4"/>
    <n v="-132.47"/>
  </r>
  <r>
    <d v="2016-12-29T00:00:00"/>
    <x v="3"/>
    <n v="12"/>
    <x v="11"/>
    <x v="6"/>
    <x v="2"/>
    <x v="2"/>
    <x v="0"/>
    <s v="Bretford CR4500 Series Table"/>
    <n v="202.93"/>
    <n v="4"/>
    <n v="169.3"/>
  </r>
  <r>
    <d v="2016-12-29T00:00:00"/>
    <x v="3"/>
    <n v="12"/>
    <x v="11"/>
    <x v="5"/>
    <x v="7"/>
    <x v="1"/>
    <x v="5"/>
    <s v="Bretford CR4500 Series Table"/>
    <n v="957.2"/>
    <n v="7"/>
    <n v="374.27"/>
  </r>
  <r>
    <d v="2016-12-30T00:00:00"/>
    <x v="3"/>
    <n v="12"/>
    <x v="11"/>
    <x v="5"/>
    <x v="1"/>
    <x v="0"/>
    <x v="3"/>
    <s v="Self-Adhesive Address Labels"/>
    <n v="1618.23"/>
    <n v="9"/>
    <n v="169.78"/>
  </r>
  <r>
    <d v="2016-12-30T00:00:00"/>
    <x v="3"/>
    <n v="12"/>
    <x v="11"/>
    <x v="10"/>
    <x v="6"/>
    <x v="2"/>
    <x v="0"/>
    <s v="Eldon Fold 'N Roll Cart System"/>
    <n v="1111.32"/>
    <n v="7"/>
    <n v="112.59"/>
  </r>
  <r>
    <d v="2016-12-31T00:00:00"/>
    <x v="3"/>
    <n v="12"/>
    <x v="11"/>
    <x v="2"/>
    <x v="0"/>
    <x v="2"/>
    <x v="0"/>
    <s v="Bretford CR4500 Series Table"/>
    <n v="579.5"/>
    <n v="9"/>
    <n v="262.25"/>
  </r>
  <r>
    <d v="2016-12-31T00:00:00"/>
    <x v="3"/>
    <n v="12"/>
    <x v="11"/>
    <x v="4"/>
    <x v="1"/>
    <x v="0"/>
    <x v="0"/>
    <s v="Self-Adhesive Address Labels"/>
    <n v="1822.49"/>
    <n v="2"/>
    <n v="135.87"/>
  </r>
  <r>
    <d v="2017-01-02T00:00:00"/>
    <x v="4"/>
    <n v="1"/>
    <x v="0"/>
    <x v="6"/>
    <x v="0"/>
    <x v="0"/>
    <x v="6"/>
    <s v="Self-Adhesive Address Labels"/>
    <n v="1043.81"/>
    <n v="1"/>
    <n v="-181.05"/>
  </r>
  <r>
    <d v="2017-01-03T00:00:00"/>
    <x v="4"/>
    <n v="1"/>
    <x v="0"/>
    <x v="9"/>
    <x v="8"/>
    <x v="0"/>
    <x v="6"/>
    <s v="Bretford CR4500 Series Table"/>
    <n v="1692.38"/>
    <n v="2"/>
    <n v="332.99"/>
  </r>
  <r>
    <d v="2017-01-03T00:00:00"/>
    <x v="4"/>
    <n v="1"/>
    <x v="0"/>
    <x v="7"/>
    <x v="0"/>
    <x v="0"/>
    <x v="0"/>
    <s v="Self-Adhesive Address Labels"/>
    <n v="1743.66"/>
    <n v="5"/>
    <n v="370.59"/>
  </r>
  <r>
    <d v="2017-01-04T00:00:00"/>
    <x v="4"/>
    <n v="1"/>
    <x v="0"/>
    <x v="11"/>
    <x v="7"/>
    <x v="1"/>
    <x v="0"/>
    <s v="Cisco SPA 501G IP Phone"/>
    <n v="1551.21"/>
    <n v="2"/>
    <n v="142.06"/>
  </r>
  <r>
    <d v="2017-01-04T00:00:00"/>
    <x v="4"/>
    <n v="1"/>
    <x v="0"/>
    <x v="8"/>
    <x v="6"/>
    <x v="2"/>
    <x v="3"/>
    <s v="Cisco SPA 501G IP Phone"/>
    <n v="1691.45"/>
    <n v="1"/>
    <n v="246.78"/>
  </r>
  <r>
    <d v="2017-01-04T00:00:00"/>
    <x v="4"/>
    <n v="1"/>
    <x v="0"/>
    <x v="5"/>
    <x v="9"/>
    <x v="2"/>
    <x v="1"/>
    <s v="Self-Adhesive Address Labels"/>
    <n v="1791.26"/>
    <n v="3"/>
    <n v="-80.319999999999993"/>
  </r>
  <r>
    <d v="2017-01-06T00:00:00"/>
    <x v="4"/>
    <n v="1"/>
    <x v="0"/>
    <x v="9"/>
    <x v="0"/>
    <x v="2"/>
    <x v="2"/>
    <s v="Eldon Expressions Desk Accessories"/>
    <n v="1867.22"/>
    <n v="4"/>
    <n v="273.67"/>
  </r>
  <r>
    <d v="2017-01-06T00:00:00"/>
    <x v="4"/>
    <n v="1"/>
    <x v="0"/>
    <x v="5"/>
    <x v="7"/>
    <x v="0"/>
    <x v="4"/>
    <s v="Belkin 6 Outlet Surge"/>
    <n v="890.56"/>
    <n v="6"/>
    <n v="103.74"/>
  </r>
  <r>
    <d v="2017-01-09T00:00:00"/>
    <x v="4"/>
    <n v="1"/>
    <x v="0"/>
    <x v="5"/>
    <x v="6"/>
    <x v="0"/>
    <x v="8"/>
    <s v="Self-Adhesive Address Labels"/>
    <n v="332.17"/>
    <n v="4"/>
    <n v="-76.66"/>
  </r>
  <r>
    <d v="2017-01-09T00:00:00"/>
    <x v="4"/>
    <n v="1"/>
    <x v="0"/>
    <x v="10"/>
    <x v="8"/>
    <x v="0"/>
    <x v="5"/>
    <s v="Newell 322"/>
    <n v="1444.12"/>
    <n v="9"/>
    <n v="-137.35"/>
  </r>
  <r>
    <d v="2017-01-10T00:00:00"/>
    <x v="4"/>
    <n v="1"/>
    <x v="0"/>
    <x v="2"/>
    <x v="4"/>
    <x v="0"/>
    <x v="8"/>
    <s v="Newell 322"/>
    <n v="1551.97"/>
    <n v="6"/>
    <n v="287.01"/>
  </r>
  <r>
    <d v="2017-01-11T00:00:00"/>
    <x v="4"/>
    <n v="1"/>
    <x v="0"/>
    <x v="12"/>
    <x v="1"/>
    <x v="0"/>
    <x v="7"/>
    <s v="Fellowes PB200 Comb Binding Machine"/>
    <n v="66.75"/>
    <n v="4"/>
    <n v="261.12"/>
  </r>
  <r>
    <d v="2017-01-13T00:00:00"/>
    <x v="4"/>
    <n v="1"/>
    <x v="0"/>
    <x v="8"/>
    <x v="7"/>
    <x v="0"/>
    <x v="1"/>
    <s v="Self-Adhesive Address Labels"/>
    <n v="1932.69"/>
    <n v="1"/>
    <n v="-55.38"/>
  </r>
  <r>
    <d v="2017-01-13T00:00:00"/>
    <x v="4"/>
    <n v="1"/>
    <x v="0"/>
    <x v="7"/>
    <x v="5"/>
    <x v="2"/>
    <x v="4"/>
    <s v="Eldon Expressions Desk Accessories"/>
    <n v="1677.08"/>
    <n v="3"/>
    <n v="97.66"/>
  </r>
  <r>
    <d v="2017-01-13T00:00:00"/>
    <x v="4"/>
    <n v="1"/>
    <x v="0"/>
    <x v="9"/>
    <x v="1"/>
    <x v="2"/>
    <x v="7"/>
    <s v="Eldon Expressions Desk Accessories"/>
    <n v="1732.2"/>
    <n v="2"/>
    <n v="207.08"/>
  </r>
  <r>
    <d v="2017-01-14T00:00:00"/>
    <x v="4"/>
    <n v="1"/>
    <x v="0"/>
    <x v="3"/>
    <x v="5"/>
    <x v="1"/>
    <x v="8"/>
    <s v="Eldon Expressions Desk Accessories"/>
    <n v="366.57"/>
    <n v="1"/>
    <n v="301.60000000000002"/>
  </r>
  <r>
    <d v="2017-01-18T00:00:00"/>
    <x v="4"/>
    <n v="1"/>
    <x v="0"/>
    <x v="0"/>
    <x v="6"/>
    <x v="2"/>
    <x v="0"/>
    <s v="Belkin 6 Outlet Surge"/>
    <n v="468.68"/>
    <n v="6"/>
    <n v="179.98"/>
  </r>
  <r>
    <d v="2017-01-19T00:00:00"/>
    <x v="4"/>
    <n v="1"/>
    <x v="0"/>
    <x v="5"/>
    <x v="9"/>
    <x v="2"/>
    <x v="8"/>
    <s v="Belkin 6 Outlet Surge"/>
    <n v="1746.2"/>
    <n v="8"/>
    <n v="195.89"/>
  </r>
  <r>
    <d v="2017-01-21T00:00:00"/>
    <x v="4"/>
    <n v="1"/>
    <x v="0"/>
    <x v="6"/>
    <x v="8"/>
    <x v="1"/>
    <x v="3"/>
    <s v="Bush Somerset Collection Bookcase"/>
    <n v="972.35"/>
    <n v="9"/>
    <n v="212.13"/>
  </r>
  <r>
    <d v="2017-01-21T00:00:00"/>
    <x v="4"/>
    <n v="1"/>
    <x v="0"/>
    <x v="9"/>
    <x v="6"/>
    <x v="1"/>
    <x v="7"/>
    <s v="Self-Adhesive Address Labels"/>
    <n v="1722.42"/>
    <n v="8"/>
    <n v="12.83"/>
  </r>
  <r>
    <d v="2017-01-22T00:00:00"/>
    <x v="4"/>
    <n v="1"/>
    <x v="0"/>
    <x v="0"/>
    <x v="8"/>
    <x v="0"/>
    <x v="2"/>
    <s v="Fellowes PB200 Comb Binding Machine"/>
    <n v="34.020000000000003"/>
    <n v="6"/>
    <n v="14.98"/>
  </r>
  <r>
    <d v="2017-01-22T00:00:00"/>
    <x v="4"/>
    <n v="1"/>
    <x v="0"/>
    <x v="8"/>
    <x v="2"/>
    <x v="1"/>
    <x v="8"/>
    <s v="Self-Adhesive Address Labels"/>
    <n v="988.66"/>
    <n v="7"/>
    <n v="-68.5"/>
  </r>
  <r>
    <d v="2017-01-23T00:00:00"/>
    <x v="4"/>
    <n v="1"/>
    <x v="0"/>
    <x v="9"/>
    <x v="6"/>
    <x v="2"/>
    <x v="6"/>
    <s v="Eldon Expressions Desk Accessories"/>
    <n v="1444.42"/>
    <n v="4"/>
    <n v="288.58"/>
  </r>
  <r>
    <d v="2017-01-24T00:00:00"/>
    <x v="4"/>
    <n v="1"/>
    <x v="0"/>
    <x v="1"/>
    <x v="9"/>
    <x v="2"/>
    <x v="0"/>
    <s v="Belkin 6 Outlet Surge"/>
    <n v="1152.8399999999999"/>
    <n v="8"/>
    <n v="185.73"/>
  </r>
  <r>
    <d v="2017-01-24T00:00:00"/>
    <x v="4"/>
    <n v="1"/>
    <x v="0"/>
    <x v="12"/>
    <x v="8"/>
    <x v="1"/>
    <x v="8"/>
    <s v="Hon Deluxe Fabric Upholstered Stacking Chairs"/>
    <n v="152.29"/>
    <n v="4"/>
    <n v="96.45"/>
  </r>
  <r>
    <d v="2017-01-25T00:00:00"/>
    <x v="4"/>
    <n v="1"/>
    <x v="0"/>
    <x v="12"/>
    <x v="9"/>
    <x v="0"/>
    <x v="6"/>
    <s v="Eldon Expressions Desk Accessories"/>
    <n v="1321.12"/>
    <n v="2"/>
    <n v="279.57"/>
  </r>
  <r>
    <d v="2017-01-25T00:00:00"/>
    <x v="4"/>
    <n v="1"/>
    <x v="0"/>
    <x v="7"/>
    <x v="5"/>
    <x v="1"/>
    <x v="1"/>
    <s v="Belkin 6 Outlet Surge"/>
    <n v="1753.82"/>
    <n v="9"/>
    <n v="118.2"/>
  </r>
  <r>
    <d v="2017-01-25T00:00:00"/>
    <x v="4"/>
    <n v="1"/>
    <x v="0"/>
    <x v="10"/>
    <x v="1"/>
    <x v="1"/>
    <x v="4"/>
    <s v="Belkin 6 Outlet Surge"/>
    <n v="989.31"/>
    <n v="9"/>
    <n v="-79.349999999999994"/>
  </r>
  <r>
    <d v="2017-01-29T00:00:00"/>
    <x v="4"/>
    <n v="1"/>
    <x v="0"/>
    <x v="0"/>
    <x v="3"/>
    <x v="1"/>
    <x v="5"/>
    <s v="Bush Somerset Collection Bookcase"/>
    <n v="546.29"/>
    <n v="3"/>
    <n v="379.75"/>
  </r>
  <r>
    <d v="2017-01-30T00:00:00"/>
    <x v="4"/>
    <n v="1"/>
    <x v="0"/>
    <x v="9"/>
    <x v="3"/>
    <x v="1"/>
    <x v="5"/>
    <s v="Bush Somerset Collection Bookcase"/>
    <n v="1123.01"/>
    <n v="8"/>
    <n v="387.37"/>
  </r>
  <r>
    <d v="2017-02-01T00:00:00"/>
    <x v="4"/>
    <n v="2"/>
    <x v="1"/>
    <x v="7"/>
    <x v="0"/>
    <x v="0"/>
    <x v="1"/>
    <s v="Newell 322"/>
    <n v="1898.67"/>
    <n v="4"/>
    <n v="52.97"/>
  </r>
  <r>
    <d v="2017-02-01T00:00:00"/>
    <x v="4"/>
    <n v="2"/>
    <x v="1"/>
    <x v="11"/>
    <x v="6"/>
    <x v="2"/>
    <x v="2"/>
    <s v="Fellowes PB200 Comb Binding Machine"/>
    <n v="139.02000000000001"/>
    <n v="1"/>
    <n v="-28.44"/>
  </r>
  <r>
    <d v="2017-02-02T00:00:00"/>
    <x v="4"/>
    <n v="2"/>
    <x v="1"/>
    <x v="10"/>
    <x v="4"/>
    <x v="1"/>
    <x v="8"/>
    <s v="Bretford CR4500 Series Table"/>
    <n v="741.64"/>
    <n v="5"/>
    <n v="331.45"/>
  </r>
  <r>
    <d v="2017-02-04T00:00:00"/>
    <x v="4"/>
    <n v="2"/>
    <x v="1"/>
    <x v="1"/>
    <x v="9"/>
    <x v="2"/>
    <x v="1"/>
    <s v="Fellowes PB200 Comb Binding Machine"/>
    <n v="254.59"/>
    <n v="1"/>
    <n v="96.78"/>
  </r>
  <r>
    <d v="2017-02-04T00:00:00"/>
    <x v="4"/>
    <n v="2"/>
    <x v="1"/>
    <x v="9"/>
    <x v="8"/>
    <x v="2"/>
    <x v="7"/>
    <s v="Hon Deluxe Fabric Upholstered Stacking Chairs"/>
    <n v="323.43"/>
    <n v="1"/>
    <n v="170.69"/>
  </r>
  <r>
    <d v="2017-02-05T00:00:00"/>
    <x v="4"/>
    <n v="2"/>
    <x v="1"/>
    <x v="8"/>
    <x v="1"/>
    <x v="1"/>
    <x v="3"/>
    <s v="Eldon Fold 'N Roll Cart System"/>
    <n v="159.44"/>
    <n v="2"/>
    <n v="231.32"/>
  </r>
  <r>
    <d v="2017-02-05T00:00:00"/>
    <x v="4"/>
    <n v="2"/>
    <x v="1"/>
    <x v="6"/>
    <x v="0"/>
    <x v="1"/>
    <x v="2"/>
    <s v="Cisco SPA 501G IP Phone"/>
    <n v="800.48"/>
    <n v="9"/>
    <n v="83.75"/>
  </r>
  <r>
    <d v="2017-02-06T00:00:00"/>
    <x v="4"/>
    <n v="2"/>
    <x v="1"/>
    <x v="1"/>
    <x v="8"/>
    <x v="0"/>
    <x v="1"/>
    <s v="Fellowes PB200 Comb Binding Machine"/>
    <n v="740.68"/>
    <n v="7"/>
    <n v="393.9"/>
  </r>
  <r>
    <d v="2017-02-06T00:00:00"/>
    <x v="4"/>
    <n v="2"/>
    <x v="1"/>
    <x v="11"/>
    <x v="8"/>
    <x v="2"/>
    <x v="7"/>
    <s v="Hon Deluxe Fabric Upholstered Stacking Chairs"/>
    <n v="824.6"/>
    <n v="2"/>
    <n v="-165.06"/>
  </r>
  <r>
    <d v="2017-02-07T00:00:00"/>
    <x v="4"/>
    <n v="2"/>
    <x v="1"/>
    <x v="11"/>
    <x v="3"/>
    <x v="2"/>
    <x v="7"/>
    <s v="Belkin 6 Outlet Surge"/>
    <n v="1611.99"/>
    <n v="9"/>
    <n v="-47.93"/>
  </r>
  <r>
    <d v="2017-02-08T00:00:00"/>
    <x v="4"/>
    <n v="2"/>
    <x v="1"/>
    <x v="7"/>
    <x v="1"/>
    <x v="2"/>
    <x v="3"/>
    <s v="Fellowes PB200 Comb Binding Machine"/>
    <n v="783.18"/>
    <n v="8"/>
    <n v="142.21"/>
  </r>
  <r>
    <d v="2017-02-08T00:00:00"/>
    <x v="4"/>
    <n v="2"/>
    <x v="1"/>
    <x v="4"/>
    <x v="8"/>
    <x v="1"/>
    <x v="0"/>
    <s v="Fellowes PB200 Comb Binding Machine"/>
    <n v="672.02"/>
    <n v="7"/>
    <n v="346.28"/>
  </r>
  <r>
    <d v="2017-02-08T00:00:00"/>
    <x v="4"/>
    <n v="2"/>
    <x v="1"/>
    <x v="8"/>
    <x v="2"/>
    <x v="0"/>
    <x v="4"/>
    <s v="Belkin 6 Outlet Surge"/>
    <n v="1555.95"/>
    <n v="7"/>
    <n v="136.56"/>
  </r>
  <r>
    <d v="2017-02-09T00:00:00"/>
    <x v="4"/>
    <n v="2"/>
    <x v="1"/>
    <x v="4"/>
    <x v="8"/>
    <x v="0"/>
    <x v="2"/>
    <s v="Bretford CR4500 Series Table"/>
    <n v="533.86"/>
    <n v="5"/>
    <n v="42.21"/>
  </r>
  <r>
    <d v="2017-02-09T00:00:00"/>
    <x v="4"/>
    <n v="2"/>
    <x v="1"/>
    <x v="11"/>
    <x v="6"/>
    <x v="0"/>
    <x v="3"/>
    <s v="Belkin 6 Outlet Surge"/>
    <n v="1865.96"/>
    <n v="9"/>
    <n v="365.18"/>
  </r>
  <r>
    <d v="2017-02-09T00:00:00"/>
    <x v="4"/>
    <n v="2"/>
    <x v="1"/>
    <x v="0"/>
    <x v="8"/>
    <x v="2"/>
    <x v="0"/>
    <s v="Fellowes PB200 Comb Binding Machine"/>
    <n v="418.31"/>
    <n v="5"/>
    <n v="211.35"/>
  </r>
  <r>
    <d v="2017-02-09T00:00:00"/>
    <x v="4"/>
    <n v="2"/>
    <x v="1"/>
    <x v="8"/>
    <x v="5"/>
    <x v="1"/>
    <x v="5"/>
    <s v="Bretford CR4500 Series Table"/>
    <n v="869.15"/>
    <n v="8"/>
    <n v="15.17"/>
  </r>
  <r>
    <d v="2017-02-10T00:00:00"/>
    <x v="4"/>
    <n v="2"/>
    <x v="1"/>
    <x v="6"/>
    <x v="4"/>
    <x v="0"/>
    <x v="0"/>
    <s v="Belkin 6 Outlet Surge"/>
    <n v="1987.61"/>
    <n v="1"/>
    <n v="-172.23"/>
  </r>
  <r>
    <d v="2017-02-13T00:00:00"/>
    <x v="4"/>
    <n v="2"/>
    <x v="1"/>
    <x v="3"/>
    <x v="0"/>
    <x v="1"/>
    <x v="4"/>
    <s v="Fellowes PB200 Comb Binding Machine"/>
    <n v="1031.31"/>
    <n v="2"/>
    <n v="-25.12"/>
  </r>
  <r>
    <d v="2017-02-13T00:00:00"/>
    <x v="4"/>
    <n v="2"/>
    <x v="1"/>
    <x v="10"/>
    <x v="5"/>
    <x v="0"/>
    <x v="1"/>
    <s v="Self-Adhesive Address Labels"/>
    <n v="1434.11"/>
    <n v="5"/>
    <n v="8.18"/>
  </r>
  <r>
    <d v="2017-02-16T00:00:00"/>
    <x v="4"/>
    <n v="2"/>
    <x v="1"/>
    <x v="4"/>
    <x v="4"/>
    <x v="0"/>
    <x v="6"/>
    <s v="Newell 322"/>
    <n v="1556.6"/>
    <n v="3"/>
    <n v="36.61"/>
  </r>
  <r>
    <d v="2017-02-17T00:00:00"/>
    <x v="4"/>
    <n v="2"/>
    <x v="1"/>
    <x v="8"/>
    <x v="5"/>
    <x v="1"/>
    <x v="5"/>
    <s v="Cisco SPA 501G IP Phone"/>
    <n v="169.17"/>
    <n v="9"/>
    <n v="230.79"/>
  </r>
  <r>
    <d v="2017-02-17T00:00:00"/>
    <x v="4"/>
    <n v="2"/>
    <x v="1"/>
    <x v="12"/>
    <x v="5"/>
    <x v="0"/>
    <x v="1"/>
    <s v="Fellowes PB200 Comb Binding Machine"/>
    <n v="1707.5"/>
    <n v="1"/>
    <n v="9.91"/>
  </r>
  <r>
    <d v="2017-02-22T00:00:00"/>
    <x v="4"/>
    <n v="2"/>
    <x v="1"/>
    <x v="1"/>
    <x v="6"/>
    <x v="2"/>
    <x v="0"/>
    <s v="Hon Deluxe Fabric Upholstered Stacking Chairs"/>
    <n v="176.91"/>
    <n v="4"/>
    <n v="305.18"/>
  </r>
  <r>
    <d v="2017-02-22T00:00:00"/>
    <x v="4"/>
    <n v="2"/>
    <x v="1"/>
    <x v="2"/>
    <x v="2"/>
    <x v="1"/>
    <x v="5"/>
    <s v="Newell 322"/>
    <n v="1297.42"/>
    <n v="2"/>
    <n v="123"/>
  </r>
  <r>
    <d v="2017-02-22T00:00:00"/>
    <x v="4"/>
    <n v="2"/>
    <x v="1"/>
    <x v="8"/>
    <x v="6"/>
    <x v="2"/>
    <x v="2"/>
    <s v="Fellowes PB200 Comb Binding Machine"/>
    <n v="1985.25"/>
    <n v="1"/>
    <n v="235.74"/>
  </r>
  <r>
    <d v="2017-02-23T00:00:00"/>
    <x v="4"/>
    <n v="2"/>
    <x v="1"/>
    <x v="6"/>
    <x v="3"/>
    <x v="1"/>
    <x v="0"/>
    <s v="Belkin 6 Outlet Surge"/>
    <n v="1206.04"/>
    <n v="8"/>
    <n v="251.42"/>
  </r>
  <r>
    <d v="2017-02-24T00:00:00"/>
    <x v="4"/>
    <n v="2"/>
    <x v="1"/>
    <x v="2"/>
    <x v="5"/>
    <x v="2"/>
    <x v="8"/>
    <s v="Cisco SPA 501G IP Phone"/>
    <n v="532.64"/>
    <n v="2"/>
    <n v="9.2200000000000006"/>
  </r>
  <r>
    <d v="2017-02-25T00:00:00"/>
    <x v="4"/>
    <n v="2"/>
    <x v="1"/>
    <x v="2"/>
    <x v="1"/>
    <x v="1"/>
    <x v="6"/>
    <s v="Hon Deluxe Fabric Upholstered Stacking Chairs"/>
    <n v="333.68"/>
    <n v="7"/>
    <n v="359.47"/>
  </r>
  <r>
    <d v="2017-02-25T00:00:00"/>
    <x v="4"/>
    <n v="2"/>
    <x v="1"/>
    <x v="7"/>
    <x v="1"/>
    <x v="0"/>
    <x v="5"/>
    <s v="Fellowes PB200 Comb Binding Machine"/>
    <n v="1310.67"/>
    <n v="9"/>
    <n v="-27.26"/>
  </r>
  <r>
    <d v="2017-02-28T00:00:00"/>
    <x v="4"/>
    <n v="2"/>
    <x v="1"/>
    <x v="9"/>
    <x v="9"/>
    <x v="2"/>
    <x v="2"/>
    <s v="Fellowes PB200 Comb Binding Machine"/>
    <n v="935.42"/>
    <n v="7"/>
    <n v="235.88"/>
  </r>
  <r>
    <d v="2017-03-01T00:00:00"/>
    <x v="4"/>
    <n v="3"/>
    <x v="2"/>
    <x v="9"/>
    <x v="8"/>
    <x v="0"/>
    <x v="7"/>
    <s v="Fellowes PB200 Comb Binding Machine"/>
    <n v="255.69"/>
    <n v="3"/>
    <n v="-63.43"/>
  </r>
  <r>
    <d v="2017-03-01T00:00:00"/>
    <x v="4"/>
    <n v="3"/>
    <x v="2"/>
    <x v="9"/>
    <x v="2"/>
    <x v="0"/>
    <x v="0"/>
    <s v="Bush Somerset Collection Bookcase"/>
    <n v="1055.25"/>
    <n v="4"/>
    <n v="187.06"/>
  </r>
  <r>
    <d v="2017-03-02T00:00:00"/>
    <x v="4"/>
    <n v="3"/>
    <x v="2"/>
    <x v="4"/>
    <x v="6"/>
    <x v="1"/>
    <x v="2"/>
    <s v="Eldon Fold 'N Roll Cart System"/>
    <n v="540.65"/>
    <n v="4"/>
    <n v="-40.119999999999997"/>
  </r>
  <r>
    <d v="2017-03-02T00:00:00"/>
    <x v="4"/>
    <n v="3"/>
    <x v="2"/>
    <x v="0"/>
    <x v="2"/>
    <x v="2"/>
    <x v="7"/>
    <s v="Fellowes PB200 Comb Binding Machine"/>
    <n v="1480.86"/>
    <n v="1"/>
    <n v="-64.83"/>
  </r>
  <r>
    <d v="2017-03-03T00:00:00"/>
    <x v="4"/>
    <n v="3"/>
    <x v="2"/>
    <x v="7"/>
    <x v="6"/>
    <x v="0"/>
    <x v="0"/>
    <s v="Bretford CR4500 Series Table"/>
    <n v="1693.03"/>
    <n v="6"/>
    <n v="-102.94"/>
  </r>
  <r>
    <d v="2017-03-04T00:00:00"/>
    <x v="4"/>
    <n v="3"/>
    <x v="2"/>
    <x v="11"/>
    <x v="1"/>
    <x v="1"/>
    <x v="6"/>
    <s v="Fellowes PB200 Comb Binding Machine"/>
    <n v="1819.52"/>
    <n v="1"/>
    <n v="56.56"/>
  </r>
  <r>
    <d v="2017-03-04T00:00:00"/>
    <x v="4"/>
    <n v="3"/>
    <x v="2"/>
    <x v="9"/>
    <x v="4"/>
    <x v="2"/>
    <x v="4"/>
    <s v="Belkin 6 Outlet Surge"/>
    <n v="627.19000000000005"/>
    <n v="2"/>
    <n v="93.21"/>
  </r>
  <r>
    <d v="2017-03-04T00:00:00"/>
    <x v="4"/>
    <n v="3"/>
    <x v="2"/>
    <x v="1"/>
    <x v="0"/>
    <x v="0"/>
    <x v="0"/>
    <s v="Cisco SPA 501G IP Phone"/>
    <n v="569.71"/>
    <n v="2"/>
    <n v="-199.86"/>
  </r>
  <r>
    <d v="2017-03-05T00:00:00"/>
    <x v="4"/>
    <n v="3"/>
    <x v="2"/>
    <x v="1"/>
    <x v="9"/>
    <x v="0"/>
    <x v="6"/>
    <s v="Eldon Fold 'N Roll Cart System"/>
    <n v="1578.36"/>
    <n v="5"/>
    <n v="192.89"/>
  </r>
  <r>
    <d v="2017-03-05T00:00:00"/>
    <x v="4"/>
    <n v="3"/>
    <x v="2"/>
    <x v="5"/>
    <x v="6"/>
    <x v="2"/>
    <x v="4"/>
    <s v="Fellowes PB200 Comb Binding Machine"/>
    <n v="842.71"/>
    <n v="8"/>
    <n v="246.78"/>
  </r>
  <r>
    <d v="2017-03-05T00:00:00"/>
    <x v="4"/>
    <n v="3"/>
    <x v="2"/>
    <x v="0"/>
    <x v="0"/>
    <x v="1"/>
    <x v="8"/>
    <s v="Cisco SPA 501G IP Phone"/>
    <n v="313.97000000000003"/>
    <n v="4"/>
    <n v="76.569999999999993"/>
  </r>
  <r>
    <d v="2017-03-07T00:00:00"/>
    <x v="4"/>
    <n v="3"/>
    <x v="2"/>
    <x v="5"/>
    <x v="5"/>
    <x v="1"/>
    <x v="4"/>
    <s v="Self-Adhesive Address Labels"/>
    <n v="427.63"/>
    <n v="4"/>
    <n v="146.38999999999999"/>
  </r>
  <r>
    <d v="2017-03-08T00:00:00"/>
    <x v="4"/>
    <n v="3"/>
    <x v="2"/>
    <x v="9"/>
    <x v="8"/>
    <x v="0"/>
    <x v="6"/>
    <s v="Hon Deluxe Fabric Upholstered Stacking Chairs"/>
    <n v="1013.72"/>
    <n v="2"/>
    <n v="-110.69"/>
  </r>
  <r>
    <d v="2017-03-09T00:00:00"/>
    <x v="4"/>
    <n v="3"/>
    <x v="2"/>
    <x v="9"/>
    <x v="8"/>
    <x v="2"/>
    <x v="4"/>
    <s v="Belkin 6 Outlet Surge"/>
    <n v="1964.33"/>
    <n v="4"/>
    <n v="292.8"/>
  </r>
  <r>
    <d v="2017-03-10T00:00:00"/>
    <x v="4"/>
    <n v="3"/>
    <x v="2"/>
    <x v="3"/>
    <x v="0"/>
    <x v="1"/>
    <x v="1"/>
    <s v="Hon Deluxe Fabric Upholstered Stacking Chairs"/>
    <n v="650.94000000000005"/>
    <n v="1"/>
    <n v="-51.59"/>
  </r>
  <r>
    <d v="2017-03-10T00:00:00"/>
    <x v="4"/>
    <n v="3"/>
    <x v="2"/>
    <x v="1"/>
    <x v="3"/>
    <x v="0"/>
    <x v="6"/>
    <s v="Bush Somerset Collection Bookcase"/>
    <n v="1920.42"/>
    <n v="4"/>
    <n v="-192.89"/>
  </r>
  <r>
    <d v="2017-03-10T00:00:00"/>
    <x v="4"/>
    <n v="3"/>
    <x v="2"/>
    <x v="0"/>
    <x v="7"/>
    <x v="0"/>
    <x v="3"/>
    <s v="Belkin 6 Outlet Surge"/>
    <n v="940.93"/>
    <n v="4"/>
    <n v="176.07"/>
  </r>
  <r>
    <d v="2017-03-10T00:00:00"/>
    <x v="4"/>
    <n v="3"/>
    <x v="2"/>
    <x v="10"/>
    <x v="4"/>
    <x v="2"/>
    <x v="5"/>
    <s v="Belkin 6 Outlet Surge"/>
    <n v="926.17"/>
    <n v="7"/>
    <n v="182.95"/>
  </r>
  <r>
    <d v="2017-03-10T00:00:00"/>
    <x v="4"/>
    <n v="3"/>
    <x v="2"/>
    <x v="2"/>
    <x v="4"/>
    <x v="0"/>
    <x v="5"/>
    <s v="Hon Deluxe Fabric Upholstered Stacking Chairs"/>
    <n v="1907.34"/>
    <n v="3"/>
    <n v="283.27999999999997"/>
  </r>
  <r>
    <d v="2017-03-11T00:00:00"/>
    <x v="4"/>
    <n v="3"/>
    <x v="2"/>
    <x v="3"/>
    <x v="7"/>
    <x v="1"/>
    <x v="6"/>
    <s v="Eldon Expressions Desk Accessories"/>
    <n v="1564.08"/>
    <n v="8"/>
    <n v="-60.18"/>
  </r>
  <r>
    <d v="2017-03-12T00:00:00"/>
    <x v="4"/>
    <n v="3"/>
    <x v="2"/>
    <x v="9"/>
    <x v="3"/>
    <x v="1"/>
    <x v="4"/>
    <s v="Belkin 6 Outlet Surge"/>
    <n v="160.97999999999999"/>
    <n v="9"/>
    <n v="310.12"/>
  </r>
  <r>
    <d v="2017-03-12T00:00:00"/>
    <x v="4"/>
    <n v="3"/>
    <x v="2"/>
    <x v="1"/>
    <x v="7"/>
    <x v="2"/>
    <x v="8"/>
    <s v="Bush Somerset Collection Bookcase"/>
    <n v="1439.74"/>
    <n v="8"/>
    <n v="389.54"/>
  </r>
  <r>
    <d v="2017-03-12T00:00:00"/>
    <x v="4"/>
    <n v="3"/>
    <x v="2"/>
    <x v="1"/>
    <x v="6"/>
    <x v="0"/>
    <x v="7"/>
    <s v="Eldon Fold 'N Roll Cart System"/>
    <n v="1396.62"/>
    <n v="2"/>
    <n v="397.1"/>
  </r>
  <r>
    <d v="2017-03-14T00:00:00"/>
    <x v="4"/>
    <n v="3"/>
    <x v="2"/>
    <x v="10"/>
    <x v="6"/>
    <x v="2"/>
    <x v="2"/>
    <s v="Fellowes PB200 Comb Binding Machine"/>
    <n v="350.94"/>
    <n v="8"/>
    <n v="-128.96"/>
  </r>
  <r>
    <d v="2017-03-15T00:00:00"/>
    <x v="4"/>
    <n v="3"/>
    <x v="2"/>
    <x v="0"/>
    <x v="2"/>
    <x v="0"/>
    <x v="2"/>
    <s v="Hon Deluxe Fabric Upholstered Stacking Chairs"/>
    <n v="168.49"/>
    <n v="5"/>
    <n v="142.08000000000001"/>
  </r>
  <r>
    <d v="2017-03-15T00:00:00"/>
    <x v="4"/>
    <n v="3"/>
    <x v="2"/>
    <x v="7"/>
    <x v="8"/>
    <x v="2"/>
    <x v="6"/>
    <s v="Bush Somerset Collection Bookcase"/>
    <n v="1179.51"/>
    <n v="1"/>
    <n v="297.64999999999998"/>
  </r>
  <r>
    <d v="2017-03-15T00:00:00"/>
    <x v="4"/>
    <n v="3"/>
    <x v="2"/>
    <x v="7"/>
    <x v="5"/>
    <x v="1"/>
    <x v="4"/>
    <s v="Hon Deluxe Fabric Upholstered Stacking Chairs"/>
    <n v="16.21"/>
    <n v="3"/>
    <n v="97.56"/>
  </r>
  <r>
    <d v="2017-03-16T00:00:00"/>
    <x v="4"/>
    <n v="3"/>
    <x v="2"/>
    <x v="8"/>
    <x v="7"/>
    <x v="0"/>
    <x v="1"/>
    <s v="Bretford CR4500 Series Table"/>
    <n v="1435.17"/>
    <n v="7"/>
    <n v="39.979999999999997"/>
  </r>
  <r>
    <d v="2017-03-16T00:00:00"/>
    <x v="4"/>
    <n v="3"/>
    <x v="2"/>
    <x v="1"/>
    <x v="2"/>
    <x v="1"/>
    <x v="4"/>
    <s v="Newell 322"/>
    <n v="1010.25"/>
    <n v="7"/>
    <n v="204.26"/>
  </r>
  <r>
    <d v="2017-03-17T00:00:00"/>
    <x v="4"/>
    <n v="3"/>
    <x v="2"/>
    <x v="12"/>
    <x v="3"/>
    <x v="2"/>
    <x v="4"/>
    <s v="Cisco SPA 501G IP Phone"/>
    <n v="223.65"/>
    <n v="4"/>
    <n v="78.56"/>
  </r>
  <r>
    <d v="2017-03-17T00:00:00"/>
    <x v="4"/>
    <n v="3"/>
    <x v="2"/>
    <x v="7"/>
    <x v="2"/>
    <x v="1"/>
    <x v="0"/>
    <s v="Eldon Expressions Desk Accessories"/>
    <n v="302.32"/>
    <n v="5"/>
    <n v="202.56"/>
  </r>
  <r>
    <d v="2017-03-20T00:00:00"/>
    <x v="4"/>
    <n v="3"/>
    <x v="2"/>
    <x v="9"/>
    <x v="5"/>
    <x v="1"/>
    <x v="5"/>
    <s v="Self-Adhesive Address Labels"/>
    <n v="762.61"/>
    <n v="5"/>
    <n v="383.55"/>
  </r>
  <r>
    <d v="2017-03-20T00:00:00"/>
    <x v="4"/>
    <n v="3"/>
    <x v="2"/>
    <x v="10"/>
    <x v="5"/>
    <x v="0"/>
    <x v="5"/>
    <s v="Fellowes PB200 Comb Binding Machine"/>
    <n v="861.4"/>
    <n v="6"/>
    <n v="217.45"/>
  </r>
  <r>
    <d v="2017-03-21T00:00:00"/>
    <x v="4"/>
    <n v="3"/>
    <x v="2"/>
    <x v="3"/>
    <x v="4"/>
    <x v="2"/>
    <x v="8"/>
    <s v="Self-Adhesive Address Labels"/>
    <n v="1628.23"/>
    <n v="5"/>
    <n v="142.22999999999999"/>
  </r>
  <r>
    <d v="2017-03-21T00:00:00"/>
    <x v="4"/>
    <n v="3"/>
    <x v="2"/>
    <x v="2"/>
    <x v="4"/>
    <x v="2"/>
    <x v="4"/>
    <s v="Bush Somerset Collection Bookcase"/>
    <n v="1512.64"/>
    <n v="4"/>
    <n v="187.49"/>
  </r>
  <r>
    <d v="2017-03-22T00:00:00"/>
    <x v="4"/>
    <n v="3"/>
    <x v="2"/>
    <x v="0"/>
    <x v="6"/>
    <x v="2"/>
    <x v="7"/>
    <s v="Eldon Expressions Desk Accessories"/>
    <n v="1125.47"/>
    <n v="3"/>
    <n v="-131.46"/>
  </r>
  <r>
    <d v="2017-03-23T00:00:00"/>
    <x v="4"/>
    <n v="3"/>
    <x v="2"/>
    <x v="12"/>
    <x v="8"/>
    <x v="0"/>
    <x v="8"/>
    <s v="Belkin 6 Outlet Surge"/>
    <n v="1720.27"/>
    <n v="6"/>
    <n v="-80.540000000000006"/>
  </r>
  <r>
    <d v="2017-03-23T00:00:00"/>
    <x v="4"/>
    <n v="3"/>
    <x v="2"/>
    <x v="1"/>
    <x v="5"/>
    <x v="1"/>
    <x v="3"/>
    <s v="Bush Somerset Collection Bookcase"/>
    <n v="603.1"/>
    <n v="6"/>
    <n v="-133.24"/>
  </r>
  <r>
    <d v="2017-03-24T00:00:00"/>
    <x v="4"/>
    <n v="3"/>
    <x v="2"/>
    <x v="3"/>
    <x v="1"/>
    <x v="0"/>
    <x v="0"/>
    <s v="Fellowes PB200 Comb Binding Machine"/>
    <n v="630.44000000000005"/>
    <n v="6"/>
    <n v="-52.91"/>
  </r>
  <r>
    <d v="2017-03-25T00:00:00"/>
    <x v="4"/>
    <n v="3"/>
    <x v="2"/>
    <x v="2"/>
    <x v="5"/>
    <x v="1"/>
    <x v="3"/>
    <s v="Hon Deluxe Fabric Upholstered Stacking Chairs"/>
    <n v="1890.78"/>
    <n v="5"/>
    <n v="59.49"/>
  </r>
  <r>
    <d v="2017-03-26T00:00:00"/>
    <x v="4"/>
    <n v="3"/>
    <x v="2"/>
    <x v="3"/>
    <x v="8"/>
    <x v="0"/>
    <x v="8"/>
    <s v="Bretford CR4500 Series Table"/>
    <n v="1120.69"/>
    <n v="4"/>
    <n v="333.85"/>
  </r>
  <r>
    <d v="2017-03-27T00:00:00"/>
    <x v="4"/>
    <n v="3"/>
    <x v="2"/>
    <x v="3"/>
    <x v="4"/>
    <x v="0"/>
    <x v="8"/>
    <s v="Cisco SPA 501G IP Phone"/>
    <n v="1357.61"/>
    <n v="8"/>
    <n v="137.29"/>
  </r>
  <r>
    <d v="2017-03-29T00:00:00"/>
    <x v="4"/>
    <n v="3"/>
    <x v="2"/>
    <x v="2"/>
    <x v="0"/>
    <x v="1"/>
    <x v="5"/>
    <s v="Newell 322"/>
    <n v="1825.85"/>
    <n v="4"/>
    <n v="203.66"/>
  </r>
  <r>
    <d v="2017-03-29T00:00:00"/>
    <x v="4"/>
    <n v="3"/>
    <x v="2"/>
    <x v="9"/>
    <x v="2"/>
    <x v="1"/>
    <x v="7"/>
    <s v="Cisco SPA 501G IP Phone"/>
    <n v="39.75"/>
    <n v="4"/>
    <n v="15.6"/>
  </r>
  <r>
    <d v="2017-03-30T00:00:00"/>
    <x v="4"/>
    <n v="3"/>
    <x v="2"/>
    <x v="12"/>
    <x v="4"/>
    <x v="1"/>
    <x v="1"/>
    <s v="Bush Somerset Collection Bookcase"/>
    <n v="702.46"/>
    <n v="4"/>
    <n v="-42.58"/>
  </r>
  <r>
    <d v="2017-03-30T00:00:00"/>
    <x v="4"/>
    <n v="3"/>
    <x v="2"/>
    <x v="4"/>
    <x v="6"/>
    <x v="1"/>
    <x v="7"/>
    <s v="Hon Deluxe Fabric Upholstered Stacking Chairs"/>
    <n v="1893.95"/>
    <n v="2"/>
    <n v="291.56"/>
  </r>
  <r>
    <d v="2017-03-30T00:00:00"/>
    <x v="4"/>
    <n v="3"/>
    <x v="2"/>
    <x v="6"/>
    <x v="4"/>
    <x v="1"/>
    <x v="8"/>
    <s v="Bretford CR4500 Series Table"/>
    <n v="1092.96"/>
    <n v="4"/>
    <n v="-61.09"/>
  </r>
  <r>
    <d v="2017-03-31T00:00:00"/>
    <x v="4"/>
    <n v="3"/>
    <x v="2"/>
    <x v="2"/>
    <x v="8"/>
    <x v="2"/>
    <x v="6"/>
    <s v="Newell 322"/>
    <n v="117.73"/>
    <n v="5"/>
    <n v="-64.95"/>
  </r>
  <r>
    <d v="2017-04-02T00:00:00"/>
    <x v="4"/>
    <n v="4"/>
    <x v="3"/>
    <x v="8"/>
    <x v="6"/>
    <x v="1"/>
    <x v="4"/>
    <s v="Eldon Fold 'N Roll Cart System"/>
    <n v="1593.21"/>
    <n v="4"/>
    <n v="0.79"/>
  </r>
  <r>
    <d v="2017-04-04T00:00:00"/>
    <x v="4"/>
    <n v="4"/>
    <x v="3"/>
    <x v="11"/>
    <x v="1"/>
    <x v="2"/>
    <x v="4"/>
    <s v="Fellowes PB200 Comb Binding Machine"/>
    <n v="1007.69"/>
    <n v="8"/>
    <n v="58.86"/>
  </r>
  <r>
    <d v="2017-04-05T00:00:00"/>
    <x v="4"/>
    <n v="4"/>
    <x v="3"/>
    <x v="10"/>
    <x v="1"/>
    <x v="1"/>
    <x v="1"/>
    <s v="Bretford CR4500 Series Table"/>
    <n v="1272.1400000000001"/>
    <n v="3"/>
    <n v="-12.1"/>
  </r>
  <r>
    <d v="2017-04-05T00:00:00"/>
    <x v="4"/>
    <n v="4"/>
    <x v="3"/>
    <x v="7"/>
    <x v="3"/>
    <x v="1"/>
    <x v="1"/>
    <s v="Bretford CR4500 Series Table"/>
    <n v="1643.05"/>
    <n v="8"/>
    <n v="129.88"/>
  </r>
  <r>
    <d v="2017-04-10T00:00:00"/>
    <x v="4"/>
    <n v="4"/>
    <x v="3"/>
    <x v="10"/>
    <x v="8"/>
    <x v="1"/>
    <x v="6"/>
    <s v="Hon Deluxe Fabric Upholstered Stacking Chairs"/>
    <n v="596.35"/>
    <n v="8"/>
    <n v="329.87"/>
  </r>
  <r>
    <d v="2017-04-11T00:00:00"/>
    <x v="4"/>
    <n v="4"/>
    <x v="3"/>
    <x v="7"/>
    <x v="7"/>
    <x v="2"/>
    <x v="7"/>
    <s v="Eldon Fold 'N Roll Cart System"/>
    <n v="497.13"/>
    <n v="8"/>
    <n v="64.39"/>
  </r>
  <r>
    <d v="2017-04-14T00:00:00"/>
    <x v="4"/>
    <n v="4"/>
    <x v="3"/>
    <x v="4"/>
    <x v="7"/>
    <x v="2"/>
    <x v="4"/>
    <s v="Newell 322"/>
    <n v="417.14"/>
    <n v="8"/>
    <n v="-174.26"/>
  </r>
  <r>
    <d v="2017-04-18T00:00:00"/>
    <x v="4"/>
    <n v="4"/>
    <x v="3"/>
    <x v="6"/>
    <x v="4"/>
    <x v="2"/>
    <x v="0"/>
    <s v="Self-Adhesive Address Labels"/>
    <n v="1236.29"/>
    <n v="1"/>
    <n v="294.14999999999998"/>
  </r>
  <r>
    <d v="2017-04-20T00:00:00"/>
    <x v="4"/>
    <n v="4"/>
    <x v="3"/>
    <x v="9"/>
    <x v="7"/>
    <x v="2"/>
    <x v="0"/>
    <s v="Belkin 6 Outlet Surge"/>
    <n v="107.83"/>
    <n v="9"/>
    <n v="145.44999999999999"/>
  </r>
  <r>
    <d v="2017-04-20T00:00:00"/>
    <x v="4"/>
    <n v="4"/>
    <x v="3"/>
    <x v="8"/>
    <x v="0"/>
    <x v="1"/>
    <x v="2"/>
    <s v="Fellowes PB200 Comb Binding Machine"/>
    <n v="1584.1"/>
    <n v="6"/>
    <n v="360.44"/>
  </r>
  <r>
    <d v="2017-04-20T00:00:00"/>
    <x v="4"/>
    <n v="4"/>
    <x v="3"/>
    <x v="2"/>
    <x v="9"/>
    <x v="2"/>
    <x v="2"/>
    <s v="Bush Somerset Collection Bookcase"/>
    <n v="228.16"/>
    <n v="2"/>
    <n v="-140.19999999999999"/>
  </r>
  <r>
    <d v="2017-04-21T00:00:00"/>
    <x v="4"/>
    <n v="4"/>
    <x v="3"/>
    <x v="3"/>
    <x v="5"/>
    <x v="0"/>
    <x v="7"/>
    <s v="Cisco SPA 501G IP Phone"/>
    <n v="160.35"/>
    <n v="1"/>
    <n v="12.02"/>
  </r>
  <r>
    <d v="2017-04-21T00:00:00"/>
    <x v="4"/>
    <n v="4"/>
    <x v="3"/>
    <x v="6"/>
    <x v="4"/>
    <x v="2"/>
    <x v="2"/>
    <s v="Fellowes PB200 Comb Binding Machine"/>
    <n v="861.46"/>
    <n v="4"/>
    <n v="203.44"/>
  </r>
  <r>
    <d v="2017-04-21T00:00:00"/>
    <x v="4"/>
    <n v="4"/>
    <x v="3"/>
    <x v="11"/>
    <x v="3"/>
    <x v="2"/>
    <x v="3"/>
    <s v="Self-Adhesive Address Labels"/>
    <n v="1398.62"/>
    <n v="6"/>
    <n v="-176.1"/>
  </r>
  <r>
    <d v="2017-04-23T00:00:00"/>
    <x v="4"/>
    <n v="4"/>
    <x v="3"/>
    <x v="4"/>
    <x v="2"/>
    <x v="1"/>
    <x v="3"/>
    <s v="Newell 322"/>
    <n v="215.05"/>
    <n v="8"/>
    <n v="142.72999999999999"/>
  </r>
  <r>
    <d v="2017-04-23T00:00:00"/>
    <x v="4"/>
    <n v="4"/>
    <x v="3"/>
    <x v="8"/>
    <x v="1"/>
    <x v="2"/>
    <x v="1"/>
    <s v="Eldon Expressions Desk Accessories"/>
    <n v="705.45"/>
    <n v="7"/>
    <n v="343.52"/>
  </r>
  <r>
    <d v="2017-04-24T00:00:00"/>
    <x v="4"/>
    <n v="4"/>
    <x v="3"/>
    <x v="11"/>
    <x v="4"/>
    <x v="0"/>
    <x v="8"/>
    <s v="Belkin 6 Outlet Surge"/>
    <n v="1124.8800000000001"/>
    <n v="9"/>
    <n v="-33.93"/>
  </r>
  <r>
    <d v="2017-04-27T00:00:00"/>
    <x v="4"/>
    <n v="4"/>
    <x v="3"/>
    <x v="2"/>
    <x v="3"/>
    <x v="2"/>
    <x v="5"/>
    <s v="Fellowes PB200 Comb Binding Machine"/>
    <n v="436.4"/>
    <n v="5"/>
    <n v="324.45"/>
  </r>
  <r>
    <d v="2017-04-27T00:00:00"/>
    <x v="4"/>
    <n v="4"/>
    <x v="3"/>
    <x v="9"/>
    <x v="0"/>
    <x v="1"/>
    <x v="4"/>
    <s v="Bush Somerset Collection Bookcase"/>
    <n v="1727.43"/>
    <n v="4"/>
    <n v="394.15"/>
  </r>
  <r>
    <d v="2017-04-29T00:00:00"/>
    <x v="4"/>
    <n v="4"/>
    <x v="3"/>
    <x v="9"/>
    <x v="5"/>
    <x v="2"/>
    <x v="7"/>
    <s v="Belkin 6 Outlet Surge"/>
    <n v="261.48"/>
    <n v="1"/>
    <n v="309.64"/>
  </r>
  <r>
    <d v="2017-04-29T00:00:00"/>
    <x v="4"/>
    <n v="4"/>
    <x v="3"/>
    <x v="5"/>
    <x v="7"/>
    <x v="1"/>
    <x v="7"/>
    <s v="Cisco SPA 501G IP Phone"/>
    <n v="1665.25"/>
    <n v="3"/>
    <n v="365.13"/>
  </r>
  <r>
    <d v="2017-04-29T00:00:00"/>
    <x v="4"/>
    <n v="4"/>
    <x v="3"/>
    <x v="12"/>
    <x v="5"/>
    <x v="0"/>
    <x v="4"/>
    <s v="Bush Somerset Collection Bookcase"/>
    <n v="887.99"/>
    <n v="7"/>
    <n v="-123.19"/>
  </r>
  <r>
    <d v="2017-04-29T00:00:00"/>
    <x v="4"/>
    <n v="4"/>
    <x v="3"/>
    <x v="6"/>
    <x v="4"/>
    <x v="0"/>
    <x v="7"/>
    <s v="Belkin 6 Outlet Surge"/>
    <n v="1224.68"/>
    <n v="6"/>
    <n v="274.10000000000002"/>
  </r>
  <r>
    <d v="2017-05-01T00:00:00"/>
    <x v="4"/>
    <n v="5"/>
    <x v="4"/>
    <x v="5"/>
    <x v="9"/>
    <x v="2"/>
    <x v="4"/>
    <s v="Bretford CR4500 Series Table"/>
    <n v="717.69"/>
    <n v="4"/>
    <n v="68.239999999999995"/>
  </r>
  <r>
    <d v="2017-05-01T00:00:00"/>
    <x v="4"/>
    <n v="5"/>
    <x v="4"/>
    <x v="7"/>
    <x v="4"/>
    <x v="0"/>
    <x v="4"/>
    <s v="Belkin 6 Outlet Surge"/>
    <n v="515.89"/>
    <n v="9"/>
    <n v="112.5"/>
  </r>
  <r>
    <d v="2017-05-04T00:00:00"/>
    <x v="4"/>
    <n v="5"/>
    <x v="4"/>
    <x v="10"/>
    <x v="0"/>
    <x v="1"/>
    <x v="5"/>
    <s v="Newell 322"/>
    <n v="1767.87"/>
    <n v="9"/>
    <n v="32.79"/>
  </r>
  <r>
    <d v="2017-05-05T00:00:00"/>
    <x v="4"/>
    <n v="5"/>
    <x v="4"/>
    <x v="0"/>
    <x v="6"/>
    <x v="0"/>
    <x v="3"/>
    <s v="Cisco SPA 501G IP Phone"/>
    <n v="1798.29"/>
    <n v="1"/>
    <n v="297.10000000000002"/>
  </r>
  <r>
    <d v="2017-05-06T00:00:00"/>
    <x v="4"/>
    <n v="5"/>
    <x v="4"/>
    <x v="0"/>
    <x v="8"/>
    <x v="2"/>
    <x v="7"/>
    <s v="Bretford CR4500 Series Table"/>
    <n v="1114.27"/>
    <n v="3"/>
    <n v="399.8"/>
  </r>
  <r>
    <d v="2017-05-07T00:00:00"/>
    <x v="4"/>
    <n v="5"/>
    <x v="4"/>
    <x v="6"/>
    <x v="3"/>
    <x v="1"/>
    <x v="5"/>
    <s v="Bretford CR4500 Series Table"/>
    <n v="1510.34"/>
    <n v="8"/>
    <n v="-26.71"/>
  </r>
  <r>
    <d v="2017-05-08T00:00:00"/>
    <x v="4"/>
    <n v="5"/>
    <x v="4"/>
    <x v="5"/>
    <x v="2"/>
    <x v="1"/>
    <x v="5"/>
    <s v="Belkin 6 Outlet Surge"/>
    <n v="577.96"/>
    <n v="8"/>
    <n v="391.89"/>
  </r>
  <r>
    <d v="2017-05-08T00:00:00"/>
    <x v="4"/>
    <n v="5"/>
    <x v="4"/>
    <x v="9"/>
    <x v="7"/>
    <x v="0"/>
    <x v="8"/>
    <s v="Eldon Expressions Desk Accessories"/>
    <n v="46.86"/>
    <n v="1"/>
    <n v="46.41"/>
  </r>
  <r>
    <d v="2017-05-09T00:00:00"/>
    <x v="4"/>
    <n v="5"/>
    <x v="4"/>
    <x v="3"/>
    <x v="8"/>
    <x v="2"/>
    <x v="1"/>
    <s v="Cisco SPA 501G IP Phone"/>
    <n v="1729.23"/>
    <n v="5"/>
    <n v="-170.01"/>
  </r>
  <r>
    <d v="2017-05-09T00:00:00"/>
    <x v="4"/>
    <n v="5"/>
    <x v="4"/>
    <x v="11"/>
    <x v="3"/>
    <x v="2"/>
    <x v="2"/>
    <s v="Eldon Expressions Desk Accessories"/>
    <n v="76.540000000000006"/>
    <n v="1"/>
    <n v="-115.41"/>
  </r>
  <r>
    <d v="2017-05-10T00:00:00"/>
    <x v="4"/>
    <n v="5"/>
    <x v="4"/>
    <x v="12"/>
    <x v="4"/>
    <x v="2"/>
    <x v="4"/>
    <s v="Eldon Fold 'N Roll Cart System"/>
    <n v="511.62"/>
    <n v="8"/>
    <n v="349.98"/>
  </r>
  <r>
    <d v="2017-05-12T00:00:00"/>
    <x v="4"/>
    <n v="5"/>
    <x v="4"/>
    <x v="7"/>
    <x v="8"/>
    <x v="2"/>
    <x v="7"/>
    <s v="Eldon Expressions Desk Accessories"/>
    <n v="1015.07"/>
    <n v="6"/>
    <n v="388.57"/>
  </r>
  <r>
    <d v="2017-05-14T00:00:00"/>
    <x v="4"/>
    <n v="5"/>
    <x v="4"/>
    <x v="6"/>
    <x v="2"/>
    <x v="2"/>
    <x v="6"/>
    <s v="Newell 322"/>
    <n v="1392.4"/>
    <n v="4"/>
    <n v="-53.37"/>
  </r>
  <r>
    <d v="2017-05-14T00:00:00"/>
    <x v="4"/>
    <n v="5"/>
    <x v="4"/>
    <x v="6"/>
    <x v="4"/>
    <x v="2"/>
    <x v="2"/>
    <s v="Fellowes PB200 Comb Binding Machine"/>
    <n v="277.70999999999998"/>
    <n v="4"/>
    <n v="196.54"/>
  </r>
  <r>
    <d v="2017-05-15T00:00:00"/>
    <x v="4"/>
    <n v="5"/>
    <x v="4"/>
    <x v="0"/>
    <x v="0"/>
    <x v="2"/>
    <x v="5"/>
    <s v="Eldon Expressions Desk Accessories"/>
    <n v="114.03"/>
    <n v="4"/>
    <n v="-80.959999999999994"/>
  </r>
  <r>
    <d v="2017-05-15T00:00:00"/>
    <x v="4"/>
    <n v="5"/>
    <x v="4"/>
    <x v="1"/>
    <x v="0"/>
    <x v="2"/>
    <x v="0"/>
    <s v="Belkin 6 Outlet Surge"/>
    <n v="161.41"/>
    <n v="7"/>
    <n v="382.6"/>
  </r>
  <r>
    <d v="2017-05-15T00:00:00"/>
    <x v="4"/>
    <n v="5"/>
    <x v="4"/>
    <x v="3"/>
    <x v="9"/>
    <x v="0"/>
    <x v="8"/>
    <s v="Belkin 6 Outlet Surge"/>
    <n v="1914.41"/>
    <n v="6"/>
    <n v="-118.43"/>
  </r>
  <r>
    <d v="2017-05-16T00:00:00"/>
    <x v="4"/>
    <n v="5"/>
    <x v="4"/>
    <x v="10"/>
    <x v="7"/>
    <x v="0"/>
    <x v="5"/>
    <s v="Newell 322"/>
    <n v="1394.33"/>
    <n v="3"/>
    <n v="331.97"/>
  </r>
  <r>
    <d v="2017-05-16T00:00:00"/>
    <x v="4"/>
    <n v="5"/>
    <x v="4"/>
    <x v="4"/>
    <x v="8"/>
    <x v="0"/>
    <x v="3"/>
    <s v="Newell 322"/>
    <n v="1696.89"/>
    <n v="2"/>
    <n v="44.3"/>
  </r>
  <r>
    <d v="2017-05-17T00:00:00"/>
    <x v="4"/>
    <n v="5"/>
    <x v="4"/>
    <x v="7"/>
    <x v="9"/>
    <x v="0"/>
    <x v="4"/>
    <s v="Self-Adhesive Address Labels"/>
    <n v="1027.96"/>
    <n v="2"/>
    <n v="-34.9"/>
  </r>
  <r>
    <d v="2017-05-17T00:00:00"/>
    <x v="4"/>
    <n v="5"/>
    <x v="4"/>
    <x v="5"/>
    <x v="5"/>
    <x v="0"/>
    <x v="2"/>
    <s v="Cisco SPA 501G IP Phone"/>
    <n v="1382.51"/>
    <n v="1"/>
    <n v="-53.18"/>
  </r>
  <r>
    <d v="2017-05-18T00:00:00"/>
    <x v="4"/>
    <n v="5"/>
    <x v="4"/>
    <x v="10"/>
    <x v="4"/>
    <x v="0"/>
    <x v="1"/>
    <s v="Cisco SPA 501G IP Phone"/>
    <n v="1016.43"/>
    <n v="8"/>
    <n v="233.78"/>
  </r>
  <r>
    <d v="2017-05-18T00:00:00"/>
    <x v="4"/>
    <n v="5"/>
    <x v="4"/>
    <x v="11"/>
    <x v="5"/>
    <x v="2"/>
    <x v="0"/>
    <s v="Eldon Expressions Desk Accessories"/>
    <n v="588.58000000000004"/>
    <n v="1"/>
    <n v="4.2"/>
  </r>
  <r>
    <d v="2017-05-19T00:00:00"/>
    <x v="4"/>
    <n v="5"/>
    <x v="4"/>
    <x v="6"/>
    <x v="6"/>
    <x v="2"/>
    <x v="3"/>
    <s v="Self-Adhesive Address Labels"/>
    <n v="1725.55"/>
    <n v="6"/>
    <n v="154.24"/>
  </r>
  <r>
    <d v="2017-05-20T00:00:00"/>
    <x v="4"/>
    <n v="5"/>
    <x v="4"/>
    <x v="0"/>
    <x v="9"/>
    <x v="1"/>
    <x v="4"/>
    <s v="Bush Somerset Collection Bookcase"/>
    <n v="682.04"/>
    <n v="6"/>
    <n v="-48.2"/>
  </r>
  <r>
    <d v="2017-05-23T00:00:00"/>
    <x v="4"/>
    <n v="5"/>
    <x v="4"/>
    <x v="6"/>
    <x v="8"/>
    <x v="2"/>
    <x v="3"/>
    <s v="Cisco SPA 501G IP Phone"/>
    <n v="410.33"/>
    <n v="4"/>
    <n v="-71.900000000000006"/>
  </r>
  <r>
    <d v="2017-05-23T00:00:00"/>
    <x v="4"/>
    <n v="5"/>
    <x v="4"/>
    <x v="0"/>
    <x v="5"/>
    <x v="0"/>
    <x v="7"/>
    <s v="Cisco SPA 501G IP Phone"/>
    <n v="1462.1"/>
    <n v="5"/>
    <n v="142.07"/>
  </r>
  <r>
    <d v="2017-05-24T00:00:00"/>
    <x v="4"/>
    <n v="5"/>
    <x v="4"/>
    <x v="6"/>
    <x v="5"/>
    <x v="0"/>
    <x v="1"/>
    <s v="Eldon Expressions Desk Accessories"/>
    <n v="475.72"/>
    <n v="7"/>
    <n v="317.20999999999998"/>
  </r>
  <r>
    <d v="2017-05-25T00:00:00"/>
    <x v="4"/>
    <n v="5"/>
    <x v="4"/>
    <x v="9"/>
    <x v="1"/>
    <x v="0"/>
    <x v="7"/>
    <s v="Bretford CR4500 Series Table"/>
    <n v="534.09"/>
    <n v="4"/>
    <n v="125.97"/>
  </r>
  <r>
    <d v="2017-05-27T00:00:00"/>
    <x v="4"/>
    <n v="5"/>
    <x v="4"/>
    <x v="7"/>
    <x v="0"/>
    <x v="1"/>
    <x v="0"/>
    <s v="Eldon Expressions Desk Accessories"/>
    <n v="353.85"/>
    <n v="4"/>
    <n v="130.74"/>
  </r>
  <r>
    <d v="2017-06-04T00:00:00"/>
    <x v="4"/>
    <n v="6"/>
    <x v="5"/>
    <x v="9"/>
    <x v="4"/>
    <x v="2"/>
    <x v="2"/>
    <s v="Belkin 6 Outlet Surge"/>
    <n v="331.81"/>
    <n v="9"/>
    <n v="213.87"/>
  </r>
  <r>
    <d v="2017-06-06T00:00:00"/>
    <x v="4"/>
    <n v="6"/>
    <x v="5"/>
    <x v="7"/>
    <x v="1"/>
    <x v="1"/>
    <x v="3"/>
    <s v="Cisco SPA 501G IP Phone"/>
    <n v="1480.59"/>
    <n v="1"/>
    <n v="-121.08"/>
  </r>
  <r>
    <d v="2017-06-08T00:00:00"/>
    <x v="4"/>
    <n v="6"/>
    <x v="5"/>
    <x v="4"/>
    <x v="8"/>
    <x v="2"/>
    <x v="2"/>
    <s v="Cisco SPA 501G IP Phone"/>
    <n v="546.89"/>
    <n v="4"/>
    <n v="362.16"/>
  </r>
  <r>
    <d v="2017-06-11T00:00:00"/>
    <x v="4"/>
    <n v="6"/>
    <x v="5"/>
    <x v="8"/>
    <x v="9"/>
    <x v="2"/>
    <x v="8"/>
    <s v="Newell 322"/>
    <n v="1776.63"/>
    <n v="7"/>
    <n v="-119.97"/>
  </r>
  <r>
    <d v="2017-06-13T00:00:00"/>
    <x v="4"/>
    <n v="6"/>
    <x v="5"/>
    <x v="3"/>
    <x v="3"/>
    <x v="2"/>
    <x v="4"/>
    <s v="Self-Adhesive Address Labels"/>
    <n v="1270.74"/>
    <n v="5"/>
    <n v="-178.31"/>
  </r>
  <r>
    <d v="2017-06-14T00:00:00"/>
    <x v="4"/>
    <n v="6"/>
    <x v="5"/>
    <x v="11"/>
    <x v="8"/>
    <x v="0"/>
    <x v="0"/>
    <s v="Fellowes PB200 Comb Binding Machine"/>
    <n v="1305.8800000000001"/>
    <n v="6"/>
    <n v="-172.65"/>
  </r>
  <r>
    <d v="2017-06-14T00:00:00"/>
    <x v="4"/>
    <n v="6"/>
    <x v="5"/>
    <x v="9"/>
    <x v="6"/>
    <x v="1"/>
    <x v="7"/>
    <s v="Hon Deluxe Fabric Upholstered Stacking Chairs"/>
    <n v="1043.3699999999999"/>
    <n v="5"/>
    <n v="225.94"/>
  </r>
  <r>
    <d v="2017-06-16T00:00:00"/>
    <x v="4"/>
    <n v="6"/>
    <x v="5"/>
    <x v="0"/>
    <x v="2"/>
    <x v="1"/>
    <x v="2"/>
    <s v="Bretford CR4500 Series Table"/>
    <n v="253.94"/>
    <n v="3"/>
    <n v="352.33"/>
  </r>
  <r>
    <d v="2017-06-16T00:00:00"/>
    <x v="4"/>
    <n v="6"/>
    <x v="5"/>
    <x v="7"/>
    <x v="3"/>
    <x v="0"/>
    <x v="4"/>
    <s v="Eldon Fold 'N Roll Cart System"/>
    <n v="1179.8900000000001"/>
    <n v="2"/>
    <n v="65.540000000000006"/>
  </r>
  <r>
    <d v="2017-06-18T00:00:00"/>
    <x v="4"/>
    <n v="6"/>
    <x v="5"/>
    <x v="9"/>
    <x v="8"/>
    <x v="1"/>
    <x v="1"/>
    <s v="Belkin 6 Outlet Surge"/>
    <n v="306.08999999999997"/>
    <n v="5"/>
    <n v="111.12"/>
  </r>
  <r>
    <d v="2017-06-18T00:00:00"/>
    <x v="4"/>
    <n v="6"/>
    <x v="5"/>
    <x v="12"/>
    <x v="1"/>
    <x v="2"/>
    <x v="3"/>
    <s v="Bretford CR4500 Series Table"/>
    <n v="1515.84"/>
    <n v="6"/>
    <n v="-138.66999999999999"/>
  </r>
  <r>
    <d v="2017-06-19T00:00:00"/>
    <x v="4"/>
    <n v="6"/>
    <x v="5"/>
    <x v="6"/>
    <x v="1"/>
    <x v="0"/>
    <x v="8"/>
    <s v="Newell 322"/>
    <n v="1269.03"/>
    <n v="7"/>
    <n v="-168.75"/>
  </r>
  <r>
    <d v="2017-06-19T00:00:00"/>
    <x v="4"/>
    <n v="6"/>
    <x v="5"/>
    <x v="11"/>
    <x v="7"/>
    <x v="1"/>
    <x v="6"/>
    <s v="Hon Deluxe Fabric Upholstered Stacking Chairs"/>
    <n v="851.52"/>
    <n v="2"/>
    <n v="95.66"/>
  </r>
  <r>
    <d v="2017-06-20T00:00:00"/>
    <x v="4"/>
    <n v="6"/>
    <x v="5"/>
    <x v="1"/>
    <x v="1"/>
    <x v="2"/>
    <x v="8"/>
    <s v="Eldon Fold 'N Roll Cart System"/>
    <n v="1657.81"/>
    <n v="8"/>
    <n v="307.64"/>
  </r>
  <r>
    <d v="2017-06-20T00:00:00"/>
    <x v="4"/>
    <n v="6"/>
    <x v="5"/>
    <x v="9"/>
    <x v="8"/>
    <x v="2"/>
    <x v="8"/>
    <s v="Eldon Fold 'N Roll Cart System"/>
    <n v="1015.28"/>
    <n v="5"/>
    <n v="263.89"/>
  </r>
  <r>
    <d v="2017-06-20T00:00:00"/>
    <x v="4"/>
    <n v="6"/>
    <x v="5"/>
    <x v="11"/>
    <x v="3"/>
    <x v="1"/>
    <x v="4"/>
    <s v="Bush Somerset Collection Bookcase"/>
    <n v="1942.88"/>
    <n v="8"/>
    <n v="375.17"/>
  </r>
  <r>
    <d v="2017-06-21T00:00:00"/>
    <x v="4"/>
    <n v="6"/>
    <x v="5"/>
    <x v="5"/>
    <x v="4"/>
    <x v="0"/>
    <x v="1"/>
    <s v="Newell 322"/>
    <n v="871.62"/>
    <n v="1"/>
    <n v="-124"/>
  </r>
  <r>
    <d v="2017-06-21T00:00:00"/>
    <x v="4"/>
    <n v="6"/>
    <x v="5"/>
    <x v="5"/>
    <x v="9"/>
    <x v="2"/>
    <x v="4"/>
    <s v="Self-Adhesive Address Labels"/>
    <n v="33.409999999999997"/>
    <n v="3"/>
    <n v="371.34"/>
  </r>
  <r>
    <d v="2017-06-22T00:00:00"/>
    <x v="4"/>
    <n v="6"/>
    <x v="5"/>
    <x v="9"/>
    <x v="4"/>
    <x v="0"/>
    <x v="5"/>
    <s v="Bush Somerset Collection Bookcase"/>
    <n v="241.73"/>
    <n v="8"/>
    <n v="210.96"/>
  </r>
  <r>
    <d v="2017-06-22T00:00:00"/>
    <x v="4"/>
    <n v="6"/>
    <x v="5"/>
    <x v="5"/>
    <x v="0"/>
    <x v="0"/>
    <x v="2"/>
    <s v="Bush Somerset Collection Bookcase"/>
    <n v="785.42"/>
    <n v="6"/>
    <n v="16.350000000000001"/>
  </r>
  <r>
    <d v="2017-06-22T00:00:00"/>
    <x v="4"/>
    <n v="6"/>
    <x v="5"/>
    <x v="6"/>
    <x v="3"/>
    <x v="0"/>
    <x v="5"/>
    <s v="Self-Adhesive Address Labels"/>
    <n v="286.98"/>
    <n v="7"/>
    <n v="89.72"/>
  </r>
  <r>
    <d v="2017-06-23T00:00:00"/>
    <x v="4"/>
    <n v="6"/>
    <x v="5"/>
    <x v="11"/>
    <x v="6"/>
    <x v="0"/>
    <x v="5"/>
    <s v="Bretford CR4500 Series Table"/>
    <n v="609.30999999999995"/>
    <n v="3"/>
    <n v="-103.05"/>
  </r>
  <r>
    <d v="2017-06-24T00:00:00"/>
    <x v="4"/>
    <n v="6"/>
    <x v="5"/>
    <x v="5"/>
    <x v="8"/>
    <x v="0"/>
    <x v="6"/>
    <s v="Newell 322"/>
    <n v="1642.38"/>
    <n v="7"/>
    <n v="-109.68"/>
  </r>
  <r>
    <d v="2017-06-24T00:00:00"/>
    <x v="4"/>
    <n v="6"/>
    <x v="5"/>
    <x v="4"/>
    <x v="0"/>
    <x v="0"/>
    <x v="8"/>
    <s v="Cisco SPA 501G IP Phone"/>
    <n v="595.07000000000005"/>
    <n v="1"/>
    <n v="126.55"/>
  </r>
  <r>
    <d v="2017-06-25T00:00:00"/>
    <x v="4"/>
    <n v="6"/>
    <x v="5"/>
    <x v="0"/>
    <x v="7"/>
    <x v="2"/>
    <x v="1"/>
    <s v="Eldon Fold 'N Roll Cart System"/>
    <n v="185.13"/>
    <n v="4"/>
    <n v="-29.52"/>
  </r>
  <r>
    <d v="2017-06-25T00:00:00"/>
    <x v="4"/>
    <n v="6"/>
    <x v="5"/>
    <x v="3"/>
    <x v="6"/>
    <x v="1"/>
    <x v="0"/>
    <s v="Cisco SPA 501G IP Phone"/>
    <n v="1512.59"/>
    <n v="7"/>
    <n v="157.87"/>
  </r>
  <r>
    <d v="2017-06-25T00:00:00"/>
    <x v="4"/>
    <n v="6"/>
    <x v="5"/>
    <x v="3"/>
    <x v="3"/>
    <x v="2"/>
    <x v="4"/>
    <s v="Cisco SPA 501G IP Phone"/>
    <n v="1029.73"/>
    <n v="7"/>
    <n v="-13.37"/>
  </r>
  <r>
    <d v="2017-06-25T00:00:00"/>
    <x v="4"/>
    <n v="6"/>
    <x v="5"/>
    <x v="5"/>
    <x v="6"/>
    <x v="2"/>
    <x v="8"/>
    <s v="Fellowes PB200 Comb Binding Machine"/>
    <n v="506.26"/>
    <n v="8"/>
    <n v="271.60000000000002"/>
  </r>
  <r>
    <d v="2017-06-25T00:00:00"/>
    <x v="4"/>
    <n v="6"/>
    <x v="5"/>
    <x v="5"/>
    <x v="1"/>
    <x v="0"/>
    <x v="4"/>
    <s v="Cisco SPA 501G IP Phone"/>
    <n v="1630.69"/>
    <n v="1"/>
    <n v="139.09"/>
  </r>
  <r>
    <d v="2017-06-27T00:00:00"/>
    <x v="4"/>
    <n v="6"/>
    <x v="5"/>
    <x v="3"/>
    <x v="3"/>
    <x v="1"/>
    <x v="7"/>
    <s v="Fellowes PB200 Comb Binding Machine"/>
    <n v="453.67"/>
    <n v="2"/>
    <n v="274.64"/>
  </r>
  <r>
    <d v="2017-06-28T00:00:00"/>
    <x v="4"/>
    <n v="6"/>
    <x v="5"/>
    <x v="10"/>
    <x v="1"/>
    <x v="0"/>
    <x v="0"/>
    <s v="Eldon Expressions Desk Accessories"/>
    <n v="1856.34"/>
    <n v="9"/>
    <n v="-42.08"/>
  </r>
  <r>
    <d v="2017-06-28T00:00:00"/>
    <x v="4"/>
    <n v="6"/>
    <x v="5"/>
    <x v="1"/>
    <x v="8"/>
    <x v="2"/>
    <x v="0"/>
    <s v="Hon Deluxe Fabric Upholstered Stacking Chairs"/>
    <n v="1517.02"/>
    <n v="4"/>
    <n v="274.45"/>
  </r>
  <r>
    <d v="2017-06-28T00:00:00"/>
    <x v="4"/>
    <n v="6"/>
    <x v="5"/>
    <x v="3"/>
    <x v="7"/>
    <x v="2"/>
    <x v="1"/>
    <s v="Belkin 6 Outlet Surge"/>
    <n v="1657.55"/>
    <n v="5"/>
    <n v="-30.27"/>
  </r>
  <r>
    <d v="2017-06-28T00:00:00"/>
    <x v="4"/>
    <n v="6"/>
    <x v="5"/>
    <x v="12"/>
    <x v="2"/>
    <x v="1"/>
    <x v="8"/>
    <s v="Bretford CR4500 Series Table"/>
    <n v="695.41"/>
    <n v="4"/>
    <n v="143.88"/>
  </r>
  <r>
    <d v="2017-06-29T00:00:00"/>
    <x v="4"/>
    <n v="6"/>
    <x v="5"/>
    <x v="10"/>
    <x v="4"/>
    <x v="2"/>
    <x v="2"/>
    <s v="Fellowes PB200 Comb Binding Machine"/>
    <n v="498.13"/>
    <n v="5"/>
    <n v="95.3"/>
  </r>
  <r>
    <d v="2017-07-02T00:00:00"/>
    <x v="4"/>
    <n v="7"/>
    <x v="6"/>
    <x v="12"/>
    <x v="1"/>
    <x v="1"/>
    <x v="3"/>
    <s v="Fellowes PB200 Comb Binding Machine"/>
    <n v="552.21"/>
    <n v="2"/>
    <n v="-163.33000000000001"/>
  </r>
  <r>
    <d v="2017-07-02T00:00:00"/>
    <x v="4"/>
    <n v="7"/>
    <x v="6"/>
    <x v="11"/>
    <x v="7"/>
    <x v="2"/>
    <x v="3"/>
    <s v="Newell 322"/>
    <n v="1377.04"/>
    <n v="5"/>
    <n v="367.33"/>
  </r>
  <r>
    <d v="2017-07-04T00:00:00"/>
    <x v="4"/>
    <n v="7"/>
    <x v="6"/>
    <x v="10"/>
    <x v="3"/>
    <x v="2"/>
    <x v="6"/>
    <s v="Hon Deluxe Fabric Upholstered Stacking Chairs"/>
    <n v="155.21"/>
    <n v="7"/>
    <n v="73.64"/>
  </r>
  <r>
    <d v="2017-07-05T00:00:00"/>
    <x v="4"/>
    <n v="7"/>
    <x v="6"/>
    <x v="3"/>
    <x v="3"/>
    <x v="2"/>
    <x v="4"/>
    <s v="Cisco SPA 501G IP Phone"/>
    <n v="235.08"/>
    <n v="7"/>
    <n v="-28.65"/>
  </r>
  <r>
    <d v="2017-07-05T00:00:00"/>
    <x v="4"/>
    <n v="7"/>
    <x v="6"/>
    <x v="11"/>
    <x v="5"/>
    <x v="1"/>
    <x v="7"/>
    <s v="Self-Adhesive Address Labels"/>
    <n v="1474.8"/>
    <n v="2"/>
    <n v="270.91000000000003"/>
  </r>
  <r>
    <d v="2017-07-05T00:00:00"/>
    <x v="4"/>
    <n v="7"/>
    <x v="6"/>
    <x v="5"/>
    <x v="9"/>
    <x v="2"/>
    <x v="0"/>
    <s v="Eldon Expressions Desk Accessories"/>
    <n v="1695.55"/>
    <n v="5"/>
    <n v="-73.64"/>
  </r>
  <r>
    <d v="2017-07-06T00:00:00"/>
    <x v="4"/>
    <n v="7"/>
    <x v="6"/>
    <x v="9"/>
    <x v="8"/>
    <x v="2"/>
    <x v="0"/>
    <s v="Eldon Fold 'N Roll Cart System"/>
    <n v="1659.57"/>
    <n v="2"/>
    <n v="360.4"/>
  </r>
  <r>
    <d v="2017-07-07T00:00:00"/>
    <x v="4"/>
    <n v="7"/>
    <x v="6"/>
    <x v="1"/>
    <x v="8"/>
    <x v="2"/>
    <x v="2"/>
    <s v="Bush Somerset Collection Bookcase"/>
    <n v="1788.13"/>
    <n v="4"/>
    <n v="239.75"/>
  </r>
  <r>
    <d v="2017-07-07T00:00:00"/>
    <x v="4"/>
    <n v="7"/>
    <x v="6"/>
    <x v="12"/>
    <x v="5"/>
    <x v="1"/>
    <x v="3"/>
    <s v="Bush Somerset Collection Bookcase"/>
    <n v="1474.08"/>
    <n v="3"/>
    <n v="58.42"/>
  </r>
  <r>
    <d v="2017-07-08T00:00:00"/>
    <x v="4"/>
    <n v="7"/>
    <x v="6"/>
    <x v="4"/>
    <x v="2"/>
    <x v="1"/>
    <x v="1"/>
    <s v="Bush Somerset Collection Bookcase"/>
    <n v="1672.62"/>
    <n v="2"/>
    <n v="210.91"/>
  </r>
  <r>
    <d v="2017-07-11T00:00:00"/>
    <x v="4"/>
    <n v="7"/>
    <x v="6"/>
    <x v="9"/>
    <x v="7"/>
    <x v="0"/>
    <x v="1"/>
    <s v="Fellowes PB200 Comb Binding Machine"/>
    <n v="1915.75"/>
    <n v="1"/>
    <n v="387.64"/>
  </r>
  <r>
    <d v="2017-07-12T00:00:00"/>
    <x v="4"/>
    <n v="7"/>
    <x v="6"/>
    <x v="0"/>
    <x v="0"/>
    <x v="0"/>
    <x v="2"/>
    <s v="Bretford CR4500 Series Table"/>
    <n v="758.16"/>
    <n v="7"/>
    <n v="-186.26"/>
  </r>
  <r>
    <d v="2017-07-13T00:00:00"/>
    <x v="4"/>
    <n v="7"/>
    <x v="6"/>
    <x v="6"/>
    <x v="6"/>
    <x v="1"/>
    <x v="3"/>
    <s v="Belkin 6 Outlet Surge"/>
    <n v="1360.25"/>
    <n v="3"/>
    <n v="15.36"/>
  </r>
  <r>
    <d v="2017-07-17T00:00:00"/>
    <x v="4"/>
    <n v="7"/>
    <x v="6"/>
    <x v="7"/>
    <x v="7"/>
    <x v="2"/>
    <x v="3"/>
    <s v="Eldon Fold 'N Roll Cart System"/>
    <n v="1242.51"/>
    <n v="5"/>
    <n v="59.23"/>
  </r>
  <r>
    <d v="2017-07-19T00:00:00"/>
    <x v="4"/>
    <n v="7"/>
    <x v="6"/>
    <x v="12"/>
    <x v="7"/>
    <x v="2"/>
    <x v="2"/>
    <s v="Eldon Fold 'N Roll Cart System"/>
    <n v="753.55"/>
    <n v="3"/>
    <n v="-115.04"/>
  </r>
  <r>
    <d v="2017-07-20T00:00:00"/>
    <x v="4"/>
    <n v="7"/>
    <x v="6"/>
    <x v="4"/>
    <x v="6"/>
    <x v="1"/>
    <x v="8"/>
    <s v="Bush Somerset Collection Bookcase"/>
    <n v="1649.95"/>
    <n v="2"/>
    <n v="-144.55000000000001"/>
  </r>
  <r>
    <d v="2017-07-20T00:00:00"/>
    <x v="4"/>
    <n v="7"/>
    <x v="6"/>
    <x v="12"/>
    <x v="5"/>
    <x v="1"/>
    <x v="6"/>
    <s v="Self-Adhesive Address Labels"/>
    <n v="406.77"/>
    <n v="6"/>
    <n v="-70.5"/>
  </r>
  <r>
    <d v="2017-07-20T00:00:00"/>
    <x v="4"/>
    <n v="7"/>
    <x v="6"/>
    <x v="12"/>
    <x v="2"/>
    <x v="2"/>
    <x v="5"/>
    <s v="Self-Adhesive Address Labels"/>
    <n v="1912.48"/>
    <n v="5"/>
    <n v="48.62"/>
  </r>
  <r>
    <d v="2017-07-21T00:00:00"/>
    <x v="4"/>
    <n v="7"/>
    <x v="6"/>
    <x v="2"/>
    <x v="9"/>
    <x v="0"/>
    <x v="0"/>
    <s v="Newell 322"/>
    <n v="716.71"/>
    <n v="8"/>
    <n v="201.68"/>
  </r>
  <r>
    <d v="2017-07-22T00:00:00"/>
    <x v="4"/>
    <n v="7"/>
    <x v="6"/>
    <x v="3"/>
    <x v="8"/>
    <x v="1"/>
    <x v="2"/>
    <s v="Bretford CR4500 Series Table"/>
    <n v="288.69"/>
    <n v="2"/>
    <n v="103.15"/>
  </r>
  <r>
    <d v="2017-07-22T00:00:00"/>
    <x v="4"/>
    <n v="7"/>
    <x v="6"/>
    <x v="5"/>
    <x v="4"/>
    <x v="2"/>
    <x v="4"/>
    <s v="Self-Adhesive Address Labels"/>
    <n v="339.09"/>
    <n v="5"/>
    <n v="108.43"/>
  </r>
  <r>
    <d v="2017-07-23T00:00:00"/>
    <x v="4"/>
    <n v="7"/>
    <x v="6"/>
    <x v="2"/>
    <x v="8"/>
    <x v="2"/>
    <x v="5"/>
    <s v="Fellowes PB200 Comb Binding Machine"/>
    <n v="1394.02"/>
    <n v="6"/>
    <n v="-83.64"/>
  </r>
  <r>
    <d v="2017-07-23T00:00:00"/>
    <x v="4"/>
    <n v="7"/>
    <x v="6"/>
    <x v="10"/>
    <x v="5"/>
    <x v="2"/>
    <x v="8"/>
    <s v="Belkin 6 Outlet Surge"/>
    <n v="732.75"/>
    <n v="6"/>
    <n v="-59.83"/>
  </r>
  <r>
    <d v="2017-07-24T00:00:00"/>
    <x v="4"/>
    <n v="7"/>
    <x v="6"/>
    <x v="3"/>
    <x v="8"/>
    <x v="1"/>
    <x v="8"/>
    <s v="Bush Somerset Collection Bookcase"/>
    <n v="668.47"/>
    <n v="4"/>
    <n v="96.56"/>
  </r>
  <r>
    <d v="2017-07-25T00:00:00"/>
    <x v="4"/>
    <n v="7"/>
    <x v="6"/>
    <x v="8"/>
    <x v="0"/>
    <x v="1"/>
    <x v="1"/>
    <s v="Eldon Expressions Desk Accessories"/>
    <n v="530.89"/>
    <n v="4"/>
    <n v="-79.150000000000006"/>
  </r>
  <r>
    <d v="2017-07-26T00:00:00"/>
    <x v="4"/>
    <n v="7"/>
    <x v="6"/>
    <x v="12"/>
    <x v="7"/>
    <x v="0"/>
    <x v="1"/>
    <s v="Eldon Expressions Desk Accessories"/>
    <n v="1095.76"/>
    <n v="3"/>
    <n v="-120.46"/>
  </r>
  <r>
    <d v="2017-07-27T00:00:00"/>
    <x v="4"/>
    <n v="7"/>
    <x v="6"/>
    <x v="9"/>
    <x v="2"/>
    <x v="0"/>
    <x v="0"/>
    <s v="Bretford CR4500 Series Table"/>
    <n v="220.39"/>
    <n v="8"/>
    <n v="234.4"/>
  </r>
  <r>
    <d v="2017-07-27T00:00:00"/>
    <x v="4"/>
    <n v="7"/>
    <x v="6"/>
    <x v="11"/>
    <x v="2"/>
    <x v="1"/>
    <x v="6"/>
    <s v="Eldon Expressions Desk Accessories"/>
    <n v="1877.55"/>
    <n v="1"/>
    <n v="-166.43"/>
  </r>
  <r>
    <d v="2017-07-28T00:00:00"/>
    <x v="4"/>
    <n v="7"/>
    <x v="6"/>
    <x v="3"/>
    <x v="8"/>
    <x v="2"/>
    <x v="1"/>
    <s v="Eldon Expressions Desk Accessories"/>
    <n v="23.85"/>
    <n v="9"/>
    <n v="-75.56"/>
  </r>
  <r>
    <d v="2017-07-30T00:00:00"/>
    <x v="4"/>
    <n v="7"/>
    <x v="6"/>
    <x v="1"/>
    <x v="2"/>
    <x v="1"/>
    <x v="7"/>
    <s v="Self-Adhesive Address Labels"/>
    <n v="726.68"/>
    <n v="3"/>
    <n v="-112.59"/>
  </r>
  <r>
    <d v="2017-07-30T00:00:00"/>
    <x v="4"/>
    <n v="7"/>
    <x v="6"/>
    <x v="6"/>
    <x v="8"/>
    <x v="2"/>
    <x v="4"/>
    <s v="Newell 322"/>
    <n v="1783.08"/>
    <n v="5"/>
    <n v="75.59"/>
  </r>
  <r>
    <d v="2017-07-30T00:00:00"/>
    <x v="4"/>
    <n v="7"/>
    <x v="6"/>
    <x v="7"/>
    <x v="5"/>
    <x v="2"/>
    <x v="3"/>
    <s v="Bush Somerset Collection Bookcase"/>
    <n v="1552.63"/>
    <n v="4"/>
    <n v="305.47000000000003"/>
  </r>
  <r>
    <d v="2017-07-31T00:00:00"/>
    <x v="4"/>
    <n v="7"/>
    <x v="6"/>
    <x v="6"/>
    <x v="4"/>
    <x v="1"/>
    <x v="2"/>
    <s v="Newell 322"/>
    <n v="371.2"/>
    <n v="8"/>
    <n v="-97.46"/>
  </r>
  <r>
    <d v="2017-08-01T00:00:00"/>
    <x v="4"/>
    <n v="8"/>
    <x v="7"/>
    <x v="5"/>
    <x v="6"/>
    <x v="0"/>
    <x v="7"/>
    <s v="Hon Deluxe Fabric Upholstered Stacking Chairs"/>
    <n v="117.26"/>
    <n v="2"/>
    <n v="148.78"/>
  </r>
  <r>
    <d v="2017-08-03T00:00:00"/>
    <x v="4"/>
    <n v="8"/>
    <x v="7"/>
    <x v="7"/>
    <x v="9"/>
    <x v="0"/>
    <x v="1"/>
    <s v="Eldon Expressions Desk Accessories"/>
    <n v="1321.3"/>
    <n v="4"/>
    <n v="176.68"/>
  </r>
  <r>
    <d v="2017-08-04T00:00:00"/>
    <x v="4"/>
    <n v="8"/>
    <x v="7"/>
    <x v="8"/>
    <x v="0"/>
    <x v="0"/>
    <x v="8"/>
    <s v="Newell 322"/>
    <n v="766.59"/>
    <n v="5"/>
    <n v="256.92"/>
  </r>
  <r>
    <d v="2017-08-06T00:00:00"/>
    <x v="4"/>
    <n v="8"/>
    <x v="7"/>
    <x v="7"/>
    <x v="3"/>
    <x v="1"/>
    <x v="7"/>
    <s v="Cisco SPA 501G IP Phone"/>
    <n v="1346.31"/>
    <n v="2"/>
    <n v="-101.09"/>
  </r>
  <r>
    <d v="2017-08-06T00:00:00"/>
    <x v="4"/>
    <n v="8"/>
    <x v="7"/>
    <x v="8"/>
    <x v="3"/>
    <x v="2"/>
    <x v="1"/>
    <s v="Self-Adhesive Address Labels"/>
    <n v="510.51"/>
    <n v="5"/>
    <n v="329.36"/>
  </r>
  <r>
    <d v="2017-08-07T00:00:00"/>
    <x v="4"/>
    <n v="8"/>
    <x v="7"/>
    <x v="8"/>
    <x v="5"/>
    <x v="2"/>
    <x v="2"/>
    <s v="Newell 322"/>
    <n v="99.06"/>
    <n v="5"/>
    <n v="330.65"/>
  </r>
  <r>
    <d v="2017-08-08T00:00:00"/>
    <x v="4"/>
    <n v="8"/>
    <x v="7"/>
    <x v="9"/>
    <x v="1"/>
    <x v="2"/>
    <x v="8"/>
    <s v="Bush Somerset Collection Bookcase"/>
    <n v="1837.2"/>
    <n v="7"/>
    <n v="-36.840000000000003"/>
  </r>
  <r>
    <d v="2017-08-10T00:00:00"/>
    <x v="4"/>
    <n v="8"/>
    <x v="7"/>
    <x v="3"/>
    <x v="5"/>
    <x v="2"/>
    <x v="6"/>
    <s v="Fellowes PB200 Comb Binding Machine"/>
    <n v="237.92"/>
    <n v="9"/>
    <n v="112.66"/>
  </r>
  <r>
    <d v="2017-08-10T00:00:00"/>
    <x v="4"/>
    <n v="8"/>
    <x v="7"/>
    <x v="8"/>
    <x v="7"/>
    <x v="1"/>
    <x v="3"/>
    <s v="Eldon Expressions Desk Accessories"/>
    <n v="811.2"/>
    <n v="7"/>
    <n v="-13.6"/>
  </r>
  <r>
    <d v="2017-08-10T00:00:00"/>
    <x v="4"/>
    <n v="8"/>
    <x v="7"/>
    <x v="0"/>
    <x v="2"/>
    <x v="2"/>
    <x v="1"/>
    <s v="Belkin 6 Outlet Surge"/>
    <n v="995.16"/>
    <n v="3"/>
    <n v="384.8"/>
  </r>
  <r>
    <d v="2017-08-10T00:00:00"/>
    <x v="4"/>
    <n v="8"/>
    <x v="7"/>
    <x v="0"/>
    <x v="0"/>
    <x v="2"/>
    <x v="4"/>
    <s v="Bush Somerset Collection Bookcase"/>
    <n v="887.3"/>
    <n v="8"/>
    <n v="302.88"/>
  </r>
  <r>
    <d v="2017-08-11T00:00:00"/>
    <x v="4"/>
    <n v="8"/>
    <x v="7"/>
    <x v="3"/>
    <x v="9"/>
    <x v="1"/>
    <x v="1"/>
    <s v="Belkin 6 Outlet Surge"/>
    <n v="1038.1600000000001"/>
    <n v="5"/>
    <n v="-89.48"/>
  </r>
  <r>
    <d v="2017-08-11T00:00:00"/>
    <x v="4"/>
    <n v="8"/>
    <x v="7"/>
    <x v="2"/>
    <x v="7"/>
    <x v="1"/>
    <x v="3"/>
    <s v="Cisco SPA 501G IP Phone"/>
    <n v="614.4"/>
    <n v="1"/>
    <n v="-130.63"/>
  </r>
  <r>
    <d v="2017-08-11T00:00:00"/>
    <x v="4"/>
    <n v="8"/>
    <x v="7"/>
    <x v="11"/>
    <x v="1"/>
    <x v="0"/>
    <x v="1"/>
    <s v="Bush Somerset Collection Bookcase"/>
    <n v="721.7"/>
    <n v="8"/>
    <n v="-76"/>
  </r>
  <r>
    <d v="2017-08-13T00:00:00"/>
    <x v="4"/>
    <n v="8"/>
    <x v="7"/>
    <x v="2"/>
    <x v="1"/>
    <x v="0"/>
    <x v="3"/>
    <s v="Belkin 6 Outlet Surge"/>
    <n v="1856.52"/>
    <n v="7"/>
    <n v="186.08"/>
  </r>
  <r>
    <d v="2017-08-14T00:00:00"/>
    <x v="4"/>
    <n v="8"/>
    <x v="7"/>
    <x v="9"/>
    <x v="0"/>
    <x v="1"/>
    <x v="1"/>
    <s v="Eldon Fold 'N Roll Cart System"/>
    <n v="1470.5"/>
    <n v="3"/>
    <n v="274.49"/>
  </r>
  <r>
    <d v="2017-08-14T00:00:00"/>
    <x v="4"/>
    <n v="8"/>
    <x v="7"/>
    <x v="6"/>
    <x v="4"/>
    <x v="1"/>
    <x v="8"/>
    <s v="Bush Somerset Collection Bookcase"/>
    <n v="1568.04"/>
    <n v="4"/>
    <n v="42.6"/>
  </r>
  <r>
    <d v="2017-08-15T00:00:00"/>
    <x v="4"/>
    <n v="8"/>
    <x v="7"/>
    <x v="9"/>
    <x v="4"/>
    <x v="0"/>
    <x v="0"/>
    <s v="Hon Deluxe Fabric Upholstered Stacking Chairs"/>
    <n v="947.63"/>
    <n v="5"/>
    <n v="355.96"/>
  </r>
  <r>
    <d v="2017-08-15T00:00:00"/>
    <x v="4"/>
    <n v="8"/>
    <x v="7"/>
    <x v="9"/>
    <x v="0"/>
    <x v="1"/>
    <x v="5"/>
    <s v="Fellowes PB200 Comb Binding Machine"/>
    <n v="1300.58"/>
    <n v="8"/>
    <n v="-85.23"/>
  </r>
  <r>
    <d v="2017-08-15T00:00:00"/>
    <x v="4"/>
    <n v="8"/>
    <x v="7"/>
    <x v="9"/>
    <x v="5"/>
    <x v="0"/>
    <x v="2"/>
    <s v="Cisco SPA 501G IP Phone"/>
    <n v="1753.86"/>
    <n v="8"/>
    <n v="83.52"/>
  </r>
  <r>
    <d v="2017-08-15T00:00:00"/>
    <x v="4"/>
    <n v="8"/>
    <x v="7"/>
    <x v="11"/>
    <x v="7"/>
    <x v="0"/>
    <x v="0"/>
    <s v="Self-Adhesive Address Labels"/>
    <n v="1135.8499999999999"/>
    <n v="6"/>
    <n v="28.8"/>
  </r>
  <r>
    <d v="2017-08-16T00:00:00"/>
    <x v="4"/>
    <n v="8"/>
    <x v="7"/>
    <x v="9"/>
    <x v="2"/>
    <x v="0"/>
    <x v="1"/>
    <s v="Fellowes PB200 Comb Binding Machine"/>
    <n v="1407.17"/>
    <n v="6"/>
    <n v="217.3"/>
  </r>
  <r>
    <d v="2017-08-16T00:00:00"/>
    <x v="4"/>
    <n v="8"/>
    <x v="7"/>
    <x v="2"/>
    <x v="5"/>
    <x v="0"/>
    <x v="4"/>
    <s v="Fellowes PB200 Comb Binding Machine"/>
    <n v="1255.43"/>
    <n v="8"/>
    <n v="-166.62"/>
  </r>
  <r>
    <d v="2017-08-17T00:00:00"/>
    <x v="4"/>
    <n v="8"/>
    <x v="7"/>
    <x v="10"/>
    <x v="5"/>
    <x v="1"/>
    <x v="4"/>
    <s v="Eldon Expressions Desk Accessories"/>
    <n v="1850"/>
    <n v="9"/>
    <n v="70.569999999999993"/>
  </r>
  <r>
    <d v="2017-08-20T00:00:00"/>
    <x v="4"/>
    <n v="8"/>
    <x v="7"/>
    <x v="1"/>
    <x v="2"/>
    <x v="2"/>
    <x v="5"/>
    <s v="Fellowes PB200 Comb Binding Machine"/>
    <n v="312.77"/>
    <n v="5"/>
    <n v="357.69"/>
  </r>
  <r>
    <d v="2017-08-21T00:00:00"/>
    <x v="4"/>
    <n v="8"/>
    <x v="7"/>
    <x v="0"/>
    <x v="0"/>
    <x v="2"/>
    <x v="2"/>
    <s v="Cisco SPA 501G IP Phone"/>
    <n v="1448"/>
    <n v="6"/>
    <n v="-56.11"/>
  </r>
  <r>
    <d v="2017-08-21T00:00:00"/>
    <x v="4"/>
    <n v="8"/>
    <x v="7"/>
    <x v="6"/>
    <x v="8"/>
    <x v="1"/>
    <x v="3"/>
    <s v="Newell 322"/>
    <n v="1855.46"/>
    <n v="8"/>
    <n v="-129.11000000000001"/>
  </r>
  <r>
    <d v="2017-08-21T00:00:00"/>
    <x v="4"/>
    <n v="8"/>
    <x v="7"/>
    <x v="2"/>
    <x v="2"/>
    <x v="2"/>
    <x v="2"/>
    <s v="Eldon Expressions Desk Accessories"/>
    <n v="1792.35"/>
    <n v="4"/>
    <n v="217.81"/>
  </r>
  <r>
    <d v="2017-08-23T00:00:00"/>
    <x v="4"/>
    <n v="8"/>
    <x v="7"/>
    <x v="5"/>
    <x v="9"/>
    <x v="1"/>
    <x v="0"/>
    <s v="Eldon Expressions Desk Accessories"/>
    <n v="1234.28"/>
    <n v="6"/>
    <n v="24.25"/>
  </r>
  <r>
    <d v="2017-08-23T00:00:00"/>
    <x v="4"/>
    <n v="8"/>
    <x v="7"/>
    <x v="9"/>
    <x v="3"/>
    <x v="0"/>
    <x v="1"/>
    <s v="Bush Somerset Collection Bookcase"/>
    <n v="1293.3599999999999"/>
    <n v="4"/>
    <n v="-149.97"/>
  </r>
  <r>
    <d v="2017-08-24T00:00:00"/>
    <x v="4"/>
    <n v="8"/>
    <x v="7"/>
    <x v="10"/>
    <x v="3"/>
    <x v="1"/>
    <x v="4"/>
    <s v="Newell 322"/>
    <n v="1441.92"/>
    <n v="3"/>
    <n v="29.03"/>
  </r>
  <r>
    <d v="2017-08-24T00:00:00"/>
    <x v="4"/>
    <n v="8"/>
    <x v="7"/>
    <x v="8"/>
    <x v="2"/>
    <x v="2"/>
    <x v="4"/>
    <s v="Hon Deluxe Fabric Upholstered Stacking Chairs"/>
    <n v="950.86"/>
    <n v="7"/>
    <n v="33.5"/>
  </r>
  <r>
    <d v="2017-08-24T00:00:00"/>
    <x v="4"/>
    <n v="8"/>
    <x v="7"/>
    <x v="4"/>
    <x v="5"/>
    <x v="1"/>
    <x v="7"/>
    <s v="Eldon Expressions Desk Accessories"/>
    <n v="866.54"/>
    <n v="7"/>
    <n v="131.13999999999999"/>
  </r>
  <r>
    <d v="2017-08-26T00:00:00"/>
    <x v="4"/>
    <n v="8"/>
    <x v="7"/>
    <x v="4"/>
    <x v="9"/>
    <x v="2"/>
    <x v="1"/>
    <s v="Bretford CR4500 Series Table"/>
    <n v="1421.54"/>
    <n v="2"/>
    <n v="143.11000000000001"/>
  </r>
  <r>
    <d v="2017-08-26T00:00:00"/>
    <x v="4"/>
    <n v="8"/>
    <x v="7"/>
    <x v="12"/>
    <x v="5"/>
    <x v="1"/>
    <x v="7"/>
    <s v="Bretford CR4500 Series Table"/>
    <n v="427.23"/>
    <n v="3"/>
    <n v="329.59"/>
  </r>
  <r>
    <d v="2017-08-27T00:00:00"/>
    <x v="4"/>
    <n v="8"/>
    <x v="7"/>
    <x v="3"/>
    <x v="4"/>
    <x v="2"/>
    <x v="7"/>
    <s v="Hon Deluxe Fabric Upholstered Stacking Chairs"/>
    <n v="1690.97"/>
    <n v="7"/>
    <n v="346.95"/>
  </r>
  <r>
    <d v="2017-08-28T00:00:00"/>
    <x v="4"/>
    <n v="8"/>
    <x v="7"/>
    <x v="5"/>
    <x v="5"/>
    <x v="2"/>
    <x v="7"/>
    <s v="Eldon Expressions Desk Accessories"/>
    <n v="1033.02"/>
    <n v="8"/>
    <n v="-99.78"/>
  </r>
  <r>
    <d v="2017-08-28T00:00:00"/>
    <x v="4"/>
    <n v="8"/>
    <x v="7"/>
    <x v="3"/>
    <x v="7"/>
    <x v="1"/>
    <x v="2"/>
    <s v="Eldon Expressions Desk Accessories"/>
    <n v="1574.5"/>
    <n v="8"/>
    <n v="-94.75"/>
  </r>
  <r>
    <d v="2017-08-29T00:00:00"/>
    <x v="4"/>
    <n v="8"/>
    <x v="7"/>
    <x v="12"/>
    <x v="1"/>
    <x v="0"/>
    <x v="3"/>
    <s v="Newell 322"/>
    <n v="1930.41"/>
    <n v="6"/>
    <n v="214.57"/>
  </r>
  <r>
    <d v="2017-09-01T00:00:00"/>
    <x v="4"/>
    <n v="9"/>
    <x v="8"/>
    <x v="11"/>
    <x v="0"/>
    <x v="0"/>
    <x v="8"/>
    <s v="Self-Adhesive Address Labels"/>
    <n v="464.43"/>
    <n v="7"/>
    <n v="48.47"/>
  </r>
  <r>
    <d v="2017-09-02T00:00:00"/>
    <x v="4"/>
    <n v="9"/>
    <x v="8"/>
    <x v="1"/>
    <x v="8"/>
    <x v="2"/>
    <x v="3"/>
    <s v="Newell 322"/>
    <n v="447.93"/>
    <n v="9"/>
    <n v="-184.8"/>
  </r>
  <r>
    <d v="2017-09-02T00:00:00"/>
    <x v="4"/>
    <n v="9"/>
    <x v="8"/>
    <x v="6"/>
    <x v="7"/>
    <x v="0"/>
    <x v="3"/>
    <s v="Cisco SPA 501G IP Phone"/>
    <n v="1213.8499999999999"/>
    <n v="6"/>
    <n v="208.75"/>
  </r>
  <r>
    <d v="2017-09-04T00:00:00"/>
    <x v="4"/>
    <n v="9"/>
    <x v="8"/>
    <x v="4"/>
    <x v="3"/>
    <x v="2"/>
    <x v="4"/>
    <s v="Eldon Expressions Desk Accessories"/>
    <n v="685.01"/>
    <n v="2"/>
    <n v="-166.17"/>
  </r>
  <r>
    <d v="2017-09-05T00:00:00"/>
    <x v="4"/>
    <n v="9"/>
    <x v="8"/>
    <x v="7"/>
    <x v="7"/>
    <x v="1"/>
    <x v="0"/>
    <s v="Newell 322"/>
    <n v="467.62"/>
    <n v="2"/>
    <n v="122.48"/>
  </r>
  <r>
    <d v="2017-09-05T00:00:00"/>
    <x v="4"/>
    <n v="9"/>
    <x v="8"/>
    <x v="5"/>
    <x v="1"/>
    <x v="0"/>
    <x v="8"/>
    <s v="Eldon Fold 'N Roll Cart System"/>
    <n v="992.07"/>
    <n v="1"/>
    <n v="-45.21"/>
  </r>
  <r>
    <d v="2017-09-09T00:00:00"/>
    <x v="4"/>
    <n v="9"/>
    <x v="8"/>
    <x v="2"/>
    <x v="4"/>
    <x v="1"/>
    <x v="0"/>
    <s v="Belkin 6 Outlet Surge"/>
    <n v="109.63"/>
    <n v="4"/>
    <n v="226.16"/>
  </r>
  <r>
    <d v="2017-09-09T00:00:00"/>
    <x v="4"/>
    <n v="9"/>
    <x v="8"/>
    <x v="2"/>
    <x v="1"/>
    <x v="2"/>
    <x v="1"/>
    <s v="Fellowes PB200 Comb Binding Machine"/>
    <n v="949.84"/>
    <n v="6"/>
    <n v="206.3"/>
  </r>
  <r>
    <d v="2017-09-11T00:00:00"/>
    <x v="4"/>
    <n v="9"/>
    <x v="8"/>
    <x v="5"/>
    <x v="7"/>
    <x v="1"/>
    <x v="7"/>
    <s v="Hon Deluxe Fabric Upholstered Stacking Chairs"/>
    <n v="1247.8399999999999"/>
    <n v="2"/>
    <n v="139.07"/>
  </r>
  <r>
    <d v="2017-09-11T00:00:00"/>
    <x v="4"/>
    <n v="9"/>
    <x v="8"/>
    <x v="12"/>
    <x v="7"/>
    <x v="2"/>
    <x v="6"/>
    <s v="Eldon Fold 'N Roll Cart System"/>
    <n v="442.11"/>
    <n v="4"/>
    <n v="362.62"/>
  </r>
  <r>
    <d v="2017-09-12T00:00:00"/>
    <x v="4"/>
    <n v="9"/>
    <x v="8"/>
    <x v="3"/>
    <x v="3"/>
    <x v="1"/>
    <x v="1"/>
    <s v="Fellowes PB200 Comb Binding Machine"/>
    <n v="1191.28"/>
    <n v="1"/>
    <n v="-71.599999999999994"/>
  </r>
  <r>
    <d v="2017-09-12T00:00:00"/>
    <x v="4"/>
    <n v="9"/>
    <x v="8"/>
    <x v="10"/>
    <x v="6"/>
    <x v="1"/>
    <x v="6"/>
    <s v="Hon Deluxe Fabric Upholstered Stacking Chairs"/>
    <n v="1676.07"/>
    <n v="7"/>
    <n v="235.54"/>
  </r>
  <r>
    <d v="2017-09-12T00:00:00"/>
    <x v="4"/>
    <n v="9"/>
    <x v="8"/>
    <x v="6"/>
    <x v="6"/>
    <x v="2"/>
    <x v="6"/>
    <s v="Fellowes PB200 Comb Binding Machine"/>
    <n v="513.17999999999995"/>
    <n v="5"/>
    <n v="237.02"/>
  </r>
  <r>
    <d v="2017-09-13T00:00:00"/>
    <x v="4"/>
    <n v="9"/>
    <x v="8"/>
    <x v="6"/>
    <x v="0"/>
    <x v="2"/>
    <x v="5"/>
    <s v="Cisco SPA 501G IP Phone"/>
    <n v="1405.27"/>
    <n v="4"/>
    <n v="-151.38999999999999"/>
  </r>
  <r>
    <d v="2017-09-15T00:00:00"/>
    <x v="4"/>
    <n v="9"/>
    <x v="8"/>
    <x v="5"/>
    <x v="5"/>
    <x v="2"/>
    <x v="1"/>
    <s v="Hon Deluxe Fabric Upholstered Stacking Chairs"/>
    <n v="1754.43"/>
    <n v="1"/>
    <n v="23.31"/>
  </r>
  <r>
    <d v="2017-09-16T00:00:00"/>
    <x v="4"/>
    <n v="9"/>
    <x v="8"/>
    <x v="2"/>
    <x v="9"/>
    <x v="1"/>
    <x v="0"/>
    <s v="Bush Somerset Collection Bookcase"/>
    <n v="1705.26"/>
    <n v="1"/>
    <n v="132.58000000000001"/>
  </r>
  <r>
    <d v="2017-09-16T00:00:00"/>
    <x v="4"/>
    <n v="9"/>
    <x v="8"/>
    <x v="0"/>
    <x v="8"/>
    <x v="1"/>
    <x v="7"/>
    <s v="Newell 322"/>
    <n v="1054.6199999999999"/>
    <n v="7"/>
    <n v="-126.64"/>
  </r>
  <r>
    <d v="2017-09-18T00:00:00"/>
    <x v="4"/>
    <n v="9"/>
    <x v="8"/>
    <x v="3"/>
    <x v="1"/>
    <x v="2"/>
    <x v="1"/>
    <s v="Cisco SPA 501G IP Phone"/>
    <n v="1444.58"/>
    <n v="2"/>
    <n v="145.04"/>
  </r>
  <r>
    <d v="2017-09-19T00:00:00"/>
    <x v="4"/>
    <n v="9"/>
    <x v="8"/>
    <x v="9"/>
    <x v="4"/>
    <x v="0"/>
    <x v="3"/>
    <s v="Bretford CR4500 Series Table"/>
    <n v="753.4"/>
    <n v="1"/>
    <n v="386.22"/>
  </r>
  <r>
    <d v="2017-09-21T00:00:00"/>
    <x v="4"/>
    <n v="9"/>
    <x v="8"/>
    <x v="10"/>
    <x v="0"/>
    <x v="0"/>
    <x v="1"/>
    <s v="Bretford CR4500 Series Table"/>
    <n v="638.15"/>
    <n v="1"/>
    <n v="51.85"/>
  </r>
  <r>
    <d v="2017-09-21T00:00:00"/>
    <x v="4"/>
    <n v="9"/>
    <x v="8"/>
    <x v="5"/>
    <x v="6"/>
    <x v="1"/>
    <x v="6"/>
    <s v="Fellowes PB200 Comb Binding Machine"/>
    <n v="1750.66"/>
    <n v="3"/>
    <n v="310.42"/>
  </r>
  <r>
    <d v="2017-09-22T00:00:00"/>
    <x v="4"/>
    <n v="9"/>
    <x v="8"/>
    <x v="3"/>
    <x v="9"/>
    <x v="0"/>
    <x v="8"/>
    <s v="Bretford CR4500 Series Table"/>
    <n v="1467.15"/>
    <n v="5"/>
    <n v="240.14"/>
  </r>
  <r>
    <d v="2017-09-24T00:00:00"/>
    <x v="4"/>
    <n v="9"/>
    <x v="8"/>
    <x v="1"/>
    <x v="8"/>
    <x v="0"/>
    <x v="3"/>
    <s v="Belkin 6 Outlet Surge"/>
    <n v="1438.69"/>
    <n v="9"/>
    <n v="-16.309999999999999"/>
  </r>
  <r>
    <d v="2017-09-24T00:00:00"/>
    <x v="4"/>
    <n v="9"/>
    <x v="8"/>
    <x v="8"/>
    <x v="1"/>
    <x v="1"/>
    <x v="6"/>
    <s v="Hon Deluxe Fabric Upholstered Stacking Chairs"/>
    <n v="772.37"/>
    <n v="4"/>
    <n v="-197.83"/>
  </r>
  <r>
    <d v="2017-09-25T00:00:00"/>
    <x v="4"/>
    <n v="9"/>
    <x v="8"/>
    <x v="0"/>
    <x v="7"/>
    <x v="0"/>
    <x v="1"/>
    <s v="Cisco SPA 501G IP Phone"/>
    <n v="1951.45"/>
    <n v="4"/>
    <n v="355.92"/>
  </r>
  <r>
    <d v="2017-09-26T00:00:00"/>
    <x v="4"/>
    <n v="9"/>
    <x v="8"/>
    <x v="12"/>
    <x v="2"/>
    <x v="0"/>
    <x v="6"/>
    <s v="Bush Somerset Collection Bookcase"/>
    <n v="91.16"/>
    <n v="5"/>
    <n v="397.51"/>
  </r>
  <r>
    <d v="2017-09-30T00:00:00"/>
    <x v="4"/>
    <n v="9"/>
    <x v="8"/>
    <x v="1"/>
    <x v="5"/>
    <x v="2"/>
    <x v="8"/>
    <s v="Cisco SPA 501G IP Phone"/>
    <n v="1704.45"/>
    <n v="1"/>
    <n v="302.37"/>
  </r>
  <r>
    <d v="2017-09-30T00:00:00"/>
    <x v="4"/>
    <n v="9"/>
    <x v="8"/>
    <x v="1"/>
    <x v="0"/>
    <x v="1"/>
    <x v="7"/>
    <s v="Cisco SPA 501G IP Phone"/>
    <n v="1038.51"/>
    <n v="1"/>
    <n v="341.64"/>
  </r>
  <r>
    <d v="2017-10-01T00:00:00"/>
    <x v="4"/>
    <n v="10"/>
    <x v="9"/>
    <x v="11"/>
    <x v="6"/>
    <x v="1"/>
    <x v="5"/>
    <s v="Eldon Expressions Desk Accessories"/>
    <n v="958.37"/>
    <n v="2"/>
    <n v="202.59"/>
  </r>
  <r>
    <d v="2017-10-01T00:00:00"/>
    <x v="4"/>
    <n v="10"/>
    <x v="9"/>
    <x v="1"/>
    <x v="4"/>
    <x v="2"/>
    <x v="8"/>
    <s v="Belkin 6 Outlet Surge"/>
    <n v="1027.48"/>
    <n v="1"/>
    <n v="72.75"/>
  </r>
  <r>
    <d v="2017-10-10T00:00:00"/>
    <x v="4"/>
    <n v="10"/>
    <x v="9"/>
    <x v="12"/>
    <x v="7"/>
    <x v="0"/>
    <x v="5"/>
    <s v="Self-Adhesive Address Labels"/>
    <n v="1901.68"/>
    <n v="7"/>
    <n v="25.69"/>
  </r>
  <r>
    <d v="2017-10-14T00:00:00"/>
    <x v="4"/>
    <n v="10"/>
    <x v="9"/>
    <x v="10"/>
    <x v="7"/>
    <x v="0"/>
    <x v="7"/>
    <s v="Self-Adhesive Address Labels"/>
    <n v="297.58999999999997"/>
    <n v="2"/>
    <n v="294.42"/>
  </r>
  <r>
    <d v="2017-10-15T00:00:00"/>
    <x v="4"/>
    <n v="10"/>
    <x v="9"/>
    <x v="4"/>
    <x v="7"/>
    <x v="2"/>
    <x v="4"/>
    <s v="Eldon Fold 'N Roll Cart System"/>
    <n v="1339.68"/>
    <n v="6"/>
    <n v="115.22"/>
  </r>
  <r>
    <d v="2017-10-16T00:00:00"/>
    <x v="4"/>
    <n v="10"/>
    <x v="9"/>
    <x v="4"/>
    <x v="5"/>
    <x v="1"/>
    <x v="1"/>
    <s v="Bretford CR4500 Series Table"/>
    <n v="214.04"/>
    <n v="5"/>
    <n v="-31.41"/>
  </r>
  <r>
    <d v="2017-10-17T00:00:00"/>
    <x v="4"/>
    <n v="10"/>
    <x v="9"/>
    <x v="7"/>
    <x v="8"/>
    <x v="1"/>
    <x v="5"/>
    <s v="Hon Deluxe Fabric Upholstered Stacking Chairs"/>
    <n v="1137.22"/>
    <n v="9"/>
    <n v="-16.170000000000002"/>
  </r>
  <r>
    <d v="2017-10-17T00:00:00"/>
    <x v="4"/>
    <n v="10"/>
    <x v="9"/>
    <x v="4"/>
    <x v="3"/>
    <x v="2"/>
    <x v="1"/>
    <s v="Self-Adhesive Address Labels"/>
    <n v="513.96"/>
    <n v="9"/>
    <n v="237.76"/>
  </r>
  <r>
    <d v="2017-10-17T00:00:00"/>
    <x v="4"/>
    <n v="10"/>
    <x v="9"/>
    <x v="6"/>
    <x v="5"/>
    <x v="1"/>
    <x v="2"/>
    <s v="Eldon Expressions Desk Accessories"/>
    <n v="1811.11"/>
    <n v="7"/>
    <n v="-26.37"/>
  </r>
  <r>
    <d v="2017-10-17T00:00:00"/>
    <x v="4"/>
    <n v="10"/>
    <x v="9"/>
    <x v="2"/>
    <x v="3"/>
    <x v="0"/>
    <x v="1"/>
    <s v="Newell 322"/>
    <n v="1148.48"/>
    <n v="4"/>
    <n v="-10.96"/>
  </r>
  <r>
    <d v="2017-10-18T00:00:00"/>
    <x v="4"/>
    <n v="10"/>
    <x v="9"/>
    <x v="7"/>
    <x v="7"/>
    <x v="1"/>
    <x v="3"/>
    <s v="Newell 322"/>
    <n v="1887.69"/>
    <n v="4"/>
    <n v="84.21"/>
  </r>
  <r>
    <d v="2017-10-20T00:00:00"/>
    <x v="4"/>
    <n v="10"/>
    <x v="9"/>
    <x v="1"/>
    <x v="1"/>
    <x v="2"/>
    <x v="2"/>
    <s v="Eldon Expressions Desk Accessories"/>
    <n v="369.04"/>
    <n v="1"/>
    <n v="-121.31"/>
  </r>
  <r>
    <d v="2017-10-22T00:00:00"/>
    <x v="4"/>
    <n v="10"/>
    <x v="9"/>
    <x v="12"/>
    <x v="7"/>
    <x v="0"/>
    <x v="0"/>
    <s v="Fellowes PB200 Comb Binding Machine"/>
    <n v="1438.34"/>
    <n v="5"/>
    <n v="-8.5399999999999991"/>
  </r>
  <r>
    <d v="2017-10-24T00:00:00"/>
    <x v="4"/>
    <n v="10"/>
    <x v="9"/>
    <x v="5"/>
    <x v="1"/>
    <x v="2"/>
    <x v="5"/>
    <s v="Eldon Fold 'N Roll Cart System"/>
    <n v="1135.46"/>
    <n v="7"/>
    <n v="-27.86"/>
  </r>
  <r>
    <d v="2017-10-24T00:00:00"/>
    <x v="4"/>
    <n v="10"/>
    <x v="9"/>
    <x v="4"/>
    <x v="0"/>
    <x v="2"/>
    <x v="5"/>
    <s v="Fellowes PB200 Comb Binding Machine"/>
    <n v="1028.93"/>
    <n v="7"/>
    <n v="-2.44"/>
  </r>
  <r>
    <d v="2017-10-24T00:00:00"/>
    <x v="4"/>
    <n v="10"/>
    <x v="9"/>
    <x v="12"/>
    <x v="8"/>
    <x v="1"/>
    <x v="3"/>
    <s v="Eldon Expressions Desk Accessories"/>
    <n v="328.23"/>
    <n v="3"/>
    <n v="32.82"/>
  </r>
  <r>
    <d v="2017-10-24T00:00:00"/>
    <x v="4"/>
    <n v="10"/>
    <x v="9"/>
    <x v="6"/>
    <x v="0"/>
    <x v="1"/>
    <x v="0"/>
    <s v="Newell 322"/>
    <n v="1816.99"/>
    <n v="2"/>
    <n v="-53.38"/>
  </r>
  <r>
    <d v="2017-10-25T00:00:00"/>
    <x v="4"/>
    <n v="10"/>
    <x v="9"/>
    <x v="9"/>
    <x v="7"/>
    <x v="1"/>
    <x v="4"/>
    <s v="Fellowes PB200 Comb Binding Machine"/>
    <n v="1108.92"/>
    <n v="8"/>
    <n v="37.14"/>
  </r>
  <r>
    <d v="2017-10-26T00:00:00"/>
    <x v="4"/>
    <n v="10"/>
    <x v="9"/>
    <x v="0"/>
    <x v="6"/>
    <x v="0"/>
    <x v="3"/>
    <s v="Bush Somerset Collection Bookcase"/>
    <n v="1862.31"/>
    <n v="8"/>
    <n v="44.03"/>
  </r>
  <r>
    <d v="2017-10-26T00:00:00"/>
    <x v="4"/>
    <n v="10"/>
    <x v="9"/>
    <x v="5"/>
    <x v="0"/>
    <x v="0"/>
    <x v="2"/>
    <s v="Belkin 6 Outlet Surge"/>
    <n v="608.29999999999995"/>
    <n v="8"/>
    <n v="218.01"/>
  </r>
  <r>
    <d v="2017-10-26T00:00:00"/>
    <x v="4"/>
    <n v="10"/>
    <x v="9"/>
    <x v="0"/>
    <x v="8"/>
    <x v="1"/>
    <x v="2"/>
    <s v="Belkin 6 Outlet Surge"/>
    <n v="46.96"/>
    <n v="5"/>
    <n v="-155.13"/>
  </r>
  <r>
    <d v="2017-10-28T00:00:00"/>
    <x v="4"/>
    <n v="10"/>
    <x v="9"/>
    <x v="8"/>
    <x v="7"/>
    <x v="2"/>
    <x v="5"/>
    <s v="Eldon Expressions Desk Accessories"/>
    <n v="1047.98"/>
    <n v="3"/>
    <n v="324.23"/>
  </r>
  <r>
    <d v="2017-10-29T00:00:00"/>
    <x v="4"/>
    <n v="10"/>
    <x v="9"/>
    <x v="8"/>
    <x v="7"/>
    <x v="1"/>
    <x v="1"/>
    <s v="Hon Deluxe Fabric Upholstered Stacking Chairs"/>
    <n v="1708.72"/>
    <n v="9"/>
    <n v="-124.07"/>
  </r>
  <r>
    <d v="2017-10-29T00:00:00"/>
    <x v="4"/>
    <n v="10"/>
    <x v="9"/>
    <x v="2"/>
    <x v="9"/>
    <x v="0"/>
    <x v="2"/>
    <s v="Hon Deluxe Fabric Upholstered Stacking Chairs"/>
    <n v="382.95"/>
    <n v="3"/>
    <n v="19.05"/>
  </r>
  <r>
    <d v="2017-10-29T00:00:00"/>
    <x v="4"/>
    <n v="10"/>
    <x v="9"/>
    <x v="5"/>
    <x v="8"/>
    <x v="2"/>
    <x v="1"/>
    <s v="Bush Somerset Collection Bookcase"/>
    <n v="244.54"/>
    <n v="5"/>
    <n v="22.1"/>
  </r>
  <r>
    <d v="2017-10-29T00:00:00"/>
    <x v="4"/>
    <n v="10"/>
    <x v="9"/>
    <x v="0"/>
    <x v="1"/>
    <x v="2"/>
    <x v="4"/>
    <s v="Self-Adhesive Address Labels"/>
    <n v="1082.25"/>
    <n v="8"/>
    <n v="134.18"/>
  </r>
  <r>
    <d v="2017-10-31T00:00:00"/>
    <x v="4"/>
    <n v="10"/>
    <x v="9"/>
    <x v="10"/>
    <x v="7"/>
    <x v="2"/>
    <x v="2"/>
    <s v="Fellowes PB200 Comb Binding Machine"/>
    <n v="20"/>
    <n v="1"/>
    <n v="-171"/>
  </r>
  <r>
    <d v="2017-11-04T00:00:00"/>
    <x v="4"/>
    <n v="11"/>
    <x v="10"/>
    <x v="0"/>
    <x v="3"/>
    <x v="1"/>
    <x v="0"/>
    <s v="Eldon Expressions Desk Accessories"/>
    <n v="1111.92"/>
    <n v="3"/>
    <n v="161.77000000000001"/>
  </r>
  <r>
    <d v="2017-11-04T00:00:00"/>
    <x v="4"/>
    <n v="11"/>
    <x v="10"/>
    <x v="6"/>
    <x v="7"/>
    <x v="1"/>
    <x v="4"/>
    <s v="Self-Adhesive Address Labels"/>
    <n v="927.46"/>
    <n v="7"/>
    <n v="132.13999999999999"/>
  </r>
  <r>
    <d v="2017-11-06T00:00:00"/>
    <x v="4"/>
    <n v="11"/>
    <x v="10"/>
    <x v="0"/>
    <x v="4"/>
    <x v="2"/>
    <x v="6"/>
    <s v="Newell 322"/>
    <n v="380.47"/>
    <n v="8"/>
    <n v="66.5"/>
  </r>
  <r>
    <d v="2017-11-07T00:00:00"/>
    <x v="4"/>
    <n v="11"/>
    <x v="10"/>
    <x v="3"/>
    <x v="1"/>
    <x v="1"/>
    <x v="7"/>
    <s v="Belkin 6 Outlet Surge"/>
    <n v="600.63"/>
    <n v="7"/>
    <n v="285.7"/>
  </r>
  <r>
    <d v="2017-11-08T00:00:00"/>
    <x v="4"/>
    <n v="11"/>
    <x v="10"/>
    <x v="1"/>
    <x v="5"/>
    <x v="0"/>
    <x v="6"/>
    <s v="Hon Deluxe Fabric Upholstered Stacking Chairs"/>
    <n v="125"/>
    <n v="2"/>
    <n v="395.03"/>
  </r>
  <r>
    <d v="2017-11-08T00:00:00"/>
    <x v="4"/>
    <n v="11"/>
    <x v="10"/>
    <x v="11"/>
    <x v="6"/>
    <x v="2"/>
    <x v="6"/>
    <s v="Self-Adhesive Address Labels"/>
    <n v="906.26"/>
    <n v="2"/>
    <n v="258.10000000000002"/>
  </r>
  <r>
    <d v="2017-11-08T00:00:00"/>
    <x v="4"/>
    <n v="11"/>
    <x v="10"/>
    <x v="6"/>
    <x v="9"/>
    <x v="1"/>
    <x v="6"/>
    <s v="Fellowes PB200 Comb Binding Machine"/>
    <n v="1809.9"/>
    <n v="3"/>
    <n v="255.36"/>
  </r>
  <r>
    <d v="2017-11-09T00:00:00"/>
    <x v="4"/>
    <n v="11"/>
    <x v="10"/>
    <x v="1"/>
    <x v="6"/>
    <x v="0"/>
    <x v="1"/>
    <s v="Bretford CR4500 Series Table"/>
    <n v="587.66"/>
    <n v="8"/>
    <n v="73.64"/>
  </r>
  <r>
    <d v="2017-11-10T00:00:00"/>
    <x v="4"/>
    <n v="11"/>
    <x v="10"/>
    <x v="0"/>
    <x v="1"/>
    <x v="1"/>
    <x v="3"/>
    <s v="Fellowes PB200 Comb Binding Machine"/>
    <n v="1830.62"/>
    <n v="5"/>
    <n v="170.57"/>
  </r>
  <r>
    <d v="2017-11-10T00:00:00"/>
    <x v="4"/>
    <n v="11"/>
    <x v="10"/>
    <x v="9"/>
    <x v="6"/>
    <x v="2"/>
    <x v="2"/>
    <s v="Eldon Expressions Desk Accessories"/>
    <n v="1914.64"/>
    <n v="4"/>
    <n v="-140.19999999999999"/>
  </r>
  <r>
    <d v="2017-11-11T00:00:00"/>
    <x v="4"/>
    <n v="11"/>
    <x v="10"/>
    <x v="9"/>
    <x v="7"/>
    <x v="0"/>
    <x v="7"/>
    <s v="Belkin 6 Outlet Surge"/>
    <n v="285.37"/>
    <n v="7"/>
    <n v="213.15"/>
  </r>
  <r>
    <d v="2017-11-12T00:00:00"/>
    <x v="4"/>
    <n v="11"/>
    <x v="10"/>
    <x v="9"/>
    <x v="0"/>
    <x v="2"/>
    <x v="8"/>
    <s v="Bretford CR4500 Series Table"/>
    <n v="1783.99"/>
    <n v="4"/>
    <n v="208.04"/>
  </r>
  <r>
    <d v="2017-11-17T00:00:00"/>
    <x v="4"/>
    <n v="11"/>
    <x v="10"/>
    <x v="8"/>
    <x v="9"/>
    <x v="0"/>
    <x v="6"/>
    <s v="Eldon Fold 'N Roll Cart System"/>
    <n v="1805.47"/>
    <n v="2"/>
    <n v="-52.34"/>
  </r>
  <r>
    <d v="2017-11-17T00:00:00"/>
    <x v="4"/>
    <n v="11"/>
    <x v="10"/>
    <x v="8"/>
    <x v="5"/>
    <x v="0"/>
    <x v="2"/>
    <s v="Self-Adhesive Address Labels"/>
    <n v="341.16"/>
    <n v="8"/>
    <n v="221.17"/>
  </r>
  <r>
    <d v="2017-11-18T00:00:00"/>
    <x v="4"/>
    <n v="11"/>
    <x v="10"/>
    <x v="7"/>
    <x v="4"/>
    <x v="1"/>
    <x v="1"/>
    <s v="Eldon Expressions Desk Accessories"/>
    <n v="706.22"/>
    <n v="8"/>
    <n v="-139.66999999999999"/>
  </r>
  <r>
    <d v="2017-11-21T00:00:00"/>
    <x v="4"/>
    <n v="11"/>
    <x v="10"/>
    <x v="3"/>
    <x v="1"/>
    <x v="0"/>
    <x v="7"/>
    <s v="Belkin 6 Outlet Surge"/>
    <n v="1134.5"/>
    <n v="5"/>
    <n v="223.01"/>
  </r>
  <r>
    <d v="2017-11-21T00:00:00"/>
    <x v="4"/>
    <n v="11"/>
    <x v="10"/>
    <x v="1"/>
    <x v="8"/>
    <x v="1"/>
    <x v="3"/>
    <s v="Newell 322"/>
    <n v="1653.09"/>
    <n v="9"/>
    <n v="297.42"/>
  </r>
  <r>
    <d v="2017-11-23T00:00:00"/>
    <x v="4"/>
    <n v="11"/>
    <x v="10"/>
    <x v="11"/>
    <x v="6"/>
    <x v="0"/>
    <x v="0"/>
    <s v="Newell 322"/>
    <n v="1001.28"/>
    <n v="8"/>
    <n v="151.94999999999999"/>
  </r>
  <r>
    <d v="2017-11-26T00:00:00"/>
    <x v="4"/>
    <n v="11"/>
    <x v="10"/>
    <x v="1"/>
    <x v="1"/>
    <x v="2"/>
    <x v="3"/>
    <s v="Bretford CR4500 Series Table"/>
    <n v="1576.78"/>
    <n v="5"/>
    <n v="388.55"/>
  </r>
  <r>
    <d v="2017-11-28T00:00:00"/>
    <x v="4"/>
    <n v="11"/>
    <x v="10"/>
    <x v="3"/>
    <x v="6"/>
    <x v="2"/>
    <x v="5"/>
    <s v="Newell 322"/>
    <n v="1467.58"/>
    <n v="6"/>
    <n v="361.48"/>
  </r>
  <r>
    <d v="2017-11-28T00:00:00"/>
    <x v="4"/>
    <n v="11"/>
    <x v="10"/>
    <x v="3"/>
    <x v="3"/>
    <x v="1"/>
    <x v="0"/>
    <s v="Fellowes PB200 Comb Binding Machine"/>
    <n v="1511.02"/>
    <n v="8"/>
    <n v="104.36"/>
  </r>
  <r>
    <d v="2017-11-28T00:00:00"/>
    <x v="4"/>
    <n v="11"/>
    <x v="10"/>
    <x v="1"/>
    <x v="0"/>
    <x v="2"/>
    <x v="7"/>
    <s v="Self-Adhesive Address Labels"/>
    <n v="609.44000000000005"/>
    <n v="9"/>
    <n v="229.12"/>
  </r>
  <r>
    <d v="2017-11-30T00:00:00"/>
    <x v="4"/>
    <n v="11"/>
    <x v="10"/>
    <x v="3"/>
    <x v="5"/>
    <x v="0"/>
    <x v="8"/>
    <s v="Newell 322"/>
    <n v="1111.32"/>
    <n v="2"/>
    <n v="109.82"/>
  </r>
  <r>
    <d v="2017-12-01T00:00:00"/>
    <x v="4"/>
    <n v="12"/>
    <x v="11"/>
    <x v="11"/>
    <x v="1"/>
    <x v="1"/>
    <x v="1"/>
    <s v="Eldon Fold 'N Roll Cart System"/>
    <n v="516.89"/>
    <n v="8"/>
    <n v="139.13"/>
  </r>
  <r>
    <d v="2017-12-01T00:00:00"/>
    <x v="4"/>
    <n v="12"/>
    <x v="11"/>
    <x v="10"/>
    <x v="1"/>
    <x v="1"/>
    <x v="7"/>
    <s v="Belkin 6 Outlet Surge"/>
    <n v="581.79"/>
    <n v="9"/>
    <n v="219.86"/>
  </r>
  <r>
    <d v="2017-12-02T00:00:00"/>
    <x v="4"/>
    <n v="12"/>
    <x v="11"/>
    <x v="12"/>
    <x v="8"/>
    <x v="0"/>
    <x v="6"/>
    <s v="Self-Adhesive Address Labels"/>
    <n v="691.11"/>
    <n v="2"/>
    <n v="28.79"/>
  </r>
  <r>
    <d v="2017-12-02T00:00:00"/>
    <x v="4"/>
    <n v="12"/>
    <x v="11"/>
    <x v="8"/>
    <x v="0"/>
    <x v="2"/>
    <x v="7"/>
    <s v="Fellowes PB200 Comb Binding Machine"/>
    <n v="1504.11"/>
    <n v="3"/>
    <n v="-17.809999999999999"/>
  </r>
  <r>
    <d v="2017-12-03T00:00:00"/>
    <x v="4"/>
    <n v="12"/>
    <x v="11"/>
    <x v="12"/>
    <x v="3"/>
    <x v="2"/>
    <x v="3"/>
    <s v="Newell 322"/>
    <n v="1474.51"/>
    <n v="7"/>
    <n v="-70.84"/>
  </r>
  <r>
    <d v="2017-12-03T00:00:00"/>
    <x v="4"/>
    <n v="12"/>
    <x v="11"/>
    <x v="10"/>
    <x v="8"/>
    <x v="1"/>
    <x v="3"/>
    <s v="Newell 322"/>
    <n v="893.45"/>
    <n v="2"/>
    <n v="-54.48"/>
  </r>
  <r>
    <d v="2017-12-05T00:00:00"/>
    <x v="4"/>
    <n v="12"/>
    <x v="11"/>
    <x v="5"/>
    <x v="1"/>
    <x v="2"/>
    <x v="7"/>
    <s v="Eldon Fold 'N Roll Cart System"/>
    <n v="665.41"/>
    <n v="9"/>
    <n v="-107.69"/>
  </r>
  <r>
    <d v="2017-12-05T00:00:00"/>
    <x v="4"/>
    <n v="12"/>
    <x v="11"/>
    <x v="0"/>
    <x v="3"/>
    <x v="1"/>
    <x v="4"/>
    <s v="Bush Somerset Collection Bookcase"/>
    <n v="549.11"/>
    <n v="5"/>
    <n v="132"/>
  </r>
  <r>
    <d v="2017-12-05T00:00:00"/>
    <x v="4"/>
    <n v="12"/>
    <x v="11"/>
    <x v="5"/>
    <x v="0"/>
    <x v="1"/>
    <x v="6"/>
    <s v="Belkin 6 Outlet Surge"/>
    <n v="1295.44"/>
    <n v="5"/>
    <n v="394.1"/>
  </r>
  <r>
    <d v="2017-12-05T00:00:00"/>
    <x v="4"/>
    <n v="12"/>
    <x v="11"/>
    <x v="10"/>
    <x v="5"/>
    <x v="1"/>
    <x v="3"/>
    <s v="Self-Adhesive Address Labels"/>
    <n v="727.46"/>
    <n v="3"/>
    <n v="-7.39"/>
  </r>
  <r>
    <d v="2017-12-08T00:00:00"/>
    <x v="4"/>
    <n v="12"/>
    <x v="11"/>
    <x v="11"/>
    <x v="8"/>
    <x v="2"/>
    <x v="6"/>
    <s v="Self-Adhesive Address Labels"/>
    <n v="1055.47"/>
    <n v="7"/>
    <n v="60.01"/>
  </r>
  <r>
    <d v="2017-12-08T00:00:00"/>
    <x v="4"/>
    <n v="12"/>
    <x v="11"/>
    <x v="3"/>
    <x v="2"/>
    <x v="2"/>
    <x v="7"/>
    <s v="Hon Deluxe Fabric Upholstered Stacking Chairs"/>
    <n v="217.7"/>
    <n v="2"/>
    <n v="283.58999999999997"/>
  </r>
  <r>
    <d v="2017-12-08T00:00:00"/>
    <x v="4"/>
    <n v="12"/>
    <x v="11"/>
    <x v="4"/>
    <x v="5"/>
    <x v="1"/>
    <x v="3"/>
    <s v="Newell 322"/>
    <n v="892.07"/>
    <n v="8"/>
    <n v="-118.68"/>
  </r>
  <r>
    <d v="2017-12-08T00:00:00"/>
    <x v="4"/>
    <n v="12"/>
    <x v="11"/>
    <x v="5"/>
    <x v="2"/>
    <x v="1"/>
    <x v="8"/>
    <s v="Belkin 6 Outlet Surge"/>
    <n v="1493.55"/>
    <n v="5"/>
    <n v="200.68"/>
  </r>
  <r>
    <d v="2017-12-09T00:00:00"/>
    <x v="4"/>
    <n v="12"/>
    <x v="11"/>
    <x v="10"/>
    <x v="7"/>
    <x v="0"/>
    <x v="1"/>
    <s v="Cisco SPA 501G IP Phone"/>
    <n v="758.12"/>
    <n v="2"/>
    <n v="106.31"/>
  </r>
  <r>
    <d v="2017-12-10T00:00:00"/>
    <x v="4"/>
    <n v="12"/>
    <x v="11"/>
    <x v="0"/>
    <x v="2"/>
    <x v="2"/>
    <x v="4"/>
    <s v="Self-Adhesive Address Labels"/>
    <n v="1024.68"/>
    <n v="2"/>
    <n v="228.37"/>
  </r>
  <r>
    <d v="2017-12-11T00:00:00"/>
    <x v="4"/>
    <n v="12"/>
    <x v="11"/>
    <x v="10"/>
    <x v="3"/>
    <x v="0"/>
    <x v="2"/>
    <s v="Newell 322"/>
    <n v="341.43"/>
    <n v="6"/>
    <n v="-33.479999999999997"/>
  </r>
  <r>
    <d v="2017-12-12T00:00:00"/>
    <x v="4"/>
    <n v="12"/>
    <x v="11"/>
    <x v="2"/>
    <x v="3"/>
    <x v="0"/>
    <x v="7"/>
    <s v="Fellowes PB200 Comb Binding Machine"/>
    <n v="813.58"/>
    <n v="4"/>
    <n v="149.07"/>
  </r>
  <r>
    <d v="2017-12-12T00:00:00"/>
    <x v="4"/>
    <n v="12"/>
    <x v="11"/>
    <x v="1"/>
    <x v="0"/>
    <x v="2"/>
    <x v="5"/>
    <s v="Eldon Fold 'N Roll Cart System"/>
    <n v="1920.23"/>
    <n v="1"/>
    <n v="71.459999999999994"/>
  </r>
  <r>
    <d v="2017-12-16T00:00:00"/>
    <x v="4"/>
    <n v="12"/>
    <x v="11"/>
    <x v="9"/>
    <x v="6"/>
    <x v="1"/>
    <x v="1"/>
    <s v="Belkin 6 Outlet Surge"/>
    <n v="957.13"/>
    <n v="9"/>
    <n v="-133.04"/>
  </r>
  <r>
    <d v="2017-12-16T00:00:00"/>
    <x v="4"/>
    <n v="12"/>
    <x v="11"/>
    <x v="9"/>
    <x v="6"/>
    <x v="2"/>
    <x v="2"/>
    <s v="Eldon Expressions Desk Accessories"/>
    <n v="1610.6"/>
    <n v="7"/>
    <n v="61.76"/>
  </r>
  <r>
    <d v="2017-12-16T00:00:00"/>
    <x v="4"/>
    <n v="12"/>
    <x v="11"/>
    <x v="4"/>
    <x v="1"/>
    <x v="1"/>
    <x v="0"/>
    <s v="Bretford CR4500 Series Table"/>
    <n v="562.89"/>
    <n v="1"/>
    <n v="120.55"/>
  </r>
  <r>
    <d v="2017-12-18T00:00:00"/>
    <x v="4"/>
    <n v="12"/>
    <x v="11"/>
    <x v="1"/>
    <x v="6"/>
    <x v="0"/>
    <x v="6"/>
    <s v="Eldon Fold 'N Roll Cart System"/>
    <n v="1539.25"/>
    <n v="2"/>
    <n v="-125.49"/>
  </r>
  <r>
    <d v="2017-12-21T00:00:00"/>
    <x v="4"/>
    <n v="12"/>
    <x v="11"/>
    <x v="9"/>
    <x v="3"/>
    <x v="1"/>
    <x v="1"/>
    <s v="Bush Somerset Collection Bookcase"/>
    <n v="815.77"/>
    <n v="8"/>
    <n v="-112.02"/>
  </r>
  <r>
    <d v="2017-12-22T00:00:00"/>
    <x v="4"/>
    <n v="12"/>
    <x v="11"/>
    <x v="8"/>
    <x v="5"/>
    <x v="1"/>
    <x v="1"/>
    <s v="Bretford CR4500 Series Table"/>
    <n v="1555.45"/>
    <n v="5"/>
    <n v="323.13"/>
  </r>
  <r>
    <d v="2017-12-23T00:00:00"/>
    <x v="4"/>
    <n v="12"/>
    <x v="11"/>
    <x v="0"/>
    <x v="8"/>
    <x v="2"/>
    <x v="5"/>
    <s v="Bretford CR4500 Series Table"/>
    <n v="500.49"/>
    <n v="3"/>
    <n v="120.27"/>
  </r>
  <r>
    <d v="2017-12-25T00:00:00"/>
    <x v="4"/>
    <n v="12"/>
    <x v="11"/>
    <x v="9"/>
    <x v="6"/>
    <x v="2"/>
    <x v="7"/>
    <s v="Hon Deluxe Fabric Upholstered Stacking Chairs"/>
    <n v="891.4"/>
    <n v="3"/>
    <n v="-168.78"/>
  </r>
  <r>
    <d v="2017-12-25T00:00:00"/>
    <x v="4"/>
    <n v="12"/>
    <x v="11"/>
    <x v="11"/>
    <x v="1"/>
    <x v="2"/>
    <x v="2"/>
    <s v="Eldon Expressions Desk Accessories"/>
    <n v="405.67"/>
    <n v="2"/>
    <n v="196.21"/>
  </r>
  <r>
    <d v="2017-12-27T00:00:00"/>
    <x v="4"/>
    <n v="12"/>
    <x v="11"/>
    <x v="5"/>
    <x v="2"/>
    <x v="2"/>
    <x v="5"/>
    <s v="Belkin 6 Outlet Surge"/>
    <n v="992.76"/>
    <n v="8"/>
    <n v="306.95999999999998"/>
  </r>
  <r>
    <d v="2017-12-27T00:00:00"/>
    <x v="4"/>
    <n v="12"/>
    <x v="11"/>
    <x v="4"/>
    <x v="7"/>
    <x v="2"/>
    <x v="7"/>
    <s v="Self-Adhesive Address Labels"/>
    <n v="1997.25"/>
    <n v="1"/>
    <n v="-150.25"/>
  </r>
  <r>
    <d v="2017-12-28T00:00:00"/>
    <x v="4"/>
    <n v="12"/>
    <x v="11"/>
    <x v="9"/>
    <x v="6"/>
    <x v="1"/>
    <x v="1"/>
    <s v="Hon Deluxe Fabric Upholstered Stacking Chairs"/>
    <n v="646.04"/>
    <n v="4"/>
    <n v="141.5"/>
  </r>
  <r>
    <d v="2017-12-29T00:00:00"/>
    <x v="4"/>
    <n v="12"/>
    <x v="11"/>
    <x v="10"/>
    <x v="2"/>
    <x v="1"/>
    <x v="3"/>
    <s v="Bush Somerset Collection Bookcase"/>
    <n v="864.35"/>
    <n v="9"/>
    <n v="209.01"/>
  </r>
  <r>
    <d v="2017-12-29T00:00:00"/>
    <x v="4"/>
    <n v="12"/>
    <x v="11"/>
    <x v="6"/>
    <x v="2"/>
    <x v="2"/>
    <x v="6"/>
    <s v="Bretford CR4500 Series Table"/>
    <n v="1129.75"/>
    <n v="2"/>
    <n v="221.33"/>
  </r>
  <r>
    <d v="2017-12-29T00:00:00"/>
    <x v="4"/>
    <n v="12"/>
    <x v="11"/>
    <x v="9"/>
    <x v="7"/>
    <x v="1"/>
    <x v="6"/>
    <s v="Fellowes PB200 Comb Binding Machine"/>
    <n v="1664.52"/>
    <n v="1"/>
    <n v="101.69"/>
  </r>
  <r>
    <d v="2017-12-30T00:00:00"/>
    <x v="4"/>
    <n v="12"/>
    <x v="11"/>
    <x v="1"/>
    <x v="9"/>
    <x v="2"/>
    <x v="6"/>
    <s v="Hon Deluxe Fabric Upholstered Stacking Chairs"/>
    <n v="1629.52"/>
    <n v="4"/>
    <n v="176.9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r>
  <r>
    <x v="1"/>
    <x v="0"/>
  </r>
  <r>
    <x v="2"/>
    <x v="0"/>
  </r>
  <r>
    <x v="3"/>
    <x v="0"/>
  </r>
  <r>
    <x v="1"/>
    <x v="0"/>
  </r>
  <r>
    <x v="1"/>
    <x v="0"/>
  </r>
  <r>
    <x v="0"/>
    <x v="0"/>
  </r>
  <r>
    <x v="2"/>
    <x v="0"/>
  </r>
  <r>
    <x v="4"/>
    <x v="0"/>
  </r>
  <r>
    <x v="4"/>
    <x v="0"/>
  </r>
  <r>
    <x v="0"/>
    <x v="0"/>
  </r>
  <r>
    <x v="5"/>
    <x v="0"/>
  </r>
  <r>
    <x v="2"/>
    <x v="0"/>
  </r>
  <r>
    <x v="6"/>
    <x v="0"/>
  </r>
  <r>
    <x v="0"/>
    <x v="0"/>
  </r>
  <r>
    <x v="7"/>
    <x v="0"/>
  </r>
  <r>
    <x v="8"/>
    <x v="0"/>
  </r>
  <r>
    <x v="9"/>
    <x v="0"/>
  </r>
  <r>
    <x v="10"/>
    <x v="0"/>
  </r>
  <r>
    <x v="9"/>
    <x v="0"/>
  </r>
  <r>
    <x v="11"/>
    <x v="0"/>
  </r>
  <r>
    <x v="12"/>
    <x v="0"/>
  </r>
  <r>
    <x v="7"/>
    <x v="0"/>
  </r>
  <r>
    <x v="12"/>
    <x v="0"/>
  </r>
  <r>
    <x v="6"/>
    <x v="0"/>
  </r>
  <r>
    <x v="6"/>
    <x v="0"/>
  </r>
  <r>
    <x v="1"/>
    <x v="0"/>
  </r>
  <r>
    <x v="8"/>
    <x v="0"/>
  </r>
  <r>
    <x v="9"/>
    <x v="0"/>
  </r>
  <r>
    <x v="12"/>
    <x v="0"/>
  </r>
  <r>
    <x v="2"/>
    <x v="0"/>
  </r>
  <r>
    <x v="2"/>
    <x v="0"/>
  </r>
  <r>
    <x v="0"/>
    <x v="0"/>
  </r>
  <r>
    <x v="12"/>
    <x v="0"/>
  </r>
  <r>
    <x v="10"/>
    <x v="0"/>
  </r>
  <r>
    <x v="5"/>
    <x v="0"/>
  </r>
  <r>
    <x v="5"/>
    <x v="0"/>
  </r>
  <r>
    <x v="9"/>
    <x v="0"/>
  </r>
  <r>
    <x v="4"/>
    <x v="0"/>
  </r>
  <r>
    <x v="12"/>
    <x v="0"/>
  </r>
  <r>
    <x v="12"/>
    <x v="0"/>
  </r>
  <r>
    <x v="5"/>
    <x v="0"/>
  </r>
  <r>
    <x v="3"/>
    <x v="0"/>
  </r>
  <r>
    <x v="11"/>
    <x v="0"/>
  </r>
  <r>
    <x v="11"/>
    <x v="0"/>
  </r>
  <r>
    <x v="0"/>
    <x v="0"/>
  </r>
  <r>
    <x v="8"/>
    <x v="0"/>
  </r>
  <r>
    <x v="0"/>
    <x v="0"/>
  </r>
  <r>
    <x v="10"/>
    <x v="0"/>
  </r>
  <r>
    <x v="5"/>
    <x v="0"/>
  </r>
  <r>
    <x v="0"/>
    <x v="0"/>
  </r>
  <r>
    <x v="9"/>
    <x v="0"/>
  </r>
  <r>
    <x v="4"/>
    <x v="0"/>
  </r>
  <r>
    <x v="11"/>
    <x v="0"/>
  </r>
  <r>
    <x v="9"/>
    <x v="0"/>
  </r>
  <r>
    <x v="12"/>
    <x v="0"/>
  </r>
  <r>
    <x v="5"/>
    <x v="0"/>
  </r>
  <r>
    <x v="4"/>
    <x v="0"/>
  </r>
  <r>
    <x v="5"/>
    <x v="0"/>
  </r>
  <r>
    <x v="9"/>
    <x v="0"/>
  </r>
  <r>
    <x v="1"/>
    <x v="0"/>
  </r>
  <r>
    <x v="12"/>
    <x v="0"/>
  </r>
  <r>
    <x v="10"/>
    <x v="0"/>
  </r>
  <r>
    <x v="8"/>
    <x v="0"/>
  </r>
  <r>
    <x v="2"/>
    <x v="0"/>
  </r>
  <r>
    <x v="2"/>
    <x v="0"/>
  </r>
  <r>
    <x v="5"/>
    <x v="0"/>
  </r>
  <r>
    <x v="2"/>
    <x v="0"/>
  </r>
  <r>
    <x v="11"/>
    <x v="0"/>
  </r>
  <r>
    <x v="7"/>
    <x v="0"/>
  </r>
  <r>
    <x v="11"/>
    <x v="0"/>
  </r>
  <r>
    <x v="11"/>
    <x v="0"/>
  </r>
  <r>
    <x v="4"/>
    <x v="0"/>
  </r>
  <r>
    <x v="2"/>
    <x v="0"/>
  </r>
  <r>
    <x v="10"/>
    <x v="0"/>
  </r>
  <r>
    <x v="10"/>
    <x v="0"/>
  </r>
  <r>
    <x v="8"/>
    <x v="0"/>
  </r>
  <r>
    <x v="12"/>
    <x v="0"/>
  </r>
  <r>
    <x v="9"/>
    <x v="0"/>
  </r>
  <r>
    <x v="3"/>
    <x v="0"/>
  </r>
  <r>
    <x v="1"/>
    <x v="0"/>
  </r>
  <r>
    <x v="6"/>
    <x v="0"/>
  </r>
  <r>
    <x v="11"/>
    <x v="0"/>
  </r>
  <r>
    <x v="8"/>
    <x v="0"/>
  </r>
  <r>
    <x v="11"/>
    <x v="0"/>
  </r>
  <r>
    <x v="8"/>
    <x v="0"/>
  </r>
  <r>
    <x v="0"/>
    <x v="0"/>
  </r>
  <r>
    <x v="2"/>
    <x v="0"/>
  </r>
  <r>
    <x v="2"/>
    <x v="0"/>
  </r>
  <r>
    <x v="7"/>
    <x v="0"/>
  </r>
  <r>
    <x v="8"/>
    <x v="0"/>
  </r>
  <r>
    <x v="12"/>
    <x v="0"/>
  </r>
  <r>
    <x v="10"/>
    <x v="0"/>
  </r>
  <r>
    <x v="7"/>
    <x v="0"/>
  </r>
  <r>
    <x v="7"/>
    <x v="0"/>
  </r>
  <r>
    <x v="10"/>
    <x v="0"/>
  </r>
  <r>
    <x v="9"/>
    <x v="0"/>
  </r>
  <r>
    <x v="12"/>
    <x v="0"/>
  </r>
  <r>
    <x v="7"/>
    <x v="0"/>
  </r>
  <r>
    <x v="9"/>
    <x v="0"/>
  </r>
  <r>
    <x v="10"/>
    <x v="0"/>
  </r>
  <r>
    <x v="2"/>
    <x v="0"/>
  </r>
  <r>
    <x v="7"/>
    <x v="0"/>
  </r>
  <r>
    <x v="8"/>
    <x v="0"/>
  </r>
  <r>
    <x v="4"/>
    <x v="0"/>
  </r>
  <r>
    <x v="5"/>
    <x v="0"/>
  </r>
  <r>
    <x v="3"/>
    <x v="0"/>
  </r>
  <r>
    <x v="12"/>
    <x v="0"/>
  </r>
  <r>
    <x v="12"/>
    <x v="0"/>
  </r>
  <r>
    <x v="3"/>
    <x v="0"/>
  </r>
  <r>
    <x v="12"/>
    <x v="0"/>
  </r>
  <r>
    <x v="3"/>
    <x v="0"/>
  </r>
  <r>
    <x v="2"/>
    <x v="0"/>
  </r>
  <r>
    <x v="5"/>
    <x v="0"/>
  </r>
  <r>
    <x v="1"/>
    <x v="0"/>
  </r>
  <r>
    <x v="9"/>
    <x v="0"/>
  </r>
  <r>
    <x v="12"/>
    <x v="0"/>
  </r>
  <r>
    <x v="8"/>
    <x v="0"/>
  </r>
  <r>
    <x v="9"/>
    <x v="0"/>
  </r>
  <r>
    <x v="3"/>
    <x v="0"/>
  </r>
  <r>
    <x v="8"/>
    <x v="0"/>
  </r>
  <r>
    <x v="0"/>
    <x v="0"/>
  </r>
  <r>
    <x v="3"/>
    <x v="0"/>
  </r>
  <r>
    <x v="1"/>
    <x v="0"/>
  </r>
  <r>
    <x v="5"/>
    <x v="0"/>
  </r>
  <r>
    <x v="4"/>
    <x v="0"/>
  </r>
  <r>
    <x v="6"/>
    <x v="0"/>
  </r>
  <r>
    <x v="3"/>
    <x v="0"/>
  </r>
  <r>
    <x v="12"/>
    <x v="0"/>
  </r>
  <r>
    <x v="2"/>
    <x v="0"/>
  </r>
  <r>
    <x v="12"/>
    <x v="0"/>
  </r>
  <r>
    <x v="8"/>
    <x v="0"/>
  </r>
  <r>
    <x v="11"/>
    <x v="0"/>
  </r>
  <r>
    <x v="0"/>
    <x v="0"/>
  </r>
  <r>
    <x v="9"/>
    <x v="0"/>
  </r>
  <r>
    <x v="0"/>
    <x v="0"/>
  </r>
  <r>
    <x v="7"/>
    <x v="0"/>
  </r>
  <r>
    <x v="1"/>
    <x v="0"/>
  </r>
  <r>
    <x v="1"/>
    <x v="0"/>
  </r>
  <r>
    <x v="9"/>
    <x v="0"/>
  </r>
  <r>
    <x v="11"/>
    <x v="0"/>
  </r>
  <r>
    <x v="11"/>
    <x v="0"/>
  </r>
  <r>
    <x v="5"/>
    <x v="0"/>
  </r>
  <r>
    <x v="12"/>
    <x v="0"/>
  </r>
  <r>
    <x v="11"/>
    <x v="0"/>
  </r>
  <r>
    <x v="11"/>
    <x v="0"/>
  </r>
  <r>
    <x v="5"/>
    <x v="0"/>
  </r>
  <r>
    <x v="10"/>
    <x v="0"/>
  </r>
  <r>
    <x v="5"/>
    <x v="0"/>
  </r>
  <r>
    <x v="12"/>
    <x v="0"/>
  </r>
  <r>
    <x v="0"/>
    <x v="0"/>
  </r>
  <r>
    <x v="10"/>
    <x v="0"/>
  </r>
  <r>
    <x v="7"/>
    <x v="0"/>
  </r>
  <r>
    <x v="7"/>
    <x v="0"/>
  </r>
  <r>
    <x v="0"/>
    <x v="0"/>
  </r>
  <r>
    <x v="2"/>
    <x v="0"/>
  </r>
  <r>
    <x v="1"/>
    <x v="0"/>
  </r>
  <r>
    <x v="8"/>
    <x v="0"/>
  </r>
  <r>
    <x v="10"/>
    <x v="0"/>
  </r>
  <r>
    <x v="11"/>
    <x v="0"/>
  </r>
  <r>
    <x v="12"/>
    <x v="0"/>
  </r>
  <r>
    <x v="8"/>
    <x v="0"/>
  </r>
  <r>
    <x v="11"/>
    <x v="0"/>
  </r>
  <r>
    <x v="11"/>
    <x v="0"/>
  </r>
  <r>
    <x v="9"/>
    <x v="0"/>
  </r>
  <r>
    <x v="8"/>
    <x v="0"/>
  </r>
  <r>
    <x v="0"/>
    <x v="0"/>
  </r>
  <r>
    <x v="8"/>
    <x v="0"/>
  </r>
  <r>
    <x v="6"/>
    <x v="0"/>
  </r>
  <r>
    <x v="0"/>
    <x v="0"/>
  </r>
  <r>
    <x v="12"/>
    <x v="0"/>
  </r>
  <r>
    <x v="6"/>
    <x v="0"/>
  </r>
  <r>
    <x v="11"/>
    <x v="0"/>
  </r>
  <r>
    <x v="12"/>
    <x v="0"/>
  </r>
  <r>
    <x v="9"/>
    <x v="0"/>
  </r>
  <r>
    <x v="12"/>
    <x v="0"/>
  </r>
  <r>
    <x v="10"/>
    <x v="0"/>
  </r>
  <r>
    <x v="0"/>
    <x v="0"/>
  </r>
  <r>
    <x v="3"/>
    <x v="0"/>
  </r>
  <r>
    <x v="2"/>
    <x v="0"/>
  </r>
  <r>
    <x v="3"/>
    <x v="0"/>
  </r>
  <r>
    <x v="12"/>
    <x v="0"/>
  </r>
  <r>
    <x v="2"/>
    <x v="0"/>
  </r>
  <r>
    <x v="9"/>
    <x v="0"/>
  </r>
  <r>
    <x v="8"/>
    <x v="0"/>
  </r>
  <r>
    <x v="12"/>
    <x v="0"/>
  </r>
  <r>
    <x v="5"/>
    <x v="0"/>
  </r>
  <r>
    <x v="9"/>
    <x v="0"/>
  </r>
  <r>
    <x v="7"/>
    <x v="0"/>
  </r>
  <r>
    <x v="12"/>
    <x v="0"/>
  </r>
  <r>
    <x v="5"/>
    <x v="0"/>
  </r>
  <r>
    <x v="7"/>
    <x v="0"/>
  </r>
  <r>
    <x v="10"/>
    <x v="0"/>
  </r>
  <r>
    <x v="7"/>
    <x v="0"/>
  </r>
  <r>
    <x v="12"/>
    <x v="0"/>
  </r>
  <r>
    <x v="4"/>
    <x v="0"/>
  </r>
  <r>
    <x v="8"/>
    <x v="0"/>
  </r>
  <r>
    <x v="7"/>
    <x v="0"/>
  </r>
  <r>
    <x v="9"/>
    <x v="0"/>
  </r>
  <r>
    <x v="4"/>
    <x v="0"/>
  </r>
  <r>
    <x v="5"/>
    <x v="0"/>
  </r>
  <r>
    <x v="3"/>
    <x v="0"/>
  </r>
  <r>
    <x v="12"/>
    <x v="0"/>
  </r>
  <r>
    <x v="12"/>
    <x v="0"/>
  </r>
  <r>
    <x v="5"/>
    <x v="0"/>
  </r>
  <r>
    <x v="2"/>
    <x v="0"/>
  </r>
  <r>
    <x v="3"/>
    <x v="0"/>
  </r>
  <r>
    <x v="1"/>
    <x v="0"/>
  </r>
  <r>
    <x v="8"/>
    <x v="0"/>
  </r>
  <r>
    <x v="11"/>
    <x v="0"/>
  </r>
  <r>
    <x v="11"/>
    <x v="0"/>
  </r>
  <r>
    <x v="5"/>
    <x v="0"/>
  </r>
  <r>
    <x v="5"/>
    <x v="0"/>
  </r>
  <r>
    <x v="5"/>
    <x v="0"/>
  </r>
  <r>
    <x v="5"/>
    <x v="0"/>
  </r>
  <r>
    <x v="5"/>
    <x v="0"/>
  </r>
  <r>
    <x v="2"/>
    <x v="0"/>
  </r>
  <r>
    <x v="12"/>
    <x v="0"/>
  </r>
  <r>
    <x v="11"/>
    <x v="0"/>
  </r>
  <r>
    <x v="4"/>
    <x v="0"/>
  </r>
  <r>
    <x v="2"/>
    <x v="0"/>
  </r>
  <r>
    <x v="10"/>
    <x v="0"/>
  </r>
  <r>
    <x v="7"/>
    <x v="0"/>
  </r>
  <r>
    <x v="10"/>
    <x v="0"/>
  </r>
  <r>
    <x v="4"/>
    <x v="0"/>
  </r>
  <r>
    <x v="9"/>
    <x v="0"/>
  </r>
  <r>
    <x v="4"/>
    <x v="0"/>
  </r>
  <r>
    <x v="2"/>
    <x v="0"/>
  </r>
  <r>
    <x v="4"/>
    <x v="0"/>
  </r>
  <r>
    <x v="12"/>
    <x v="0"/>
  </r>
  <r>
    <x v="10"/>
    <x v="0"/>
  </r>
  <r>
    <x v="4"/>
    <x v="0"/>
  </r>
  <r>
    <x v="2"/>
    <x v="0"/>
  </r>
  <r>
    <x v="11"/>
    <x v="0"/>
  </r>
  <r>
    <x v="2"/>
    <x v="0"/>
  </r>
  <r>
    <x v="0"/>
    <x v="0"/>
  </r>
  <r>
    <x v="7"/>
    <x v="0"/>
  </r>
  <r>
    <x v="5"/>
    <x v="0"/>
  </r>
  <r>
    <x v="4"/>
    <x v="0"/>
  </r>
  <r>
    <x v="1"/>
    <x v="0"/>
  </r>
  <r>
    <x v="3"/>
    <x v="0"/>
  </r>
  <r>
    <x v="11"/>
    <x v="0"/>
  </r>
  <r>
    <x v="8"/>
    <x v="0"/>
  </r>
  <r>
    <x v="0"/>
    <x v="0"/>
  </r>
  <r>
    <x v="2"/>
    <x v="0"/>
  </r>
  <r>
    <x v="6"/>
    <x v="0"/>
  </r>
  <r>
    <x v="11"/>
    <x v="0"/>
  </r>
  <r>
    <x v="0"/>
    <x v="0"/>
  </r>
  <r>
    <x v="10"/>
    <x v="0"/>
  </r>
  <r>
    <x v="10"/>
    <x v="0"/>
  </r>
  <r>
    <x v="7"/>
    <x v="0"/>
  </r>
  <r>
    <x v="0"/>
    <x v="0"/>
  </r>
  <r>
    <x v="10"/>
    <x v="0"/>
  </r>
  <r>
    <x v="4"/>
    <x v="0"/>
  </r>
  <r>
    <x v="6"/>
    <x v="0"/>
  </r>
  <r>
    <x v="10"/>
    <x v="0"/>
  </r>
  <r>
    <x v="2"/>
    <x v="0"/>
  </r>
  <r>
    <x v="1"/>
    <x v="0"/>
  </r>
  <r>
    <x v="2"/>
    <x v="0"/>
  </r>
  <r>
    <x v="4"/>
    <x v="0"/>
  </r>
  <r>
    <x v="12"/>
    <x v="0"/>
  </r>
  <r>
    <x v="9"/>
    <x v="0"/>
  </r>
  <r>
    <x v="8"/>
    <x v="0"/>
  </r>
  <r>
    <x v="6"/>
    <x v="0"/>
  </r>
  <r>
    <x v="8"/>
    <x v="0"/>
  </r>
  <r>
    <x v="0"/>
    <x v="0"/>
  </r>
  <r>
    <x v="8"/>
    <x v="0"/>
  </r>
  <r>
    <x v="7"/>
    <x v="0"/>
  </r>
  <r>
    <x v="9"/>
    <x v="0"/>
  </r>
  <r>
    <x v="3"/>
    <x v="0"/>
  </r>
  <r>
    <x v="5"/>
    <x v="0"/>
  </r>
  <r>
    <x v="9"/>
    <x v="0"/>
  </r>
  <r>
    <x v="8"/>
    <x v="0"/>
  </r>
  <r>
    <x v="7"/>
    <x v="0"/>
  </r>
  <r>
    <x v="4"/>
    <x v="0"/>
  </r>
  <r>
    <x v="5"/>
    <x v="0"/>
  </r>
  <r>
    <x v="4"/>
    <x v="0"/>
  </r>
  <r>
    <x v="7"/>
    <x v="0"/>
  </r>
  <r>
    <x v="3"/>
    <x v="0"/>
  </r>
  <r>
    <x v="11"/>
    <x v="0"/>
  </r>
  <r>
    <x v="10"/>
    <x v="0"/>
  </r>
  <r>
    <x v="1"/>
    <x v="0"/>
  </r>
  <r>
    <x v="3"/>
    <x v="0"/>
  </r>
  <r>
    <x v="3"/>
    <x v="0"/>
  </r>
  <r>
    <x v="2"/>
    <x v="0"/>
  </r>
  <r>
    <x v="1"/>
    <x v="0"/>
  </r>
  <r>
    <x v="5"/>
    <x v="0"/>
  </r>
  <r>
    <x v="9"/>
    <x v="0"/>
  </r>
  <r>
    <x v="6"/>
    <x v="0"/>
  </r>
  <r>
    <x v="2"/>
    <x v="0"/>
  </r>
  <r>
    <x v="4"/>
    <x v="0"/>
  </r>
  <r>
    <x v="10"/>
    <x v="0"/>
  </r>
  <r>
    <x v="0"/>
    <x v="0"/>
  </r>
  <r>
    <x v="8"/>
    <x v="0"/>
  </r>
  <r>
    <x v="8"/>
    <x v="0"/>
  </r>
  <r>
    <x v="3"/>
    <x v="0"/>
  </r>
  <r>
    <x v="4"/>
    <x v="0"/>
  </r>
  <r>
    <x v="10"/>
    <x v="0"/>
  </r>
  <r>
    <x v="8"/>
    <x v="0"/>
  </r>
  <r>
    <x v="5"/>
    <x v="0"/>
  </r>
  <r>
    <x v="5"/>
    <x v="0"/>
  </r>
  <r>
    <x v="12"/>
    <x v="0"/>
  </r>
  <r>
    <x v="8"/>
    <x v="0"/>
  </r>
  <r>
    <x v="2"/>
    <x v="0"/>
  </r>
  <r>
    <x v="6"/>
    <x v="0"/>
  </r>
  <r>
    <x v="10"/>
    <x v="0"/>
  </r>
  <r>
    <x v="11"/>
    <x v="0"/>
  </r>
  <r>
    <x v="4"/>
    <x v="0"/>
  </r>
  <r>
    <x v="5"/>
    <x v="0"/>
  </r>
  <r>
    <x v="4"/>
    <x v="0"/>
  </r>
  <r>
    <x v="1"/>
    <x v="0"/>
  </r>
  <r>
    <x v="12"/>
    <x v="0"/>
  </r>
  <r>
    <x v="7"/>
    <x v="0"/>
  </r>
  <r>
    <x v="1"/>
    <x v="0"/>
  </r>
  <r>
    <x v="5"/>
    <x v="0"/>
  </r>
  <r>
    <x v="6"/>
    <x v="0"/>
  </r>
  <r>
    <x v="0"/>
    <x v="0"/>
  </r>
  <r>
    <x v="3"/>
    <x v="0"/>
  </r>
  <r>
    <x v="1"/>
    <x v="0"/>
  </r>
  <r>
    <x v="11"/>
    <x v="0"/>
  </r>
  <r>
    <x v="1"/>
    <x v="0"/>
  </r>
  <r>
    <x v="6"/>
    <x v="0"/>
  </r>
  <r>
    <x v="12"/>
    <x v="0"/>
  </r>
  <r>
    <x v="9"/>
    <x v="0"/>
  </r>
  <r>
    <x v="12"/>
    <x v="0"/>
  </r>
  <r>
    <x v="1"/>
    <x v="0"/>
  </r>
  <r>
    <x v="11"/>
    <x v="0"/>
  </r>
  <r>
    <x v="12"/>
    <x v="0"/>
  </r>
  <r>
    <x v="7"/>
    <x v="0"/>
  </r>
  <r>
    <x v="6"/>
    <x v="0"/>
  </r>
  <r>
    <x v="0"/>
    <x v="0"/>
  </r>
  <r>
    <x v="6"/>
    <x v="0"/>
  </r>
  <r>
    <x v="4"/>
    <x v="0"/>
  </r>
  <r>
    <x v="3"/>
    <x v="0"/>
  </r>
  <r>
    <x v="11"/>
    <x v="0"/>
  </r>
  <r>
    <x v="3"/>
    <x v="0"/>
  </r>
  <r>
    <x v="6"/>
    <x v="0"/>
  </r>
  <r>
    <x v="8"/>
    <x v="0"/>
  </r>
  <r>
    <x v="4"/>
    <x v="0"/>
  </r>
  <r>
    <x v="3"/>
    <x v="0"/>
  </r>
  <r>
    <x v="12"/>
    <x v="0"/>
  </r>
  <r>
    <x v="9"/>
    <x v="0"/>
  </r>
  <r>
    <x v="1"/>
    <x v="0"/>
  </r>
  <r>
    <x v="4"/>
    <x v="0"/>
  </r>
  <r>
    <x v="9"/>
    <x v="0"/>
  </r>
  <r>
    <x v="12"/>
    <x v="0"/>
  </r>
  <r>
    <x v="10"/>
    <x v="0"/>
  </r>
  <r>
    <x v="5"/>
    <x v="0"/>
  </r>
  <r>
    <x v="4"/>
    <x v="0"/>
  </r>
  <r>
    <x v="10"/>
    <x v="0"/>
  </r>
  <r>
    <x v="11"/>
    <x v="0"/>
  </r>
  <r>
    <x v="7"/>
    <x v="0"/>
  </r>
  <r>
    <x v="5"/>
    <x v="0"/>
  </r>
  <r>
    <x v="3"/>
    <x v="0"/>
  </r>
  <r>
    <x v="6"/>
    <x v="0"/>
  </r>
  <r>
    <x v="0"/>
    <x v="0"/>
  </r>
  <r>
    <x v="2"/>
    <x v="0"/>
  </r>
  <r>
    <x v="12"/>
    <x v="0"/>
  </r>
  <r>
    <x v="1"/>
    <x v="0"/>
  </r>
  <r>
    <x v="4"/>
    <x v="0"/>
  </r>
  <r>
    <x v="9"/>
    <x v="0"/>
  </r>
  <r>
    <x v="10"/>
    <x v="0"/>
  </r>
  <r>
    <x v="10"/>
    <x v="0"/>
  </r>
  <r>
    <x v="9"/>
    <x v="0"/>
  </r>
  <r>
    <x v="7"/>
    <x v="0"/>
  </r>
  <r>
    <x v="4"/>
    <x v="0"/>
  </r>
  <r>
    <x v="0"/>
    <x v="0"/>
  </r>
  <r>
    <x v="11"/>
    <x v="0"/>
  </r>
  <r>
    <x v="11"/>
    <x v="0"/>
  </r>
  <r>
    <x v="10"/>
    <x v="0"/>
  </r>
  <r>
    <x v="12"/>
    <x v="0"/>
  </r>
  <r>
    <x v="10"/>
    <x v="0"/>
  </r>
  <r>
    <x v="1"/>
    <x v="0"/>
  </r>
  <r>
    <x v="8"/>
    <x v="0"/>
  </r>
  <r>
    <x v="3"/>
    <x v="0"/>
  </r>
  <r>
    <x v="11"/>
    <x v="0"/>
  </r>
  <r>
    <x v="4"/>
    <x v="0"/>
  </r>
  <r>
    <x v="11"/>
    <x v="0"/>
  </r>
  <r>
    <x v="7"/>
    <x v="0"/>
  </r>
  <r>
    <x v="12"/>
    <x v="1"/>
  </r>
  <r>
    <x v="8"/>
    <x v="1"/>
  </r>
  <r>
    <x v="9"/>
    <x v="1"/>
  </r>
  <r>
    <x v="11"/>
    <x v="1"/>
  </r>
  <r>
    <x v="3"/>
    <x v="1"/>
  </r>
  <r>
    <x v="10"/>
    <x v="1"/>
  </r>
  <r>
    <x v="6"/>
    <x v="1"/>
  </r>
  <r>
    <x v="6"/>
    <x v="1"/>
  </r>
  <r>
    <x v="7"/>
    <x v="1"/>
  </r>
  <r>
    <x v="2"/>
    <x v="1"/>
  </r>
  <r>
    <x v="9"/>
    <x v="1"/>
  </r>
  <r>
    <x v="7"/>
    <x v="1"/>
  </r>
  <r>
    <x v="11"/>
    <x v="1"/>
  </r>
  <r>
    <x v="9"/>
    <x v="1"/>
  </r>
  <r>
    <x v="4"/>
    <x v="1"/>
  </r>
  <r>
    <x v="5"/>
    <x v="1"/>
  </r>
  <r>
    <x v="5"/>
    <x v="1"/>
  </r>
  <r>
    <x v="11"/>
    <x v="1"/>
  </r>
  <r>
    <x v="12"/>
    <x v="1"/>
  </r>
  <r>
    <x v="5"/>
    <x v="1"/>
  </r>
  <r>
    <x v="0"/>
    <x v="1"/>
  </r>
  <r>
    <x v="12"/>
    <x v="1"/>
  </r>
  <r>
    <x v="5"/>
    <x v="1"/>
  </r>
  <r>
    <x v="11"/>
    <x v="1"/>
  </r>
  <r>
    <x v="9"/>
    <x v="1"/>
  </r>
  <r>
    <x v="5"/>
    <x v="1"/>
  </r>
  <r>
    <x v="8"/>
    <x v="1"/>
  </r>
  <r>
    <x v="11"/>
    <x v="1"/>
  </r>
  <r>
    <x v="9"/>
    <x v="1"/>
  </r>
  <r>
    <x v="2"/>
    <x v="1"/>
  </r>
  <r>
    <x v="6"/>
    <x v="1"/>
  </r>
  <r>
    <x v="7"/>
    <x v="1"/>
  </r>
  <r>
    <x v="4"/>
    <x v="1"/>
  </r>
  <r>
    <x v="6"/>
    <x v="1"/>
  </r>
  <r>
    <x v="10"/>
    <x v="1"/>
  </r>
  <r>
    <x v="7"/>
    <x v="1"/>
  </r>
  <r>
    <x v="3"/>
    <x v="1"/>
  </r>
  <r>
    <x v="10"/>
    <x v="1"/>
  </r>
  <r>
    <x v="9"/>
    <x v="1"/>
  </r>
  <r>
    <x v="10"/>
    <x v="1"/>
  </r>
  <r>
    <x v="0"/>
    <x v="1"/>
  </r>
  <r>
    <x v="2"/>
    <x v="1"/>
  </r>
  <r>
    <x v="2"/>
    <x v="1"/>
  </r>
  <r>
    <x v="9"/>
    <x v="1"/>
  </r>
  <r>
    <x v="1"/>
    <x v="1"/>
  </r>
  <r>
    <x v="9"/>
    <x v="1"/>
  </r>
  <r>
    <x v="8"/>
    <x v="1"/>
  </r>
  <r>
    <x v="3"/>
    <x v="1"/>
  </r>
  <r>
    <x v="7"/>
    <x v="1"/>
  </r>
  <r>
    <x v="10"/>
    <x v="1"/>
  </r>
  <r>
    <x v="6"/>
    <x v="1"/>
  </r>
  <r>
    <x v="4"/>
    <x v="1"/>
  </r>
  <r>
    <x v="8"/>
    <x v="1"/>
  </r>
  <r>
    <x v="0"/>
    <x v="1"/>
  </r>
  <r>
    <x v="10"/>
    <x v="1"/>
  </r>
  <r>
    <x v="9"/>
    <x v="1"/>
  </r>
  <r>
    <x v="7"/>
    <x v="1"/>
  </r>
  <r>
    <x v="10"/>
    <x v="1"/>
  </r>
  <r>
    <x v="4"/>
    <x v="1"/>
  </r>
  <r>
    <x v="4"/>
    <x v="1"/>
  </r>
  <r>
    <x v="10"/>
    <x v="1"/>
  </r>
  <r>
    <x v="2"/>
    <x v="1"/>
  </r>
  <r>
    <x v="9"/>
    <x v="1"/>
  </r>
  <r>
    <x v="3"/>
    <x v="1"/>
  </r>
  <r>
    <x v="1"/>
    <x v="1"/>
  </r>
  <r>
    <x v="2"/>
    <x v="1"/>
  </r>
  <r>
    <x v="12"/>
    <x v="1"/>
  </r>
  <r>
    <x v="12"/>
    <x v="1"/>
  </r>
  <r>
    <x v="8"/>
    <x v="1"/>
  </r>
  <r>
    <x v="12"/>
    <x v="1"/>
  </r>
  <r>
    <x v="9"/>
    <x v="1"/>
  </r>
  <r>
    <x v="2"/>
    <x v="1"/>
  </r>
  <r>
    <x v="0"/>
    <x v="1"/>
  </r>
  <r>
    <x v="2"/>
    <x v="1"/>
  </r>
  <r>
    <x v="8"/>
    <x v="1"/>
  </r>
  <r>
    <x v="11"/>
    <x v="1"/>
  </r>
  <r>
    <x v="12"/>
    <x v="1"/>
  </r>
  <r>
    <x v="10"/>
    <x v="1"/>
  </r>
  <r>
    <x v="6"/>
    <x v="1"/>
  </r>
  <r>
    <x v="1"/>
    <x v="1"/>
  </r>
  <r>
    <x v="9"/>
    <x v="1"/>
  </r>
  <r>
    <x v="1"/>
    <x v="1"/>
  </r>
  <r>
    <x v="4"/>
    <x v="1"/>
  </r>
  <r>
    <x v="0"/>
    <x v="1"/>
  </r>
  <r>
    <x v="4"/>
    <x v="1"/>
  </r>
  <r>
    <x v="10"/>
    <x v="1"/>
  </r>
  <r>
    <x v="5"/>
    <x v="1"/>
  </r>
  <r>
    <x v="10"/>
    <x v="1"/>
  </r>
  <r>
    <x v="4"/>
    <x v="1"/>
  </r>
  <r>
    <x v="4"/>
    <x v="1"/>
  </r>
  <r>
    <x v="3"/>
    <x v="1"/>
  </r>
  <r>
    <x v="12"/>
    <x v="1"/>
  </r>
  <r>
    <x v="7"/>
    <x v="1"/>
  </r>
  <r>
    <x v="8"/>
    <x v="1"/>
  </r>
  <r>
    <x v="12"/>
    <x v="1"/>
  </r>
  <r>
    <x v="12"/>
    <x v="1"/>
  </r>
  <r>
    <x v="5"/>
    <x v="1"/>
  </r>
  <r>
    <x v="0"/>
    <x v="1"/>
  </r>
  <r>
    <x v="10"/>
    <x v="1"/>
  </r>
  <r>
    <x v="12"/>
    <x v="1"/>
  </r>
  <r>
    <x v="6"/>
    <x v="1"/>
  </r>
  <r>
    <x v="4"/>
    <x v="1"/>
  </r>
  <r>
    <x v="6"/>
    <x v="1"/>
  </r>
  <r>
    <x v="4"/>
    <x v="1"/>
  </r>
  <r>
    <x v="9"/>
    <x v="1"/>
  </r>
  <r>
    <x v="0"/>
    <x v="1"/>
  </r>
  <r>
    <x v="4"/>
    <x v="1"/>
  </r>
  <r>
    <x v="12"/>
    <x v="1"/>
  </r>
  <r>
    <x v="3"/>
    <x v="1"/>
  </r>
  <r>
    <x v="12"/>
    <x v="1"/>
  </r>
  <r>
    <x v="7"/>
    <x v="1"/>
  </r>
  <r>
    <x v="1"/>
    <x v="1"/>
  </r>
  <r>
    <x v="1"/>
    <x v="1"/>
  </r>
  <r>
    <x v="0"/>
    <x v="1"/>
  </r>
  <r>
    <x v="5"/>
    <x v="1"/>
  </r>
  <r>
    <x v="9"/>
    <x v="1"/>
  </r>
  <r>
    <x v="5"/>
    <x v="1"/>
  </r>
  <r>
    <x v="0"/>
    <x v="1"/>
  </r>
  <r>
    <x v="10"/>
    <x v="1"/>
  </r>
  <r>
    <x v="3"/>
    <x v="1"/>
  </r>
  <r>
    <x v="12"/>
    <x v="1"/>
  </r>
  <r>
    <x v="12"/>
    <x v="1"/>
  </r>
  <r>
    <x v="9"/>
    <x v="1"/>
  </r>
  <r>
    <x v="4"/>
    <x v="1"/>
  </r>
  <r>
    <x v="8"/>
    <x v="1"/>
  </r>
  <r>
    <x v="3"/>
    <x v="1"/>
  </r>
  <r>
    <x v="12"/>
    <x v="1"/>
  </r>
  <r>
    <x v="8"/>
    <x v="1"/>
  </r>
  <r>
    <x v="4"/>
    <x v="1"/>
  </r>
  <r>
    <x v="6"/>
    <x v="1"/>
  </r>
  <r>
    <x v="12"/>
    <x v="1"/>
  </r>
  <r>
    <x v="8"/>
    <x v="1"/>
  </r>
  <r>
    <x v="6"/>
    <x v="1"/>
  </r>
  <r>
    <x v="2"/>
    <x v="1"/>
  </r>
  <r>
    <x v="5"/>
    <x v="1"/>
  </r>
  <r>
    <x v="9"/>
    <x v="1"/>
  </r>
  <r>
    <x v="7"/>
    <x v="1"/>
  </r>
  <r>
    <x v="1"/>
    <x v="1"/>
  </r>
  <r>
    <x v="9"/>
    <x v="1"/>
  </r>
  <r>
    <x v="7"/>
    <x v="1"/>
  </r>
  <r>
    <x v="9"/>
    <x v="1"/>
  </r>
  <r>
    <x v="10"/>
    <x v="1"/>
  </r>
  <r>
    <x v="12"/>
    <x v="1"/>
  </r>
  <r>
    <x v="12"/>
    <x v="1"/>
  </r>
  <r>
    <x v="0"/>
    <x v="1"/>
  </r>
  <r>
    <x v="3"/>
    <x v="1"/>
  </r>
  <r>
    <x v="8"/>
    <x v="1"/>
  </r>
  <r>
    <x v="9"/>
    <x v="1"/>
  </r>
  <r>
    <x v="7"/>
    <x v="1"/>
  </r>
  <r>
    <x v="12"/>
    <x v="1"/>
  </r>
  <r>
    <x v="9"/>
    <x v="1"/>
  </r>
  <r>
    <x v="1"/>
    <x v="1"/>
  </r>
  <r>
    <x v="4"/>
    <x v="1"/>
  </r>
  <r>
    <x v="9"/>
    <x v="1"/>
  </r>
  <r>
    <x v="10"/>
    <x v="1"/>
  </r>
  <r>
    <x v="4"/>
    <x v="1"/>
  </r>
  <r>
    <x v="6"/>
    <x v="1"/>
  </r>
  <r>
    <x v="8"/>
    <x v="1"/>
  </r>
  <r>
    <x v="10"/>
    <x v="1"/>
  </r>
  <r>
    <x v="9"/>
    <x v="1"/>
  </r>
  <r>
    <x v="6"/>
    <x v="1"/>
  </r>
  <r>
    <x v="1"/>
    <x v="1"/>
  </r>
  <r>
    <x v="10"/>
    <x v="1"/>
  </r>
  <r>
    <x v="8"/>
    <x v="1"/>
  </r>
  <r>
    <x v="4"/>
    <x v="1"/>
  </r>
  <r>
    <x v="8"/>
    <x v="1"/>
  </r>
  <r>
    <x v="9"/>
    <x v="1"/>
  </r>
  <r>
    <x v="12"/>
    <x v="1"/>
  </r>
  <r>
    <x v="2"/>
    <x v="1"/>
  </r>
  <r>
    <x v="5"/>
    <x v="1"/>
  </r>
  <r>
    <x v="8"/>
    <x v="1"/>
  </r>
  <r>
    <x v="10"/>
    <x v="1"/>
  </r>
  <r>
    <x v="2"/>
    <x v="1"/>
  </r>
  <r>
    <x v="0"/>
    <x v="1"/>
  </r>
  <r>
    <x v="2"/>
    <x v="1"/>
  </r>
  <r>
    <x v="7"/>
    <x v="1"/>
  </r>
  <r>
    <x v="8"/>
    <x v="1"/>
  </r>
  <r>
    <x v="2"/>
    <x v="1"/>
  </r>
  <r>
    <x v="0"/>
    <x v="1"/>
  </r>
  <r>
    <x v="12"/>
    <x v="1"/>
  </r>
  <r>
    <x v="2"/>
    <x v="1"/>
  </r>
  <r>
    <x v="12"/>
    <x v="1"/>
  </r>
  <r>
    <x v="6"/>
    <x v="1"/>
  </r>
  <r>
    <x v="6"/>
    <x v="1"/>
  </r>
  <r>
    <x v="3"/>
    <x v="1"/>
  </r>
  <r>
    <x v="4"/>
    <x v="1"/>
  </r>
  <r>
    <x v="3"/>
    <x v="1"/>
  </r>
  <r>
    <x v="7"/>
    <x v="1"/>
  </r>
  <r>
    <x v="1"/>
    <x v="1"/>
  </r>
  <r>
    <x v="10"/>
    <x v="1"/>
  </r>
  <r>
    <x v="12"/>
    <x v="1"/>
  </r>
  <r>
    <x v="3"/>
    <x v="1"/>
  </r>
  <r>
    <x v="8"/>
    <x v="1"/>
  </r>
  <r>
    <x v="5"/>
    <x v="1"/>
  </r>
  <r>
    <x v="5"/>
    <x v="1"/>
  </r>
  <r>
    <x v="1"/>
    <x v="1"/>
  </r>
  <r>
    <x v="4"/>
    <x v="1"/>
  </r>
  <r>
    <x v="7"/>
    <x v="1"/>
  </r>
  <r>
    <x v="2"/>
    <x v="1"/>
  </r>
  <r>
    <x v="12"/>
    <x v="1"/>
  </r>
  <r>
    <x v="0"/>
    <x v="1"/>
  </r>
  <r>
    <x v="8"/>
    <x v="1"/>
  </r>
  <r>
    <x v="2"/>
    <x v="1"/>
  </r>
  <r>
    <x v="4"/>
    <x v="1"/>
  </r>
  <r>
    <x v="11"/>
    <x v="1"/>
  </r>
  <r>
    <x v="8"/>
    <x v="1"/>
  </r>
  <r>
    <x v="12"/>
    <x v="1"/>
  </r>
  <r>
    <x v="0"/>
    <x v="1"/>
  </r>
  <r>
    <x v="7"/>
    <x v="1"/>
  </r>
  <r>
    <x v="1"/>
    <x v="1"/>
  </r>
  <r>
    <x v="8"/>
    <x v="1"/>
  </r>
  <r>
    <x v="9"/>
    <x v="1"/>
  </r>
  <r>
    <x v="12"/>
    <x v="1"/>
  </r>
  <r>
    <x v="4"/>
    <x v="1"/>
  </r>
  <r>
    <x v="10"/>
    <x v="1"/>
  </r>
  <r>
    <x v="4"/>
    <x v="1"/>
  </r>
  <r>
    <x v="2"/>
    <x v="1"/>
  </r>
  <r>
    <x v="12"/>
    <x v="1"/>
  </r>
  <r>
    <x v="7"/>
    <x v="1"/>
  </r>
  <r>
    <x v="12"/>
    <x v="1"/>
  </r>
  <r>
    <x v="7"/>
    <x v="1"/>
  </r>
  <r>
    <x v="4"/>
    <x v="1"/>
  </r>
  <r>
    <x v="1"/>
    <x v="1"/>
  </r>
  <r>
    <x v="4"/>
    <x v="1"/>
  </r>
  <r>
    <x v="3"/>
    <x v="1"/>
  </r>
  <r>
    <x v="5"/>
    <x v="1"/>
  </r>
  <r>
    <x v="1"/>
    <x v="1"/>
  </r>
  <r>
    <x v="7"/>
    <x v="1"/>
  </r>
  <r>
    <x v="3"/>
    <x v="1"/>
  </r>
  <r>
    <x v="0"/>
    <x v="1"/>
  </r>
  <r>
    <x v="8"/>
    <x v="1"/>
  </r>
  <r>
    <x v="3"/>
    <x v="1"/>
  </r>
  <r>
    <x v="5"/>
    <x v="1"/>
  </r>
  <r>
    <x v="5"/>
    <x v="1"/>
  </r>
  <r>
    <x v="8"/>
    <x v="1"/>
  </r>
  <r>
    <x v="2"/>
    <x v="1"/>
  </r>
  <r>
    <x v="1"/>
    <x v="1"/>
  </r>
  <r>
    <x v="11"/>
    <x v="1"/>
  </r>
  <r>
    <x v="6"/>
    <x v="1"/>
  </r>
  <r>
    <x v="0"/>
    <x v="1"/>
  </r>
  <r>
    <x v="3"/>
    <x v="1"/>
  </r>
  <r>
    <x v="0"/>
    <x v="1"/>
  </r>
  <r>
    <x v="6"/>
    <x v="1"/>
  </r>
  <r>
    <x v="10"/>
    <x v="1"/>
  </r>
  <r>
    <x v="6"/>
    <x v="1"/>
  </r>
  <r>
    <x v="8"/>
    <x v="1"/>
  </r>
  <r>
    <x v="12"/>
    <x v="1"/>
  </r>
  <r>
    <x v="2"/>
    <x v="1"/>
  </r>
  <r>
    <x v="9"/>
    <x v="1"/>
  </r>
  <r>
    <x v="10"/>
    <x v="1"/>
  </r>
  <r>
    <x v="7"/>
    <x v="1"/>
  </r>
  <r>
    <x v="3"/>
    <x v="1"/>
  </r>
  <r>
    <x v="1"/>
    <x v="1"/>
  </r>
  <r>
    <x v="0"/>
    <x v="1"/>
  </r>
  <r>
    <x v="7"/>
    <x v="1"/>
  </r>
  <r>
    <x v="1"/>
    <x v="1"/>
  </r>
  <r>
    <x v="1"/>
    <x v="1"/>
  </r>
  <r>
    <x v="8"/>
    <x v="1"/>
  </r>
  <r>
    <x v="8"/>
    <x v="1"/>
  </r>
  <r>
    <x v="6"/>
    <x v="1"/>
  </r>
  <r>
    <x v="6"/>
    <x v="1"/>
  </r>
  <r>
    <x v="12"/>
    <x v="1"/>
  </r>
  <r>
    <x v="12"/>
    <x v="1"/>
  </r>
  <r>
    <x v="11"/>
    <x v="1"/>
  </r>
  <r>
    <x v="1"/>
    <x v="1"/>
  </r>
  <r>
    <x v="6"/>
    <x v="1"/>
  </r>
  <r>
    <x v="8"/>
    <x v="1"/>
  </r>
  <r>
    <x v="7"/>
    <x v="1"/>
  </r>
  <r>
    <x v="7"/>
    <x v="1"/>
  </r>
  <r>
    <x v="9"/>
    <x v="1"/>
  </r>
  <r>
    <x v="6"/>
    <x v="1"/>
  </r>
  <r>
    <x v="7"/>
    <x v="1"/>
  </r>
  <r>
    <x v="10"/>
    <x v="1"/>
  </r>
  <r>
    <x v="10"/>
    <x v="1"/>
  </r>
  <r>
    <x v="2"/>
    <x v="1"/>
  </r>
  <r>
    <x v="8"/>
    <x v="1"/>
  </r>
  <r>
    <x v="11"/>
    <x v="1"/>
  </r>
  <r>
    <x v="5"/>
    <x v="1"/>
  </r>
  <r>
    <x v="4"/>
    <x v="1"/>
  </r>
  <r>
    <x v="0"/>
    <x v="1"/>
  </r>
  <r>
    <x v="3"/>
    <x v="1"/>
  </r>
  <r>
    <x v="11"/>
    <x v="1"/>
  </r>
  <r>
    <x v="12"/>
    <x v="1"/>
  </r>
  <r>
    <x v="5"/>
    <x v="1"/>
  </r>
  <r>
    <x v="6"/>
    <x v="1"/>
  </r>
  <r>
    <x v="6"/>
    <x v="1"/>
  </r>
  <r>
    <x v="5"/>
    <x v="1"/>
  </r>
  <r>
    <x v="9"/>
    <x v="1"/>
  </r>
  <r>
    <x v="6"/>
    <x v="1"/>
  </r>
  <r>
    <x v="4"/>
    <x v="1"/>
  </r>
  <r>
    <x v="5"/>
    <x v="1"/>
  </r>
  <r>
    <x v="10"/>
    <x v="1"/>
  </r>
  <r>
    <x v="12"/>
    <x v="1"/>
  </r>
  <r>
    <x v="3"/>
    <x v="1"/>
  </r>
  <r>
    <x v="3"/>
    <x v="1"/>
  </r>
  <r>
    <x v="5"/>
    <x v="1"/>
  </r>
  <r>
    <x v="12"/>
    <x v="1"/>
  </r>
  <r>
    <x v="1"/>
    <x v="1"/>
  </r>
  <r>
    <x v="11"/>
    <x v="1"/>
  </r>
  <r>
    <x v="10"/>
    <x v="1"/>
  </r>
  <r>
    <x v="11"/>
    <x v="1"/>
  </r>
  <r>
    <x v="6"/>
    <x v="1"/>
  </r>
  <r>
    <x v="0"/>
    <x v="1"/>
  </r>
  <r>
    <x v="9"/>
    <x v="1"/>
  </r>
  <r>
    <x v="9"/>
    <x v="1"/>
  </r>
  <r>
    <x v="9"/>
    <x v="1"/>
  </r>
  <r>
    <x v="3"/>
    <x v="1"/>
  </r>
  <r>
    <x v="4"/>
    <x v="1"/>
  </r>
  <r>
    <x v="10"/>
    <x v="1"/>
  </r>
  <r>
    <x v="0"/>
    <x v="1"/>
  </r>
  <r>
    <x v="10"/>
    <x v="1"/>
  </r>
  <r>
    <x v="5"/>
    <x v="1"/>
  </r>
  <r>
    <x v="6"/>
    <x v="1"/>
  </r>
  <r>
    <x v="7"/>
    <x v="1"/>
  </r>
  <r>
    <x v="0"/>
    <x v="1"/>
  </r>
  <r>
    <x v="2"/>
    <x v="1"/>
  </r>
  <r>
    <x v="1"/>
    <x v="1"/>
  </r>
  <r>
    <x v="5"/>
    <x v="1"/>
  </r>
  <r>
    <x v="7"/>
    <x v="1"/>
  </r>
  <r>
    <x v="5"/>
    <x v="1"/>
  </r>
  <r>
    <x v="8"/>
    <x v="1"/>
  </r>
  <r>
    <x v="3"/>
    <x v="1"/>
  </r>
  <r>
    <x v="6"/>
    <x v="1"/>
  </r>
  <r>
    <x v="11"/>
    <x v="1"/>
  </r>
  <r>
    <x v="1"/>
    <x v="1"/>
  </r>
  <r>
    <x v="3"/>
    <x v="1"/>
  </r>
  <r>
    <x v="2"/>
    <x v="1"/>
  </r>
  <r>
    <x v="12"/>
    <x v="1"/>
  </r>
  <r>
    <x v="6"/>
    <x v="1"/>
  </r>
  <r>
    <x v="7"/>
    <x v="1"/>
  </r>
  <r>
    <x v="12"/>
    <x v="1"/>
  </r>
  <r>
    <x v="6"/>
    <x v="1"/>
  </r>
  <r>
    <x v="9"/>
    <x v="1"/>
  </r>
  <r>
    <x v="5"/>
    <x v="1"/>
  </r>
  <r>
    <x v="6"/>
    <x v="1"/>
  </r>
  <r>
    <x v="3"/>
    <x v="1"/>
  </r>
  <r>
    <x v="11"/>
    <x v="1"/>
  </r>
  <r>
    <x v="0"/>
    <x v="1"/>
  </r>
  <r>
    <x v="2"/>
    <x v="1"/>
  </r>
  <r>
    <x v="10"/>
    <x v="1"/>
  </r>
  <r>
    <x v="2"/>
    <x v="1"/>
  </r>
  <r>
    <x v="9"/>
    <x v="1"/>
  </r>
  <r>
    <x v="5"/>
    <x v="1"/>
  </r>
  <r>
    <x v="1"/>
    <x v="1"/>
  </r>
  <r>
    <x v="9"/>
    <x v="1"/>
  </r>
  <r>
    <x v="8"/>
    <x v="1"/>
  </r>
  <r>
    <x v="3"/>
    <x v="1"/>
  </r>
  <r>
    <x v="0"/>
    <x v="1"/>
  </r>
  <r>
    <x v="6"/>
    <x v="1"/>
  </r>
  <r>
    <x v="12"/>
    <x v="1"/>
  </r>
  <r>
    <x v="0"/>
    <x v="1"/>
  </r>
  <r>
    <x v="10"/>
    <x v="1"/>
  </r>
  <r>
    <x v="2"/>
    <x v="1"/>
  </r>
  <r>
    <x v="0"/>
    <x v="1"/>
  </r>
  <r>
    <x v="10"/>
    <x v="1"/>
  </r>
  <r>
    <x v="3"/>
    <x v="1"/>
  </r>
  <r>
    <x v="7"/>
    <x v="1"/>
  </r>
  <r>
    <x v="5"/>
    <x v="1"/>
  </r>
  <r>
    <x v="8"/>
    <x v="1"/>
  </r>
  <r>
    <x v="4"/>
    <x v="1"/>
  </r>
  <r>
    <x v="11"/>
    <x v="1"/>
  </r>
  <r>
    <x v="10"/>
    <x v="1"/>
  </r>
  <r>
    <x v="8"/>
    <x v="1"/>
  </r>
  <r>
    <x v="7"/>
    <x v="1"/>
  </r>
  <r>
    <x v="1"/>
    <x v="1"/>
  </r>
  <r>
    <x v="8"/>
    <x v="1"/>
  </r>
  <r>
    <x v="2"/>
    <x v="1"/>
  </r>
  <r>
    <x v="12"/>
    <x v="1"/>
  </r>
  <r>
    <x v="0"/>
    <x v="1"/>
  </r>
  <r>
    <x v="9"/>
    <x v="1"/>
  </r>
  <r>
    <x v="11"/>
    <x v="1"/>
  </r>
  <r>
    <x v="6"/>
    <x v="2"/>
  </r>
  <r>
    <x v="8"/>
    <x v="2"/>
  </r>
  <r>
    <x v="3"/>
    <x v="2"/>
  </r>
  <r>
    <x v="1"/>
    <x v="2"/>
  </r>
  <r>
    <x v="8"/>
    <x v="2"/>
  </r>
  <r>
    <x v="8"/>
    <x v="2"/>
  </r>
  <r>
    <x v="7"/>
    <x v="2"/>
  </r>
  <r>
    <x v="11"/>
    <x v="2"/>
  </r>
  <r>
    <x v="3"/>
    <x v="2"/>
  </r>
  <r>
    <x v="0"/>
    <x v="2"/>
  </r>
  <r>
    <x v="7"/>
    <x v="2"/>
  </r>
  <r>
    <x v="5"/>
    <x v="2"/>
  </r>
  <r>
    <x v="3"/>
    <x v="2"/>
  </r>
  <r>
    <x v="9"/>
    <x v="2"/>
  </r>
  <r>
    <x v="5"/>
    <x v="2"/>
  </r>
  <r>
    <x v="0"/>
    <x v="2"/>
  </r>
  <r>
    <x v="12"/>
    <x v="2"/>
  </r>
  <r>
    <x v="1"/>
    <x v="2"/>
  </r>
  <r>
    <x v="1"/>
    <x v="2"/>
  </r>
  <r>
    <x v="10"/>
    <x v="2"/>
  </r>
  <r>
    <x v="0"/>
    <x v="2"/>
  </r>
  <r>
    <x v="10"/>
    <x v="2"/>
  </r>
  <r>
    <x v="9"/>
    <x v="2"/>
  </r>
  <r>
    <x v="4"/>
    <x v="2"/>
  </r>
  <r>
    <x v="10"/>
    <x v="2"/>
  </r>
  <r>
    <x v="5"/>
    <x v="2"/>
  </r>
  <r>
    <x v="9"/>
    <x v="2"/>
  </r>
  <r>
    <x v="6"/>
    <x v="2"/>
  </r>
  <r>
    <x v="6"/>
    <x v="2"/>
  </r>
  <r>
    <x v="0"/>
    <x v="2"/>
  </r>
  <r>
    <x v="0"/>
    <x v="2"/>
  </r>
  <r>
    <x v="4"/>
    <x v="2"/>
  </r>
  <r>
    <x v="8"/>
    <x v="2"/>
  </r>
  <r>
    <x v="3"/>
    <x v="2"/>
  </r>
  <r>
    <x v="8"/>
    <x v="2"/>
  </r>
  <r>
    <x v="3"/>
    <x v="2"/>
  </r>
  <r>
    <x v="10"/>
    <x v="2"/>
  </r>
  <r>
    <x v="9"/>
    <x v="2"/>
  </r>
  <r>
    <x v="3"/>
    <x v="2"/>
  </r>
  <r>
    <x v="10"/>
    <x v="2"/>
  </r>
  <r>
    <x v="6"/>
    <x v="2"/>
  </r>
  <r>
    <x v="8"/>
    <x v="2"/>
  </r>
  <r>
    <x v="12"/>
    <x v="2"/>
  </r>
  <r>
    <x v="10"/>
    <x v="2"/>
  </r>
  <r>
    <x v="0"/>
    <x v="2"/>
  </r>
  <r>
    <x v="6"/>
    <x v="2"/>
  </r>
  <r>
    <x v="8"/>
    <x v="2"/>
  </r>
  <r>
    <x v="2"/>
    <x v="2"/>
  </r>
  <r>
    <x v="6"/>
    <x v="2"/>
  </r>
  <r>
    <x v="5"/>
    <x v="2"/>
  </r>
  <r>
    <x v="11"/>
    <x v="2"/>
  </r>
  <r>
    <x v="12"/>
    <x v="2"/>
  </r>
  <r>
    <x v="10"/>
    <x v="2"/>
  </r>
  <r>
    <x v="0"/>
    <x v="2"/>
  </r>
  <r>
    <x v="3"/>
    <x v="2"/>
  </r>
  <r>
    <x v="10"/>
    <x v="2"/>
  </r>
  <r>
    <x v="8"/>
    <x v="2"/>
  </r>
  <r>
    <x v="0"/>
    <x v="2"/>
  </r>
  <r>
    <x v="0"/>
    <x v="2"/>
  </r>
  <r>
    <x v="1"/>
    <x v="2"/>
  </r>
  <r>
    <x v="4"/>
    <x v="2"/>
  </r>
  <r>
    <x v="11"/>
    <x v="2"/>
  </r>
  <r>
    <x v="5"/>
    <x v="2"/>
  </r>
  <r>
    <x v="12"/>
    <x v="2"/>
  </r>
  <r>
    <x v="7"/>
    <x v="2"/>
  </r>
  <r>
    <x v="5"/>
    <x v="2"/>
  </r>
  <r>
    <x v="2"/>
    <x v="2"/>
  </r>
  <r>
    <x v="0"/>
    <x v="2"/>
  </r>
  <r>
    <x v="5"/>
    <x v="2"/>
  </r>
  <r>
    <x v="5"/>
    <x v="2"/>
  </r>
  <r>
    <x v="6"/>
    <x v="2"/>
  </r>
  <r>
    <x v="1"/>
    <x v="2"/>
  </r>
  <r>
    <x v="1"/>
    <x v="2"/>
  </r>
  <r>
    <x v="5"/>
    <x v="2"/>
  </r>
  <r>
    <x v="7"/>
    <x v="2"/>
  </r>
  <r>
    <x v="9"/>
    <x v="2"/>
  </r>
  <r>
    <x v="11"/>
    <x v="2"/>
  </r>
  <r>
    <x v="4"/>
    <x v="2"/>
  </r>
  <r>
    <x v="9"/>
    <x v="2"/>
  </r>
  <r>
    <x v="4"/>
    <x v="2"/>
  </r>
  <r>
    <x v="10"/>
    <x v="2"/>
  </r>
  <r>
    <x v="8"/>
    <x v="2"/>
  </r>
  <r>
    <x v="9"/>
    <x v="2"/>
  </r>
  <r>
    <x v="8"/>
    <x v="2"/>
  </r>
  <r>
    <x v="11"/>
    <x v="2"/>
  </r>
  <r>
    <x v="5"/>
    <x v="2"/>
  </r>
  <r>
    <x v="7"/>
    <x v="2"/>
  </r>
  <r>
    <x v="3"/>
    <x v="2"/>
  </r>
  <r>
    <x v="11"/>
    <x v="2"/>
  </r>
  <r>
    <x v="3"/>
    <x v="2"/>
  </r>
  <r>
    <x v="6"/>
    <x v="2"/>
  </r>
  <r>
    <x v="2"/>
    <x v="2"/>
  </r>
  <r>
    <x v="4"/>
    <x v="2"/>
  </r>
  <r>
    <x v="7"/>
    <x v="2"/>
  </r>
  <r>
    <x v="6"/>
    <x v="2"/>
  </r>
  <r>
    <x v="12"/>
    <x v="2"/>
  </r>
  <r>
    <x v="9"/>
    <x v="2"/>
  </r>
  <r>
    <x v="10"/>
    <x v="2"/>
  </r>
  <r>
    <x v="6"/>
    <x v="2"/>
  </r>
  <r>
    <x v="8"/>
    <x v="2"/>
  </r>
  <r>
    <x v="5"/>
    <x v="2"/>
  </r>
  <r>
    <x v="4"/>
    <x v="2"/>
  </r>
  <r>
    <x v="6"/>
    <x v="2"/>
  </r>
  <r>
    <x v="4"/>
    <x v="2"/>
  </r>
  <r>
    <x v="4"/>
    <x v="2"/>
  </r>
  <r>
    <x v="9"/>
    <x v="2"/>
  </r>
  <r>
    <x v="4"/>
    <x v="2"/>
  </r>
  <r>
    <x v="10"/>
    <x v="2"/>
  </r>
  <r>
    <x v="12"/>
    <x v="2"/>
  </r>
  <r>
    <x v="5"/>
    <x v="2"/>
  </r>
  <r>
    <x v="3"/>
    <x v="2"/>
  </r>
  <r>
    <x v="7"/>
    <x v="2"/>
  </r>
  <r>
    <x v="12"/>
    <x v="2"/>
  </r>
  <r>
    <x v="1"/>
    <x v="2"/>
  </r>
  <r>
    <x v="2"/>
    <x v="2"/>
  </r>
  <r>
    <x v="5"/>
    <x v="2"/>
  </r>
  <r>
    <x v="12"/>
    <x v="2"/>
  </r>
  <r>
    <x v="7"/>
    <x v="2"/>
  </r>
  <r>
    <x v="0"/>
    <x v="2"/>
  </r>
  <r>
    <x v="3"/>
    <x v="2"/>
  </r>
  <r>
    <x v="0"/>
    <x v="2"/>
  </r>
  <r>
    <x v="0"/>
    <x v="2"/>
  </r>
  <r>
    <x v="9"/>
    <x v="2"/>
  </r>
  <r>
    <x v="2"/>
    <x v="2"/>
  </r>
  <r>
    <x v="9"/>
    <x v="2"/>
  </r>
  <r>
    <x v="10"/>
    <x v="2"/>
  </r>
  <r>
    <x v="10"/>
    <x v="2"/>
  </r>
  <r>
    <x v="4"/>
    <x v="2"/>
  </r>
  <r>
    <x v="4"/>
    <x v="2"/>
  </r>
  <r>
    <x v="1"/>
    <x v="2"/>
  </r>
  <r>
    <x v="10"/>
    <x v="2"/>
  </r>
  <r>
    <x v="10"/>
    <x v="2"/>
  </r>
  <r>
    <x v="8"/>
    <x v="2"/>
  </r>
  <r>
    <x v="1"/>
    <x v="2"/>
  </r>
  <r>
    <x v="9"/>
    <x v="2"/>
  </r>
  <r>
    <x v="12"/>
    <x v="2"/>
  </r>
  <r>
    <x v="4"/>
    <x v="2"/>
  </r>
  <r>
    <x v="10"/>
    <x v="2"/>
  </r>
  <r>
    <x v="12"/>
    <x v="2"/>
  </r>
  <r>
    <x v="3"/>
    <x v="2"/>
  </r>
  <r>
    <x v="10"/>
    <x v="2"/>
  </r>
  <r>
    <x v="11"/>
    <x v="2"/>
  </r>
  <r>
    <x v="2"/>
    <x v="2"/>
  </r>
  <r>
    <x v="10"/>
    <x v="2"/>
  </r>
  <r>
    <x v="8"/>
    <x v="2"/>
  </r>
  <r>
    <x v="9"/>
    <x v="2"/>
  </r>
  <r>
    <x v="5"/>
    <x v="2"/>
  </r>
  <r>
    <x v="4"/>
    <x v="2"/>
  </r>
  <r>
    <x v="8"/>
    <x v="2"/>
  </r>
  <r>
    <x v="1"/>
    <x v="2"/>
  </r>
  <r>
    <x v="5"/>
    <x v="2"/>
  </r>
  <r>
    <x v="1"/>
    <x v="2"/>
  </r>
  <r>
    <x v="2"/>
    <x v="2"/>
  </r>
  <r>
    <x v="2"/>
    <x v="2"/>
  </r>
  <r>
    <x v="1"/>
    <x v="2"/>
  </r>
  <r>
    <x v="7"/>
    <x v="2"/>
  </r>
  <r>
    <x v="9"/>
    <x v="2"/>
  </r>
  <r>
    <x v="3"/>
    <x v="2"/>
  </r>
  <r>
    <x v="8"/>
    <x v="2"/>
  </r>
  <r>
    <x v="5"/>
    <x v="2"/>
  </r>
  <r>
    <x v="6"/>
    <x v="2"/>
  </r>
  <r>
    <x v="3"/>
    <x v="2"/>
  </r>
  <r>
    <x v="0"/>
    <x v="2"/>
  </r>
  <r>
    <x v="11"/>
    <x v="2"/>
  </r>
  <r>
    <x v="11"/>
    <x v="2"/>
  </r>
  <r>
    <x v="3"/>
    <x v="2"/>
  </r>
  <r>
    <x v="3"/>
    <x v="2"/>
  </r>
  <r>
    <x v="8"/>
    <x v="2"/>
  </r>
  <r>
    <x v="10"/>
    <x v="2"/>
  </r>
  <r>
    <x v="9"/>
    <x v="2"/>
  </r>
  <r>
    <x v="9"/>
    <x v="2"/>
  </r>
  <r>
    <x v="11"/>
    <x v="2"/>
  </r>
  <r>
    <x v="6"/>
    <x v="2"/>
  </r>
  <r>
    <x v="1"/>
    <x v="2"/>
  </r>
  <r>
    <x v="10"/>
    <x v="2"/>
  </r>
  <r>
    <x v="12"/>
    <x v="2"/>
  </r>
  <r>
    <x v="1"/>
    <x v="2"/>
  </r>
  <r>
    <x v="2"/>
    <x v="2"/>
  </r>
  <r>
    <x v="4"/>
    <x v="2"/>
  </r>
  <r>
    <x v="1"/>
    <x v="2"/>
  </r>
  <r>
    <x v="1"/>
    <x v="2"/>
  </r>
  <r>
    <x v="8"/>
    <x v="2"/>
  </r>
  <r>
    <x v="4"/>
    <x v="2"/>
  </r>
  <r>
    <x v="8"/>
    <x v="2"/>
  </r>
  <r>
    <x v="0"/>
    <x v="2"/>
  </r>
  <r>
    <x v="2"/>
    <x v="2"/>
  </r>
  <r>
    <x v="1"/>
    <x v="2"/>
  </r>
  <r>
    <x v="8"/>
    <x v="2"/>
  </r>
  <r>
    <x v="4"/>
    <x v="2"/>
  </r>
  <r>
    <x v="0"/>
    <x v="2"/>
  </r>
  <r>
    <x v="6"/>
    <x v="2"/>
  </r>
  <r>
    <x v="6"/>
    <x v="2"/>
  </r>
  <r>
    <x v="10"/>
    <x v="2"/>
  </r>
  <r>
    <x v="0"/>
    <x v="2"/>
  </r>
  <r>
    <x v="4"/>
    <x v="2"/>
  </r>
  <r>
    <x v="6"/>
    <x v="2"/>
  </r>
  <r>
    <x v="0"/>
    <x v="2"/>
  </r>
  <r>
    <x v="4"/>
    <x v="2"/>
  </r>
  <r>
    <x v="8"/>
    <x v="2"/>
  </r>
  <r>
    <x v="11"/>
    <x v="2"/>
  </r>
  <r>
    <x v="9"/>
    <x v="2"/>
  </r>
  <r>
    <x v="8"/>
    <x v="2"/>
  </r>
  <r>
    <x v="11"/>
    <x v="2"/>
  </r>
  <r>
    <x v="6"/>
    <x v="2"/>
  </r>
  <r>
    <x v="12"/>
    <x v="2"/>
  </r>
  <r>
    <x v="9"/>
    <x v="2"/>
  </r>
  <r>
    <x v="8"/>
    <x v="2"/>
  </r>
  <r>
    <x v="11"/>
    <x v="2"/>
  </r>
  <r>
    <x v="8"/>
    <x v="2"/>
  </r>
  <r>
    <x v="2"/>
    <x v="2"/>
  </r>
  <r>
    <x v="0"/>
    <x v="2"/>
  </r>
  <r>
    <x v="5"/>
    <x v="2"/>
  </r>
  <r>
    <x v="3"/>
    <x v="2"/>
  </r>
  <r>
    <x v="0"/>
    <x v="2"/>
  </r>
  <r>
    <x v="4"/>
    <x v="2"/>
  </r>
  <r>
    <x v="4"/>
    <x v="2"/>
  </r>
  <r>
    <x v="11"/>
    <x v="2"/>
  </r>
  <r>
    <x v="6"/>
    <x v="2"/>
  </r>
  <r>
    <x v="5"/>
    <x v="2"/>
  </r>
  <r>
    <x v="7"/>
    <x v="2"/>
  </r>
  <r>
    <x v="12"/>
    <x v="2"/>
  </r>
  <r>
    <x v="8"/>
    <x v="2"/>
  </r>
  <r>
    <x v="0"/>
    <x v="2"/>
  </r>
  <r>
    <x v="4"/>
    <x v="2"/>
  </r>
  <r>
    <x v="4"/>
    <x v="2"/>
  </r>
  <r>
    <x v="4"/>
    <x v="2"/>
  </r>
  <r>
    <x v="11"/>
    <x v="2"/>
  </r>
  <r>
    <x v="10"/>
    <x v="2"/>
  </r>
  <r>
    <x v="8"/>
    <x v="2"/>
  </r>
  <r>
    <x v="10"/>
    <x v="2"/>
  </r>
  <r>
    <x v="2"/>
    <x v="2"/>
  </r>
  <r>
    <x v="2"/>
    <x v="2"/>
  </r>
  <r>
    <x v="8"/>
    <x v="2"/>
  </r>
  <r>
    <x v="3"/>
    <x v="2"/>
  </r>
  <r>
    <x v="9"/>
    <x v="2"/>
  </r>
  <r>
    <x v="11"/>
    <x v="2"/>
  </r>
  <r>
    <x v="3"/>
    <x v="2"/>
  </r>
  <r>
    <x v="7"/>
    <x v="2"/>
  </r>
  <r>
    <x v="11"/>
    <x v="2"/>
  </r>
  <r>
    <x v="10"/>
    <x v="2"/>
  </r>
  <r>
    <x v="6"/>
    <x v="2"/>
  </r>
  <r>
    <x v="3"/>
    <x v="2"/>
  </r>
  <r>
    <x v="2"/>
    <x v="2"/>
  </r>
  <r>
    <x v="12"/>
    <x v="2"/>
  </r>
  <r>
    <x v="6"/>
    <x v="2"/>
  </r>
  <r>
    <x v="7"/>
    <x v="2"/>
  </r>
  <r>
    <x v="6"/>
    <x v="2"/>
  </r>
  <r>
    <x v="3"/>
    <x v="2"/>
  </r>
  <r>
    <x v="8"/>
    <x v="2"/>
  </r>
  <r>
    <x v="0"/>
    <x v="2"/>
  </r>
  <r>
    <x v="1"/>
    <x v="2"/>
  </r>
  <r>
    <x v="7"/>
    <x v="2"/>
  </r>
  <r>
    <x v="12"/>
    <x v="2"/>
  </r>
  <r>
    <x v="3"/>
    <x v="2"/>
  </r>
  <r>
    <x v="11"/>
    <x v="2"/>
  </r>
  <r>
    <x v="9"/>
    <x v="2"/>
  </r>
  <r>
    <x v="11"/>
    <x v="2"/>
  </r>
  <r>
    <x v="7"/>
    <x v="2"/>
  </r>
  <r>
    <x v="8"/>
    <x v="2"/>
  </r>
  <r>
    <x v="11"/>
    <x v="2"/>
  </r>
  <r>
    <x v="11"/>
    <x v="2"/>
  </r>
  <r>
    <x v="5"/>
    <x v="2"/>
  </r>
  <r>
    <x v="3"/>
    <x v="2"/>
  </r>
  <r>
    <x v="4"/>
    <x v="2"/>
  </r>
  <r>
    <x v="9"/>
    <x v="2"/>
  </r>
  <r>
    <x v="4"/>
    <x v="2"/>
  </r>
  <r>
    <x v="1"/>
    <x v="2"/>
  </r>
  <r>
    <x v="1"/>
    <x v="2"/>
  </r>
  <r>
    <x v="1"/>
    <x v="2"/>
  </r>
  <r>
    <x v="4"/>
    <x v="2"/>
  </r>
  <r>
    <x v="12"/>
    <x v="2"/>
  </r>
  <r>
    <x v="4"/>
    <x v="2"/>
  </r>
  <r>
    <x v="5"/>
    <x v="2"/>
  </r>
  <r>
    <x v="10"/>
    <x v="2"/>
  </r>
  <r>
    <x v="4"/>
    <x v="2"/>
  </r>
  <r>
    <x v="10"/>
    <x v="2"/>
  </r>
  <r>
    <x v="11"/>
    <x v="2"/>
  </r>
  <r>
    <x v="3"/>
    <x v="2"/>
  </r>
  <r>
    <x v="12"/>
    <x v="2"/>
  </r>
  <r>
    <x v="2"/>
    <x v="2"/>
  </r>
  <r>
    <x v="2"/>
    <x v="2"/>
  </r>
  <r>
    <x v="8"/>
    <x v="2"/>
  </r>
  <r>
    <x v="1"/>
    <x v="2"/>
  </r>
  <r>
    <x v="10"/>
    <x v="2"/>
  </r>
  <r>
    <x v="1"/>
    <x v="2"/>
  </r>
  <r>
    <x v="3"/>
    <x v="2"/>
  </r>
  <r>
    <x v="3"/>
    <x v="2"/>
  </r>
  <r>
    <x v="11"/>
    <x v="2"/>
  </r>
  <r>
    <x v="2"/>
    <x v="2"/>
  </r>
  <r>
    <x v="7"/>
    <x v="2"/>
  </r>
  <r>
    <x v="9"/>
    <x v="2"/>
  </r>
  <r>
    <x v="11"/>
    <x v="2"/>
  </r>
  <r>
    <x v="5"/>
    <x v="2"/>
  </r>
  <r>
    <x v="7"/>
    <x v="2"/>
  </r>
  <r>
    <x v="7"/>
    <x v="2"/>
  </r>
  <r>
    <x v="5"/>
    <x v="2"/>
  </r>
  <r>
    <x v="0"/>
    <x v="2"/>
  </r>
  <r>
    <x v="7"/>
    <x v="2"/>
  </r>
  <r>
    <x v="0"/>
    <x v="2"/>
  </r>
  <r>
    <x v="5"/>
    <x v="2"/>
  </r>
  <r>
    <x v="1"/>
    <x v="2"/>
  </r>
  <r>
    <x v="3"/>
    <x v="2"/>
  </r>
  <r>
    <x v="5"/>
    <x v="2"/>
  </r>
  <r>
    <x v="1"/>
    <x v="2"/>
  </r>
  <r>
    <x v="5"/>
    <x v="2"/>
  </r>
  <r>
    <x v="10"/>
    <x v="2"/>
  </r>
  <r>
    <x v="6"/>
    <x v="2"/>
  </r>
  <r>
    <x v="0"/>
    <x v="2"/>
  </r>
  <r>
    <x v="6"/>
    <x v="2"/>
  </r>
  <r>
    <x v="11"/>
    <x v="2"/>
  </r>
  <r>
    <x v="9"/>
    <x v="2"/>
  </r>
  <r>
    <x v="12"/>
    <x v="2"/>
  </r>
  <r>
    <x v="9"/>
    <x v="2"/>
  </r>
  <r>
    <x v="6"/>
    <x v="2"/>
  </r>
  <r>
    <x v="9"/>
    <x v="2"/>
  </r>
  <r>
    <x v="2"/>
    <x v="2"/>
  </r>
  <r>
    <x v="3"/>
    <x v="2"/>
  </r>
  <r>
    <x v="6"/>
    <x v="2"/>
  </r>
  <r>
    <x v="1"/>
    <x v="2"/>
  </r>
  <r>
    <x v="10"/>
    <x v="2"/>
  </r>
  <r>
    <x v="8"/>
    <x v="2"/>
  </r>
  <r>
    <x v="6"/>
    <x v="2"/>
  </r>
  <r>
    <x v="3"/>
    <x v="2"/>
  </r>
  <r>
    <x v="8"/>
    <x v="2"/>
  </r>
  <r>
    <x v="10"/>
    <x v="2"/>
  </r>
  <r>
    <x v="3"/>
    <x v="2"/>
  </r>
  <r>
    <x v="9"/>
    <x v="2"/>
  </r>
  <r>
    <x v="0"/>
    <x v="2"/>
  </r>
  <r>
    <x v="2"/>
    <x v="2"/>
  </r>
  <r>
    <x v="9"/>
    <x v="2"/>
  </r>
  <r>
    <x v="10"/>
    <x v="2"/>
  </r>
  <r>
    <x v="8"/>
    <x v="2"/>
  </r>
  <r>
    <x v="11"/>
    <x v="2"/>
  </r>
  <r>
    <x v="5"/>
    <x v="2"/>
  </r>
  <r>
    <x v="1"/>
    <x v="2"/>
  </r>
  <r>
    <x v="0"/>
    <x v="2"/>
  </r>
  <r>
    <x v="10"/>
    <x v="2"/>
  </r>
  <r>
    <x v="5"/>
    <x v="2"/>
  </r>
  <r>
    <x v="8"/>
    <x v="2"/>
  </r>
  <r>
    <x v="4"/>
    <x v="2"/>
  </r>
  <r>
    <x v="7"/>
    <x v="2"/>
  </r>
  <r>
    <x v="6"/>
    <x v="2"/>
  </r>
  <r>
    <x v="11"/>
    <x v="2"/>
  </r>
  <r>
    <x v="8"/>
    <x v="2"/>
  </r>
  <r>
    <x v="6"/>
    <x v="2"/>
  </r>
  <r>
    <x v="6"/>
    <x v="2"/>
  </r>
  <r>
    <x v="7"/>
    <x v="2"/>
  </r>
  <r>
    <x v="12"/>
    <x v="2"/>
  </r>
  <r>
    <x v="9"/>
    <x v="2"/>
  </r>
  <r>
    <x v="3"/>
    <x v="2"/>
  </r>
  <r>
    <x v="2"/>
    <x v="2"/>
  </r>
  <r>
    <x v="7"/>
    <x v="2"/>
  </r>
  <r>
    <x v="1"/>
    <x v="2"/>
  </r>
  <r>
    <x v="12"/>
    <x v="2"/>
  </r>
  <r>
    <x v="10"/>
    <x v="2"/>
  </r>
  <r>
    <x v="11"/>
    <x v="2"/>
  </r>
  <r>
    <x v="3"/>
    <x v="2"/>
  </r>
  <r>
    <x v="2"/>
    <x v="2"/>
  </r>
  <r>
    <x v="9"/>
    <x v="2"/>
  </r>
  <r>
    <x v="9"/>
    <x v="2"/>
  </r>
  <r>
    <x v="2"/>
    <x v="2"/>
  </r>
  <r>
    <x v="7"/>
    <x v="2"/>
  </r>
  <r>
    <x v="10"/>
    <x v="2"/>
  </r>
  <r>
    <x v="8"/>
    <x v="2"/>
  </r>
  <r>
    <x v="6"/>
    <x v="2"/>
  </r>
  <r>
    <x v="3"/>
    <x v="2"/>
  </r>
  <r>
    <x v="4"/>
    <x v="2"/>
  </r>
  <r>
    <x v="8"/>
    <x v="2"/>
  </r>
  <r>
    <x v="4"/>
    <x v="2"/>
  </r>
  <r>
    <x v="5"/>
    <x v="2"/>
  </r>
  <r>
    <x v="6"/>
    <x v="2"/>
  </r>
  <r>
    <x v="8"/>
    <x v="2"/>
  </r>
  <r>
    <x v="0"/>
    <x v="2"/>
  </r>
  <r>
    <x v="0"/>
    <x v="2"/>
  </r>
  <r>
    <x v="1"/>
    <x v="2"/>
  </r>
  <r>
    <x v="0"/>
    <x v="2"/>
  </r>
  <r>
    <x v="12"/>
    <x v="2"/>
  </r>
  <r>
    <x v="0"/>
    <x v="2"/>
  </r>
  <r>
    <x v="8"/>
    <x v="2"/>
  </r>
  <r>
    <x v="11"/>
    <x v="2"/>
  </r>
  <r>
    <x v="9"/>
    <x v="2"/>
  </r>
  <r>
    <x v="3"/>
    <x v="2"/>
  </r>
  <r>
    <x v="11"/>
    <x v="2"/>
  </r>
  <r>
    <x v="9"/>
    <x v="2"/>
  </r>
  <r>
    <x v="4"/>
    <x v="2"/>
  </r>
  <r>
    <x v="7"/>
    <x v="2"/>
  </r>
  <r>
    <x v="10"/>
    <x v="2"/>
  </r>
  <r>
    <x v="6"/>
    <x v="2"/>
  </r>
  <r>
    <x v="11"/>
    <x v="2"/>
  </r>
  <r>
    <x v="3"/>
    <x v="2"/>
  </r>
  <r>
    <x v="11"/>
    <x v="2"/>
  </r>
  <r>
    <x v="12"/>
    <x v="2"/>
  </r>
  <r>
    <x v="9"/>
    <x v="2"/>
  </r>
  <r>
    <x v="12"/>
    <x v="2"/>
  </r>
  <r>
    <x v="1"/>
    <x v="2"/>
  </r>
  <r>
    <x v="11"/>
    <x v="2"/>
  </r>
  <r>
    <x v="9"/>
    <x v="2"/>
  </r>
  <r>
    <x v="3"/>
    <x v="2"/>
  </r>
  <r>
    <x v="1"/>
    <x v="2"/>
  </r>
  <r>
    <x v="5"/>
    <x v="2"/>
  </r>
  <r>
    <x v="5"/>
    <x v="2"/>
  </r>
  <r>
    <x v="9"/>
    <x v="2"/>
  </r>
  <r>
    <x v="10"/>
    <x v="2"/>
  </r>
  <r>
    <x v="1"/>
    <x v="2"/>
  </r>
  <r>
    <x v="3"/>
    <x v="2"/>
  </r>
  <r>
    <x v="7"/>
    <x v="2"/>
  </r>
  <r>
    <x v="11"/>
    <x v="2"/>
  </r>
  <r>
    <x v="11"/>
    <x v="2"/>
  </r>
  <r>
    <x v="8"/>
    <x v="2"/>
  </r>
  <r>
    <x v="9"/>
    <x v="2"/>
  </r>
  <r>
    <x v="2"/>
    <x v="2"/>
  </r>
  <r>
    <x v="3"/>
    <x v="2"/>
  </r>
  <r>
    <x v="2"/>
    <x v="2"/>
  </r>
  <r>
    <x v="9"/>
    <x v="2"/>
  </r>
  <r>
    <x v="0"/>
    <x v="2"/>
  </r>
  <r>
    <x v="8"/>
    <x v="2"/>
  </r>
  <r>
    <x v="3"/>
    <x v="2"/>
  </r>
  <r>
    <x v="9"/>
    <x v="2"/>
  </r>
  <r>
    <x v="11"/>
    <x v="2"/>
  </r>
  <r>
    <x v="10"/>
    <x v="2"/>
  </r>
  <r>
    <x v="0"/>
    <x v="2"/>
  </r>
  <r>
    <x v="0"/>
    <x v="2"/>
  </r>
  <r>
    <x v="7"/>
    <x v="2"/>
  </r>
  <r>
    <x v="11"/>
    <x v="2"/>
  </r>
  <r>
    <x v="11"/>
    <x v="2"/>
  </r>
  <r>
    <x v="12"/>
    <x v="2"/>
  </r>
  <r>
    <x v="1"/>
    <x v="2"/>
  </r>
  <r>
    <x v="0"/>
    <x v="2"/>
  </r>
  <r>
    <x v="5"/>
    <x v="2"/>
  </r>
  <r>
    <x v="10"/>
    <x v="2"/>
  </r>
  <r>
    <x v="10"/>
    <x v="2"/>
  </r>
  <r>
    <x v="8"/>
    <x v="2"/>
  </r>
  <r>
    <x v="3"/>
    <x v="2"/>
  </r>
  <r>
    <x v="7"/>
    <x v="2"/>
  </r>
  <r>
    <x v="2"/>
    <x v="2"/>
  </r>
  <r>
    <x v="9"/>
    <x v="2"/>
  </r>
  <r>
    <x v="1"/>
    <x v="2"/>
  </r>
  <r>
    <x v="0"/>
    <x v="2"/>
  </r>
  <r>
    <x v="0"/>
    <x v="3"/>
  </r>
  <r>
    <x v="6"/>
    <x v="3"/>
  </r>
  <r>
    <x v="9"/>
    <x v="3"/>
  </r>
  <r>
    <x v="12"/>
    <x v="3"/>
  </r>
  <r>
    <x v="4"/>
    <x v="3"/>
  </r>
  <r>
    <x v="11"/>
    <x v="3"/>
  </r>
  <r>
    <x v="4"/>
    <x v="3"/>
  </r>
  <r>
    <x v="1"/>
    <x v="3"/>
  </r>
  <r>
    <x v="7"/>
    <x v="3"/>
  </r>
  <r>
    <x v="10"/>
    <x v="3"/>
  </r>
  <r>
    <x v="5"/>
    <x v="3"/>
  </r>
  <r>
    <x v="8"/>
    <x v="3"/>
  </r>
  <r>
    <x v="1"/>
    <x v="3"/>
  </r>
  <r>
    <x v="0"/>
    <x v="3"/>
  </r>
  <r>
    <x v="12"/>
    <x v="3"/>
  </r>
  <r>
    <x v="10"/>
    <x v="3"/>
  </r>
  <r>
    <x v="4"/>
    <x v="3"/>
  </r>
  <r>
    <x v="2"/>
    <x v="3"/>
  </r>
  <r>
    <x v="6"/>
    <x v="3"/>
  </r>
  <r>
    <x v="5"/>
    <x v="3"/>
  </r>
  <r>
    <x v="1"/>
    <x v="3"/>
  </r>
  <r>
    <x v="2"/>
    <x v="3"/>
  </r>
  <r>
    <x v="7"/>
    <x v="3"/>
  </r>
  <r>
    <x v="3"/>
    <x v="3"/>
  </r>
  <r>
    <x v="9"/>
    <x v="3"/>
  </r>
  <r>
    <x v="2"/>
    <x v="3"/>
  </r>
  <r>
    <x v="2"/>
    <x v="3"/>
  </r>
  <r>
    <x v="8"/>
    <x v="3"/>
  </r>
  <r>
    <x v="11"/>
    <x v="3"/>
  </r>
  <r>
    <x v="3"/>
    <x v="3"/>
  </r>
  <r>
    <x v="2"/>
    <x v="3"/>
  </r>
  <r>
    <x v="4"/>
    <x v="3"/>
  </r>
  <r>
    <x v="9"/>
    <x v="3"/>
  </r>
  <r>
    <x v="2"/>
    <x v="3"/>
  </r>
  <r>
    <x v="10"/>
    <x v="3"/>
  </r>
  <r>
    <x v="7"/>
    <x v="3"/>
  </r>
  <r>
    <x v="8"/>
    <x v="3"/>
  </r>
  <r>
    <x v="6"/>
    <x v="3"/>
  </r>
  <r>
    <x v="1"/>
    <x v="3"/>
  </r>
  <r>
    <x v="4"/>
    <x v="3"/>
  </r>
  <r>
    <x v="9"/>
    <x v="3"/>
  </r>
  <r>
    <x v="7"/>
    <x v="3"/>
  </r>
  <r>
    <x v="2"/>
    <x v="3"/>
  </r>
  <r>
    <x v="11"/>
    <x v="3"/>
  </r>
  <r>
    <x v="0"/>
    <x v="3"/>
  </r>
  <r>
    <x v="0"/>
    <x v="3"/>
  </r>
  <r>
    <x v="3"/>
    <x v="3"/>
  </r>
  <r>
    <x v="1"/>
    <x v="3"/>
  </r>
  <r>
    <x v="1"/>
    <x v="3"/>
  </r>
  <r>
    <x v="11"/>
    <x v="3"/>
  </r>
  <r>
    <x v="8"/>
    <x v="3"/>
  </r>
  <r>
    <x v="7"/>
    <x v="3"/>
  </r>
  <r>
    <x v="2"/>
    <x v="3"/>
  </r>
  <r>
    <x v="3"/>
    <x v="3"/>
  </r>
  <r>
    <x v="8"/>
    <x v="3"/>
  </r>
  <r>
    <x v="5"/>
    <x v="3"/>
  </r>
  <r>
    <x v="1"/>
    <x v="3"/>
  </r>
  <r>
    <x v="8"/>
    <x v="3"/>
  </r>
  <r>
    <x v="2"/>
    <x v="3"/>
  </r>
  <r>
    <x v="9"/>
    <x v="3"/>
  </r>
  <r>
    <x v="0"/>
    <x v="3"/>
  </r>
  <r>
    <x v="6"/>
    <x v="3"/>
  </r>
  <r>
    <x v="12"/>
    <x v="3"/>
  </r>
  <r>
    <x v="7"/>
    <x v="3"/>
  </r>
  <r>
    <x v="2"/>
    <x v="3"/>
  </r>
  <r>
    <x v="0"/>
    <x v="3"/>
  </r>
  <r>
    <x v="2"/>
    <x v="3"/>
  </r>
  <r>
    <x v="2"/>
    <x v="3"/>
  </r>
  <r>
    <x v="0"/>
    <x v="3"/>
  </r>
  <r>
    <x v="11"/>
    <x v="3"/>
  </r>
  <r>
    <x v="9"/>
    <x v="3"/>
  </r>
  <r>
    <x v="10"/>
    <x v="3"/>
  </r>
  <r>
    <x v="2"/>
    <x v="3"/>
  </r>
  <r>
    <x v="12"/>
    <x v="3"/>
  </r>
  <r>
    <x v="4"/>
    <x v="3"/>
  </r>
  <r>
    <x v="2"/>
    <x v="3"/>
  </r>
  <r>
    <x v="7"/>
    <x v="3"/>
  </r>
  <r>
    <x v="4"/>
    <x v="3"/>
  </r>
  <r>
    <x v="3"/>
    <x v="3"/>
  </r>
  <r>
    <x v="6"/>
    <x v="3"/>
  </r>
  <r>
    <x v="1"/>
    <x v="3"/>
  </r>
  <r>
    <x v="3"/>
    <x v="3"/>
  </r>
  <r>
    <x v="10"/>
    <x v="3"/>
  </r>
  <r>
    <x v="10"/>
    <x v="3"/>
  </r>
  <r>
    <x v="0"/>
    <x v="3"/>
  </r>
  <r>
    <x v="0"/>
    <x v="3"/>
  </r>
  <r>
    <x v="2"/>
    <x v="3"/>
  </r>
  <r>
    <x v="2"/>
    <x v="3"/>
  </r>
  <r>
    <x v="0"/>
    <x v="3"/>
  </r>
  <r>
    <x v="6"/>
    <x v="3"/>
  </r>
  <r>
    <x v="2"/>
    <x v="3"/>
  </r>
  <r>
    <x v="0"/>
    <x v="3"/>
  </r>
  <r>
    <x v="7"/>
    <x v="3"/>
  </r>
  <r>
    <x v="3"/>
    <x v="3"/>
  </r>
  <r>
    <x v="6"/>
    <x v="3"/>
  </r>
  <r>
    <x v="10"/>
    <x v="3"/>
  </r>
  <r>
    <x v="2"/>
    <x v="3"/>
  </r>
  <r>
    <x v="0"/>
    <x v="3"/>
  </r>
  <r>
    <x v="6"/>
    <x v="3"/>
  </r>
  <r>
    <x v="5"/>
    <x v="3"/>
  </r>
  <r>
    <x v="6"/>
    <x v="3"/>
  </r>
  <r>
    <x v="2"/>
    <x v="3"/>
  </r>
  <r>
    <x v="3"/>
    <x v="3"/>
  </r>
  <r>
    <x v="12"/>
    <x v="3"/>
  </r>
  <r>
    <x v="8"/>
    <x v="3"/>
  </r>
  <r>
    <x v="1"/>
    <x v="3"/>
  </r>
  <r>
    <x v="2"/>
    <x v="3"/>
  </r>
  <r>
    <x v="4"/>
    <x v="3"/>
  </r>
  <r>
    <x v="0"/>
    <x v="3"/>
  </r>
  <r>
    <x v="12"/>
    <x v="3"/>
  </r>
  <r>
    <x v="2"/>
    <x v="3"/>
  </r>
  <r>
    <x v="2"/>
    <x v="3"/>
  </r>
  <r>
    <x v="0"/>
    <x v="3"/>
  </r>
  <r>
    <x v="11"/>
    <x v="3"/>
  </r>
  <r>
    <x v="11"/>
    <x v="3"/>
  </r>
  <r>
    <x v="8"/>
    <x v="3"/>
  </r>
  <r>
    <x v="12"/>
    <x v="3"/>
  </r>
  <r>
    <x v="1"/>
    <x v="3"/>
  </r>
  <r>
    <x v="12"/>
    <x v="3"/>
  </r>
  <r>
    <x v="9"/>
    <x v="3"/>
  </r>
  <r>
    <x v="0"/>
    <x v="3"/>
  </r>
  <r>
    <x v="9"/>
    <x v="3"/>
  </r>
  <r>
    <x v="10"/>
    <x v="3"/>
  </r>
  <r>
    <x v="10"/>
    <x v="3"/>
  </r>
  <r>
    <x v="9"/>
    <x v="3"/>
  </r>
  <r>
    <x v="2"/>
    <x v="3"/>
  </r>
  <r>
    <x v="3"/>
    <x v="3"/>
  </r>
  <r>
    <x v="4"/>
    <x v="3"/>
  </r>
  <r>
    <x v="6"/>
    <x v="3"/>
  </r>
  <r>
    <x v="1"/>
    <x v="3"/>
  </r>
  <r>
    <x v="5"/>
    <x v="3"/>
  </r>
  <r>
    <x v="8"/>
    <x v="3"/>
  </r>
  <r>
    <x v="6"/>
    <x v="3"/>
  </r>
  <r>
    <x v="12"/>
    <x v="3"/>
  </r>
  <r>
    <x v="6"/>
    <x v="3"/>
  </r>
  <r>
    <x v="5"/>
    <x v="3"/>
  </r>
  <r>
    <x v="3"/>
    <x v="3"/>
  </r>
  <r>
    <x v="8"/>
    <x v="3"/>
  </r>
  <r>
    <x v="11"/>
    <x v="3"/>
  </r>
  <r>
    <x v="11"/>
    <x v="3"/>
  </r>
  <r>
    <x v="4"/>
    <x v="3"/>
  </r>
  <r>
    <x v="11"/>
    <x v="3"/>
  </r>
  <r>
    <x v="6"/>
    <x v="3"/>
  </r>
  <r>
    <x v="6"/>
    <x v="3"/>
  </r>
  <r>
    <x v="0"/>
    <x v="3"/>
  </r>
  <r>
    <x v="7"/>
    <x v="3"/>
  </r>
  <r>
    <x v="0"/>
    <x v="3"/>
  </r>
  <r>
    <x v="5"/>
    <x v="3"/>
  </r>
  <r>
    <x v="1"/>
    <x v="3"/>
  </r>
  <r>
    <x v="5"/>
    <x v="3"/>
  </r>
  <r>
    <x v="4"/>
    <x v="3"/>
  </r>
  <r>
    <x v="11"/>
    <x v="3"/>
  </r>
  <r>
    <x v="1"/>
    <x v="3"/>
  </r>
  <r>
    <x v="11"/>
    <x v="3"/>
  </r>
  <r>
    <x v="2"/>
    <x v="3"/>
  </r>
  <r>
    <x v="4"/>
    <x v="3"/>
  </r>
  <r>
    <x v="3"/>
    <x v="3"/>
  </r>
  <r>
    <x v="12"/>
    <x v="3"/>
  </r>
  <r>
    <x v="5"/>
    <x v="3"/>
  </r>
  <r>
    <x v="5"/>
    <x v="3"/>
  </r>
  <r>
    <x v="8"/>
    <x v="3"/>
  </r>
  <r>
    <x v="7"/>
    <x v="3"/>
  </r>
  <r>
    <x v="1"/>
    <x v="3"/>
  </r>
  <r>
    <x v="8"/>
    <x v="3"/>
  </r>
  <r>
    <x v="5"/>
    <x v="3"/>
  </r>
  <r>
    <x v="12"/>
    <x v="3"/>
  </r>
  <r>
    <x v="0"/>
    <x v="3"/>
  </r>
  <r>
    <x v="6"/>
    <x v="3"/>
  </r>
  <r>
    <x v="5"/>
    <x v="3"/>
  </r>
  <r>
    <x v="9"/>
    <x v="3"/>
  </r>
  <r>
    <x v="6"/>
    <x v="3"/>
  </r>
  <r>
    <x v="11"/>
    <x v="3"/>
  </r>
  <r>
    <x v="8"/>
    <x v="3"/>
  </r>
  <r>
    <x v="9"/>
    <x v="3"/>
  </r>
  <r>
    <x v="4"/>
    <x v="3"/>
  </r>
  <r>
    <x v="0"/>
    <x v="3"/>
  </r>
  <r>
    <x v="8"/>
    <x v="3"/>
  </r>
  <r>
    <x v="10"/>
    <x v="3"/>
  </r>
  <r>
    <x v="10"/>
    <x v="3"/>
  </r>
  <r>
    <x v="3"/>
    <x v="3"/>
  </r>
  <r>
    <x v="6"/>
    <x v="3"/>
  </r>
  <r>
    <x v="9"/>
    <x v="3"/>
  </r>
  <r>
    <x v="10"/>
    <x v="3"/>
  </r>
  <r>
    <x v="3"/>
    <x v="3"/>
  </r>
  <r>
    <x v="4"/>
    <x v="3"/>
  </r>
  <r>
    <x v="12"/>
    <x v="3"/>
  </r>
  <r>
    <x v="2"/>
    <x v="3"/>
  </r>
  <r>
    <x v="3"/>
    <x v="3"/>
  </r>
  <r>
    <x v="11"/>
    <x v="3"/>
  </r>
  <r>
    <x v="3"/>
    <x v="3"/>
  </r>
  <r>
    <x v="2"/>
    <x v="3"/>
  </r>
  <r>
    <x v="0"/>
    <x v="3"/>
  </r>
  <r>
    <x v="5"/>
    <x v="3"/>
  </r>
  <r>
    <x v="1"/>
    <x v="3"/>
  </r>
  <r>
    <x v="5"/>
    <x v="3"/>
  </r>
  <r>
    <x v="2"/>
    <x v="3"/>
  </r>
  <r>
    <x v="6"/>
    <x v="3"/>
  </r>
  <r>
    <x v="9"/>
    <x v="3"/>
  </r>
  <r>
    <x v="7"/>
    <x v="3"/>
  </r>
  <r>
    <x v="2"/>
    <x v="3"/>
  </r>
  <r>
    <x v="0"/>
    <x v="3"/>
  </r>
  <r>
    <x v="6"/>
    <x v="3"/>
  </r>
  <r>
    <x v="3"/>
    <x v="3"/>
  </r>
  <r>
    <x v="4"/>
    <x v="3"/>
  </r>
  <r>
    <x v="9"/>
    <x v="3"/>
  </r>
  <r>
    <x v="0"/>
    <x v="3"/>
  </r>
  <r>
    <x v="8"/>
    <x v="3"/>
  </r>
  <r>
    <x v="2"/>
    <x v="3"/>
  </r>
  <r>
    <x v="7"/>
    <x v="3"/>
  </r>
  <r>
    <x v="0"/>
    <x v="3"/>
  </r>
  <r>
    <x v="5"/>
    <x v="3"/>
  </r>
  <r>
    <x v="1"/>
    <x v="3"/>
  </r>
  <r>
    <x v="6"/>
    <x v="3"/>
  </r>
  <r>
    <x v="4"/>
    <x v="3"/>
  </r>
  <r>
    <x v="11"/>
    <x v="3"/>
  </r>
  <r>
    <x v="6"/>
    <x v="3"/>
  </r>
  <r>
    <x v="10"/>
    <x v="3"/>
  </r>
  <r>
    <x v="8"/>
    <x v="3"/>
  </r>
  <r>
    <x v="12"/>
    <x v="3"/>
  </r>
  <r>
    <x v="12"/>
    <x v="3"/>
  </r>
  <r>
    <x v="9"/>
    <x v="3"/>
  </r>
  <r>
    <x v="3"/>
    <x v="3"/>
  </r>
  <r>
    <x v="1"/>
    <x v="3"/>
  </r>
  <r>
    <x v="3"/>
    <x v="3"/>
  </r>
  <r>
    <x v="0"/>
    <x v="3"/>
  </r>
  <r>
    <x v="1"/>
    <x v="3"/>
  </r>
  <r>
    <x v="3"/>
    <x v="3"/>
  </r>
  <r>
    <x v="7"/>
    <x v="3"/>
  </r>
  <r>
    <x v="9"/>
    <x v="3"/>
  </r>
  <r>
    <x v="4"/>
    <x v="3"/>
  </r>
  <r>
    <x v="6"/>
    <x v="3"/>
  </r>
  <r>
    <x v="7"/>
    <x v="3"/>
  </r>
  <r>
    <x v="7"/>
    <x v="3"/>
  </r>
  <r>
    <x v="12"/>
    <x v="3"/>
  </r>
  <r>
    <x v="5"/>
    <x v="3"/>
  </r>
  <r>
    <x v="7"/>
    <x v="3"/>
  </r>
  <r>
    <x v="5"/>
    <x v="3"/>
  </r>
  <r>
    <x v="12"/>
    <x v="3"/>
  </r>
  <r>
    <x v="6"/>
    <x v="3"/>
  </r>
  <r>
    <x v="10"/>
    <x v="3"/>
  </r>
  <r>
    <x v="0"/>
    <x v="3"/>
  </r>
  <r>
    <x v="3"/>
    <x v="3"/>
  </r>
  <r>
    <x v="10"/>
    <x v="3"/>
  </r>
  <r>
    <x v="3"/>
    <x v="3"/>
  </r>
  <r>
    <x v="6"/>
    <x v="3"/>
  </r>
  <r>
    <x v="8"/>
    <x v="3"/>
  </r>
  <r>
    <x v="12"/>
    <x v="3"/>
  </r>
  <r>
    <x v="2"/>
    <x v="3"/>
  </r>
  <r>
    <x v="12"/>
    <x v="3"/>
  </r>
  <r>
    <x v="1"/>
    <x v="3"/>
  </r>
  <r>
    <x v="3"/>
    <x v="3"/>
  </r>
  <r>
    <x v="6"/>
    <x v="3"/>
  </r>
  <r>
    <x v="8"/>
    <x v="3"/>
  </r>
  <r>
    <x v="2"/>
    <x v="3"/>
  </r>
  <r>
    <x v="1"/>
    <x v="3"/>
  </r>
  <r>
    <x v="9"/>
    <x v="3"/>
  </r>
  <r>
    <x v="10"/>
    <x v="3"/>
  </r>
  <r>
    <x v="12"/>
    <x v="3"/>
  </r>
  <r>
    <x v="6"/>
    <x v="3"/>
  </r>
  <r>
    <x v="6"/>
    <x v="3"/>
  </r>
  <r>
    <x v="0"/>
    <x v="3"/>
  </r>
  <r>
    <x v="9"/>
    <x v="3"/>
  </r>
  <r>
    <x v="10"/>
    <x v="3"/>
  </r>
  <r>
    <x v="6"/>
    <x v="3"/>
  </r>
  <r>
    <x v="10"/>
    <x v="3"/>
  </r>
  <r>
    <x v="10"/>
    <x v="3"/>
  </r>
  <r>
    <x v="12"/>
    <x v="3"/>
  </r>
  <r>
    <x v="4"/>
    <x v="3"/>
  </r>
  <r>
    <x v="12"/>
    <x v="3"/>
  </r>
  <r>
    <x v="3"/>
    <x v="3"/>
  </r>
  <r>
    <x v="2"/>
    <x v="3"/>
  </r>
  <r>
    <x v="2"/>
    <x v="3"/>
  </r>
  <r>
    <x v="3"/>
    <x v="3"/>
  </r>
  <r>
    <x v="10"/>
    <x v="3"/>
  </r>
  <r>
    <x v="5"/>
    <x v="3"/>
  </r>
  <r>
    <x v="0"/>
    <x v="3"/>
  </r>
  <r>
    <x v="10"/>
    <x v="3"/>
  </r>
  <r>
    <x v="3"/>
    <x v="3"/>
  </r>
  <r>
    <x v="0"/>
    <x v="3"/>
  </r>
  <r>
    <x v="1"/>
    <x v="3"/>
  </r>
  <r>
    <x v="11"/>
    <x v="3"/>
  </r>
  <r>
    <x v="4"/>
    <x v="3"/>
  </r>
  <r>
    <x v="1"/>
    <x v="3"/>
  </r>
  <r>
    <x v="11"/>
    <x v="3"/>
  </r>
  <r>
    <x v="5"/>
    <x v="3"/>
  </r>
  <r>
    <x v="5"/>
    <x v="3"/>
  </r>
  <r>
    <x v="7"/>
    <x v="3"/>
  </r>
  <r>
    <x v="12"/>
    <x v="3"/>
  </r>
  <r>
    <x v="7"/>
    <x v="3"/>
  </r>
  <r>
    <x v="7"/>
    <x v="3"/>
  </r>
  <r>
    <x v="8"/>
    <x v="3"/>
  </r>
  <r>
    <x v="5"/>
    <x v="3"/>
  </r>
  <r>
    <x v="4"/>
    <x v="3"/>
  </r>
  <r>
    <x v="3"/>
    <x v="3"/>
  </r>
  <r>
    <x v="12"/>
    <x v="3"/>
  </r>
  <r>
    <x v="4"/>
    <x v="3"/>
  </r>
  <r>
    <x v="2"/>
    <x v="3"/>
  </r>
  <r>
    <x v="5"/>
    <x v="3"/>
  </r>
  <r>
    <x v="1"/>
    <x v="3"/>
  </r>
  <r>
    <x v="1"/>
    <x v="3"/>
  </r>
  <r>
    <x v="5"/>
    <x v="3"/>
  </r>
  <r>
    <x v="11"/>
    <x v="3"/>
  </r>
  <r>
    <x v="12"/>
    <x v="3"/>
  </r>
  <r>
    <x v="8"/>
    <x v="3"/>
  </r>
  <r>
    <x v="0"/>
    <x v="3"/>
  </r>
  <r>
    <x v="1"/>
    <x v="3"/>
  </r>
  <r>
    <x v="7"/>
    <x v="3"/>
  </r>
  <r>
    <x v="9"/>
    <x v="3"/>
  </r>
  <r>
    <x v="2"/>
    <x v="3"/>
  </r>
  <r>
    <x v="8"/>
    <x v="3"/>
  </r>
  <r>
    <x v="8"/>
    <x v="3"/>
  </r>
  <r>
    <x v="2"/>
    <x v="3"/>
  </r>
  <r>
    <x v="3"/>
    <x v="3"/>
  </r>
  <r>
    <x v="9"/>
    <x v="3"/>
  </r>
  <r>
    <x v="10"/>
    <x v="3"/>
  </r>
  <r>
    <x v="9"/>
    <x v="3"/>
  </r>
  <r>
    <x v="11"/>
    <x v="3"/>
  </r>
  <r>
    <x v="12"/>
    <x v="3"/>
  </r>
  <r>
    <x v="5"/>
    <x v="3"/>
  </r>
  <r>
    <x v="0"/>
    <x v="3"/>
  </r>
  <r>
    <x v="4"/>
    <x v="3"/>
  </r>
  <r>
    <x v="3"/>
    <x v="3"/>
  </r>
  <r>
    <x v="12"/>
    <x v="3"/>
  </r>
  <r>
    <x v="8"/>
    <x v="3"/>
  </r>
  <r>
    <x v="0"/>
    <x v="3"/>
  </r>
  <r>
    <x v="5"/>
    <x v="3"/>
  </r>
  <r>
    <x v="4"/>
    <x v="3"/>
  </r>
  <r>
    <x v="2"/>
    <x v="3"/>
  </r>
  <r>
    <x v="6"/>
    <x v="3"/>
  </r>
  <r>
    <x v="0"/>
    <x v="3"/>
  </r>
  <r>
    <x v="8"/>
    <x v="3"/>
  </r>
  <r>
    <x v="10"/>
    <x v="3"/>
  </r>
  <r>
    <x v="2"/>
    <x v="3"/>
  </r>
  <r>
    <x v="5"/>
    <x v="3"/>
  </r>
  <r>
    <x v="9"/>
    <x v="3"/>
  </r>
  <r>
    <x v="8"/>
    <x v="3"/>
  </r>
  <r>
    <x v="7"/>
    <x v="3"/>
  </r>
  <r>
    <x v="0"/>
    <x v="3"/>
  </r>
  <r>
    <x v="4"/>
    <x v="3"/>
  </r>
  <r>
    <x v="11"/>
    <x v="3"/>
  </r>
  <r>
    <x v="2"/>
    <x v="3"/>
  </r>
  <r>
    <x v="10"/>
    <x v="3"/>
  </r>
  <r>
    <x v="2"/>
    <x v="3"/>
  </r>
  <r>
    <x v="8"/>
    <x v="3"/>
  </r>
  <r>
    <x v="8"/>
    <x v="3"/>
  </r>
  <r>
    <x v="0"/>
    <x v="3"/>
  </r>
  <r>
    <x v="6"/>
    <x v="3"/>
  </r>
  <r>
    <x v="9"/>
    <x v="3"/>
  </r>
  <r>
    <x v="1"/>
    <x v="3"/>
  </r>
  <r>
    <x v="4"/>
    <x v="3"/>
  </r>
  <r>
    <x v="1"/>
    <x v="3"/>
  </r>
  <r>
    <x v="5"/>
    <x v="3"/>
  </r>
  <r>
    <x v="3"/>
    <x v="3"/>
  </r>
  <r>
    <x v="10"/>
    <x v="3"/>
  </r>
  <r>
    <x v="8"/>
    <x v="3"/>
  </r>
  <r>
    <x v="11"/>
    <x v="3"/>
  </r>
  <r>
    <x v="1"/>
    <x v="3"/>
  </r>
  <r>
    <x v="10"/>
    <x v="3"/>
  </r>
  <r>
    <x v="2"/>
    <x v="3"/>
  </r>
  <r>
    <x v="11"/>
    <x v="3"/>
  </r>
  <r>
    <x v="12"/>
    <x v="3"/>
  </r>
  <r>
    <x v="2"/>
    <x v="3"/>
  </r>
  <r>
    <x v="8"/>
    <x v="3"/>
  </r>
  <r>
    <x v="11"/>
    <x v="3"/>
  </r>
  <r>
    <x v="9"/>
    <x v="3"/>
  </r>
  <r>
    <x v="12"/>
    <x v="3"/>
  </r>
  <r>
    <x v="2"/>
    <x v="3"/>
  </r>
  <r>
    <x v="8"/>
    <x v="3"/>
  </r>
  <r>
    <x v="0"/>
    <x v="3"/>
  </r>
  <r>
    <x v="1"/>
    <x v="3"/>
  </r>
  <r>
    <x v="7"/>
    <x v="3"/>
  </r>
  <r>
    <x v="0"/>
    <x v="3"/>
  </r>
  <r>
    <x v="0"/>
    <x v="3"/>
  </r>
  <r>
    <x v="6"/>
    <x v="3"/>
  </r>
  <r>
    <x v="1"/>
    <x v="3"/>
  </r>
  <r>
    <x v="9"/>
    <x v="3"/>
  </r>
  <r>
    <x v="9"/>
    <x v="3"/>
  </r>
  <r>
    <x v="6"/>
    <x v="3"/>
  </r>
  <r>
    <x v="1"/>
    <x v="3"/>
  </r>
  <r>
    <x v="6"/>
    <x v="3"/>
  </r>
  <r>
    <x v="6"/>
    <x v="3"/>
  </r>
  <r>
    <x v="12"/>
    <x v="3"/>
  </r>
  <r>
    <x v="5"/>
    <x v="3"/>
  </r>
  <r>
    <x v="6"/>
    <x v="3"/>
  </r>
  <r>
    <x v="9"/>
    <x v="3"/>
  </r>
  <r>
    <x v="3"/>
    <x v="3"/>
  </r>
  <r>
    <x v="12"/>
    <x v="3"/>
  </r>
  <r>
    <x v="12"/>
    <x v="3"/>
  </r>
  <r>
    <x v="11"/>
    <x v="3"/>
  </r>
  <r>
    <x v="1"/>
    <x v="3"/>
  </r>
  <r>
    <x v="4"/>
    <x v="3"/>
  </r>
  <r>
    <x v="2"/>
    <x v="3"/>
  </r>
  <r>
    <x v="8"/>
    <x v="3"/>
  </r>
  <r>
    <x v="2"/>
    <x v="3"/>
  </r>
  <r>
    <x v="2"/>
    <x v="3"/>
  </r>
  <r>
    <x v="2"/>
    <x v="3"/>
  </r>
  <r>
    <x v="6"/>
    <x v="3"/>
  </r>
  <r>
    <x v="9"/>
    <x v="3"/>
  </r>
  <r>
    <x v="5"/>
    <x v="3"/>
  </r>
  <r>
    <x v="5"/>
    <x v="3"/>
  </r>
  <r>
    <x v="1"/>
    <x v="3"/>
  </r>
  <r>
    <x v="1"/>
    <x v="3"/>
  </r>
  <r>
    <x v="6"/>
    <x v="3"/>
  </r>
  <r>
    <x v="2"/>
    <x v="3"/>
  </r>
  <r>
    <x v="10"/>
    <x v="3"/>
  </r>
  <r>
    <x v="3"/>
    <x v="3"/>
  </r>
  <r>
    <x v="2"/>
    <x v="3"/>
  </r>
  <r>
    <x v="10"/>
    <x v="3"/>
  </r>
  <r>
    <x v="7"/>
    <x v="3"/>
  </r>
  <r>
    <x v="2"/>
    <x v="3"/>
  </r>
  <r>
    <x v="6"/>
    <x v="3"/>
  </r>
  <r>
    <x v="5"/>
    <x v="3"/>
  </r>
  <r>
    <x v="9"/>
    <x v="3"/>
  </r>
  <r>
    <x v="12"/>
    <x v="3"/>
  </r>
  <r>
    <x v="9"/>
    <x v="3"/>
  </r>
  <r>
    <x v="12"/>
    <x v="3"/>
  </r>
  <r>
    <x v="11"/>
    <x v="3"/>
  </r>
  <r>
    <x v="11"/>
    <x v="3"/>
  </r>
  <r>
    <x v="11"/>
    <x v="3"/>
  </r>
  <r>
    <x v="2"/>
    <x v="3"/>
  </r>
  <r>
    <x v="2"/>
    <x v="3"/>
  </r>
  <r>
    <x v="6"/>
    <x v="3"/>
  </r>
  <r>
    <x v="1"/>
    <x v="3"/>
  </r>
  <r>
    <x v="1"/>
    <x v="3"/>
  </r>
  <r>
    <x v="6"/>
    <x v="3"/>
  </r>
  <r>
    <x v="5"/>
    <x v="3"/>
  </r>
  <r>
    <x v="5"/>
    <x v="3"/>
  </r>
  <r>
    <x v="10"/>
    <x v="3"/>
  </r>
  <r>
    <x v="2"/>
    <x v="3"/>
  </r>
  <r>
    <x v="4"/>
    <x v="3"/>
  </r>
  <r>
    <x v="6"/>
    <x v="4"/>
  </r>
  <r>
    <x v="9"/>
    <x v="4"/>
  </r>
  <r>
    <x v="7"/>
    <x v="4"/>
  </r>
  <r>
    <x v="11"/>
    <x v="4"/>
  </r>
  <r>
    <x v="8"/>
    <x v="4"/>
  </r>
  <r>
    <x v="5"/>
    <x v="4"/>
  </r>
  <r>
    <x v="9"/>
    <x v="4"/>
  </r>
  <r>
    <x v="5"/>
    <x v="4"/>
  </r>
  <r>
    <x v="5"/>
    <x v="4"/>
  </r>
  <r>
    <x v="10"/>
    <x v="4"/>
  </r>
  <r>
    <x v="2"/>
    <x v="4"/>
  </r>
  <r>
    <x v="12"/>
    <x v="4"/>
  </r>
  <r>
    <x v="8"/>
    <x v="4"/>
  </r>
  <r>
    <x v="7"/>
    <x v="4"/>
  </r>
  <r>
    <x v="9"/>
    <x v="4"/>
  </r>
  <r>
    <x v="3"/>
    <x v="4"/>
  </r>
  <r>
    <x v="0"/>
    <x v="4"/>
  </r>
  <r>
    <x v="5"/>
    <x v="4"/>
  </r>
  <r>
    <x v="6"/>
    <x v="4"/>
  </r>
  <r>
    <x v="9"/>
    <x v="4"/>
  </r>
  <r>
    <x v="0"/>
    <x v="4"/>
  </r>
  <r>
    <x v="8"/>
    <x v="4"/>
  </r>
  <r>
    <x v="9"/>
    <x v="4"/>
  </r>
  <r>
    <x v="1"/>
    <x v="4"/>
  </r>
  <r>
    <x v="12"/>
    <x v="4"/>
  </r>
  <r>
    <x v="12"/>
    <x v="4"/>
  </r>
  <r>
    <x v="7"/>
    <x v="4"/>
  </r>
  <r>
    <x v="10"/>
    <x v="4"/>
  </r>
  <r>
    <x v="0"/>
    <x v="4"/>
  </r>
  <r>
    <x v="9"/>
    <x v="4"/>
  </r>
  <r>
    <x v="7"/>
    <x v="4"/>
  </r>
  <r>
    <x v="11"/>
    <x v="4"/>
  </r>
  <r>
    <x v="10"/>
    <x v="4"/>
  </r>
  <r>
    <x v="1"/>
    <x v="4"/>
  </r>
  <r>
    <x v="9"/>
    <x v="4"/>
  </r>
  <r>
    <x v="8"/>
    <x v="4"/>
  </r>
  <r>
    <x v="6"/>
    <x v="4"/>
  </r>
  <r>
    <x v="1"/>
    <x v="4"/>
  </r>
  <r>
    <x v="11"/>
    <x v="4"/>
  </r>
  <r>
    <x v="11"/>
    <x v="4"/>
  </r>
  <r>
    <x v="7"/>
    <x v="4"/>
  </r>
  <r>
    <x v="4"/>
    <x v="4"/>
  </r>
  <r>
    <x v="8"/>
    <x v="4"/>
  </r>
  <r>
    <x v="4"/>
    <x v="4"/>
  </r>
  <r>
    <x v="11"/>
    <x v="4"/>
  </r>
  <r>
    <x v="0"/>
    <x v="4"/>
  </r>
  <r>
    <x v="8"/>
    <x v="4"/>
  </r>
  <r>
    <x v="6"/>
    <x v="4"/>
  </r>
  <r>
    <x v="3"/>
    <x v="4"/>
  </r>
  <r>
    <x v="10"/>
    <x v="4"/>
  </r>
  <r>
    <x v="4"/>
    <x v="4"/>
  </r>
  <r>
    <x v="8"/>
    <x v="4"/>
  </r>
  <r>
    <x v="12"/>
    <x v="4"/>
  </r>
  <r>
    <x v="1"/>
    <x v="4"/>
  </r>
  <r>
    <x v="2"/>
    <x v="4"/>
  </r>
  <r>
    <x v="8"/>
    <x v="4"/>
  </r>
  <r>
    <x v="6"/>
    <x v="4"/>
  </r>
  <r>
    <x v="2"/>
    <x v="4"/>
  </r>
  <r>
    <x v="2"/>
    <x v="4"/>
  </r>
  <r>
    <x v="7"/>
    <x v="4"/>
  </r>
  <r>
    <x v="9"/>
    <x v="4"/>
  </r>
  <r>
    <x v="9"/>
    <x v="4"/>
  </r>
  <r>
    <x v="9"/>
    <x v="4"/>
  </r>
  <r>
    <x v="4"/>
    <x v="4"/>
  </r>
  <r>
    <x v="0"/>
    <x v="4"/>
  </r>
  <r>
    <x v="7"/>
    <x v="4"/>
  </r>
  <r>
    <x v="11"/>
    <x v="4"/>
  </r>
  <r>
    <x v="9"/>
    <x v="4"/>
  </r>
  <r>
    <x v="1"/>
    <x v="4"/>
  </r>
  <r>
    <x v="1"/>
    <x v="4"/>
  </r>
  <r>
    <x v="5"/>
    <x v="4"/>
  </r>
  <r>
    <x v="0"/>
    <x v="4"/>
  </r>
  <r>
    <x v="5"/>
    <x v="4"/>
  </r>
  <r>
    <x v="9"/>
    <x v="4"/>
  </r>
  <r>
    <x v="9"/>
    <x v="4"/>
  </r>
  <r>
    <x v="3"/>
    <x v="4"/>
  </r>
  <r>
    <x v="1"/>
    <x v="4"/>
  </r>
  <r>
    <x v="0"/>
    <x v="4"/>
  </r>
  <r>
    <x v="10"/>
    <x v="4"/>
  </r>
  <r>
    <x v="2"/>
    <x v="4"/>
  </r>
  <r>
    <x v="3"/>
    <x v="4"/>
  </r>
  <r>
    <x v="9"/>
    <x v="4"/>
  </r>
  <r>
    <x v="1"/>
    <x v="4"/>
  </r>
  <r>
    <x v="1"/>
    <x v="4"/>
  </r>
  <r>
    <x v="10"/>
    <x v="4"/>
  </r>
  <r>
    <x v="0"/>
    <x v="4"/>
  </r>
  <r>
    <x v="7"/>
    <x v="4"/>
  </r>
  <r>
    <x v="7"/>
    <x v="4"/>
  </r>
  <r>
    <x v="8"/>
    <x v="4"/>
  </r>
  <r>
    <x v="1"/>
    <x v="4"/>
  </r>
  <r>
    <x v="12"/>
    <x v="4"/>
  </r>
  <r>
    <x v="7"/>
    <x v="4"/>
  </r>
  <r>
    <x v="9"/>
    <x v="4"/>
  </r>
  <r>
    <x v="10"/>
    <x v="4"/>
  </r>
  <r>
    <x v="3"/>
    <x v="4"/>
  </r>
  <r>
    <x v="2"/>
    <x v="4"/>
  </r>
  <r>
    <x v="0"/>
    <x v="4"/>
  </r>
  <r>
    <x v="12"/>
    <x v="4"/>
  </r>
  <r>
    <x v="1"/>
    <x v="4"/>
  </r>
  <r>
    <x v="3"/>
    <x v="4"/>
  </r>
  <r>
    <x v="2"/>
    <x v="4"/>
  </r>
  <r>
    <x v="3"/>
    <x v="4"/>
  </r>
  <r>
    <x v="3"/>
    <x v="4"/>
  </r>
  <r>
    <x v="2"/>
    <x v="4"/>
  </r>
  <r>
    <x v="9"/>
    <x v="4"/>
  </r>
  <r>
    <x v="12"/>
    <x v="4"/>
  </r>
  <r>
    <x v="4"/>
    <x v="4"/>
  </r>
  <r>
    <x v="6"/>
    <x v="4"/>
  </r>
  <r>
    <x v="2"/>
    <x v="4"/>
  </r>
  <r>
    <x v="8"/>
    <x v="4"/>
  </r>
  <r>
    <x v="11"/>
    <x v="4"/>
  </r>
  <r>
    <x v="10"/>
    <x v="4"/>
  </r>
  <r>
    <x v="7"/>
    <x v="4"/>
  </r>
  <r>
    <x v="10"/>
    <x v="4"/>
  </r>
  <r>
    <x v="7"/>
    <x v="4"/>
  </r>
  <r>
    <x v="4"/>
    <x v="4"/>
  </r>
  <r>
    <x v="6"/>
    <x v="4"/>
  </r>
  <r>
    <x v="9"/>
    <x v="4"/>
  </r>
  <r>
    <x v="8"/>
    <x v="4"/>
  </r>
  <r>
    <x v="2"/>
    <x v="4"/>
  </r>
  <r>
    <x v="3"/>
    <x v="4"/>
  </r>
  <r>
    <x v="6"/>
    <x v="4"/>
  </r>
  <r>
    <x v="11"/>
    <x v="4"/>
  </r>
  <r>
    <x v="4"/>
    <x v="4"/>
  </r>
  <r>
    <x v="8"/>
    <x v="4"/>
  </r>
  <r>
    <x v="11"/>
    <x v="4"/>
  </r>
  <r>
    <x v="2"/>
    <x v="4"/>
  </r>
  <r>
    <x v="9"/>
    <x v="4"/>
  </r>
  <r>
    <x v="9"/>
    <x v="4"/>
  </r>
  <r>
    <x v="5"/>
    <x v="4"/>
  </r>
  <r>
    <x v="12"/>
    <x v="4"/>
  </r>
  <r>
    <x v="6"/>
    <x v="4"/>
  </r>
  <r>
    <x v="5"/>
    <x v="4"/>
  </r>
  <r>
    <x v="7"/>
    <x v="4"/>
  </r>
  <r>
    <x v="10"/>
    <x v="4"/>
  </r>
  <r>
    <x v="0"/>
    <x v="4"/>
  </r>
  <r>
    <x v="0"/>
    <x v="4"/>
  </r>
  <r>
    <x v="6"/>
    <x v="4"/>
  </r>
  <r>
    <x v="5"/>
    <x v="4"/>
  </r>
  <r>
    <x v="9"/>
    <x v="4"/>
  </r>
  <r>
    <x v="3"/>
    <x v="4"/>
  </r>
  <r>
    <x v="11"/>
    <x v="4"/>
  </r>
  <r>
    <x v="12"/>
    <x v="4"/>
  </r>
  <r>
    <x v="7"/>
    <x v="4"/>
  </r>
  <r>
    <x v="6"/>
    <x v="4"/>
  </r>
  <r>
    <x v="6"/>
    <x v="4"/>
  </r>
  <r>
    <x v="0"/>
    <x v="4"/>
  </r>
  <r>
    <x v="1"/>
    <x v="4"/>
  </r>
  <r>
    <x v="3"/>
    <x v="4"/>
  </r>
  <r>
    <x v="10"/>
    <x v="4"/>
  </r>
  <r>
    <x v="4"/>
    <x v="4"/>
  </r>
  <r>
    <x v="7"/>
    <x v="4"/>
  </r>
  <r>
    <x v="5"/>
    <x v="4"/>
  </r>
  <r>
    <x v="10"/>
    <x v="4"/>
  </r>
  <r>
    <x v="11"/>
    <x v="4"/>
  </r>
  <r>
    <x v="6"/>
    <x v="4"/>
  </r>
  <r>
    <x v="0"/>
    <x v="4"/>
  </r>
  <r>
    <x v="6"/>
    <x v="4"/>
  </r>
  <r>
    <x v="0"/>
    <x v="4"/>
  </r>
  <r>
    <x v="6"/>
    <x v="4"/>
  </r>
  <r>
    <x v="9"/>
    <x v="4"/>
  </r>
  <r>
    <x v="7"/>
    <x v="4"/>
  </r>
  <r>
    <x v="9"/>
    <x v="4"/>
  </r>
  <r>
    <x v="7"/>
    <x v="4"/>
  </r>
  <r>
    <x v="4"/>
    <x v="4"/>
  </r>
  <r>
    <x v="8"/>
    <x v="4"/>
  </r>
  <r>
    <x v="3"/>
    <x v="4"/>
  </r>
  <r>
    <x v="11"/>
    <x v="4"/>
  </r>
  <r>
    <x v="9"/>
    <x v="4"/>
  </r>
  <r>
    <x v="0"/>
    <x v="4"/>
  </r>
  <r>
    <x v="7"/>
    <x v="4"/>
  </r>
  <r>
    <x v="9"/>
    <x v="4"/>
  </r>
  <r>
    <x v="12"/>
    <x v="4"/>
  </r>
  <r>
    <x v="6"/>
    <x v="4"/>
  </r>
  <r>
    <x v="11"/>
    <x v="4"/>
  </r>
  <r>
    <x v="1"/>
    <x v="4"/>
  </r>
  <r>
    <x v="9"/>
    <x v="4"/>
  </r>
  <r>
    <x v="11"/>
    <x v="4"/>
  </r>
  <r>
    <x v="5"/>
    <x v="4"/>
  </r>
  <r>
    <x v="5"/>
    <x v="4"/>
  </r>
  <r>
    <x v="9"/>
    <x v="4"/>
  </r>
  <r>
    <x v="5"/>
    <x v="4"/>
  </r>
  <r>
    <x v="6"/>
    <x v="4"/>
  </r>
  <r>
    <x v="11"/>
    <x v="4"/>
  </r>
  <r>
    <x v="5"/>
    <x v="4"/>
  </r>
  <r>
    <x v="4"/>
    <x v="4"/>
  </r>
  <r>
    <x v="0"/>
    <x v="4"/>
  </r>
  <r>
    <x v="3"/>
    <x v="4"/>
  </r>
  <r>
    <x v="3"/>
    <x v="4"/>
  </r>
  <r>
    <x v="5"/>
    <x v="4"/>
  </r>
  <r>
    <x v="5"/>
    <x v="4"/>
  </r>
  <r>
    <x v="3"/>
    <x v="4"/>
  </r>
  <r>
    <x v="10"/>
    <x v="4"/>
  </r>
  <r>
    <x v="1"/>
    <x v="4"/>
  </r>
  <r>
    <x v="3"/>
    <x v="4"/>
  </r>
  <r>
    <x v="12"/>
    <x v="4"/>
  </r>
  <r>
    <x v="10"/>
    <x v="4"/>
  </r>
  <r>
    <x v="12"/>
    <x v="4"/>
  </r>
  <r>
    <x v="11"/>
    <x v="4"/>
  </r>
  <r>
    <x v="10"/>
    <x v="4"/>
  </r>
  <r>
    <x v="3"/>
    <x v="4"/>
  </r>
  <r>
    <x v="11"/>
    <x v="4"/>
  </r>
  <r>
    <x v="5"/>
    <x v="4"/>
  </r>
  <r>
    <x v="9"/>
    <x v="4"/>
  </r>
  <r>
    <x v="1"/>
    <x v="4"/>
  </r>
  <r>
    <x v="12"/>
    <x v="4"/>
  </r>
  <r>
    <x v="4"/>
    <x v="4"/>
  </r>
  <r>
    <x v="9"/>
    <x v="4"/>
  </r>
  <r>
    <x v="0"/>
    <x v="4"/>
  </r>
  <r>
    <x v="6"/>
    <x v="4"/>
  </r>
  <r>
    <x v="7"/>
    <x v="4"/>
  </r>
  <r>
    <x v="12"/>
    <x v="4"/>
  </r>
  <r>
    <x v="4"/>
    <x v="4"/>
  </r>
  <r>
    <x v="12"/>
    <x v="4"/>
  </r>
  <r>
    <x v="12"/>
    <x v="4"/>
  </r>
  <r>
    <x v="2"/>
    <x v="4"/>
  </r>
  <r>
    <x v="3"/>
    <x v="4"/>
  </r>
  <r>
    <x v="5"/>
    <x v="4"/>
  </r>
  <r>
    <x v="2"/>
    <x v="4"/>
  </r>
  <r>
    <x v="10"/>
    <x v="4"/>
  </r>
  <r>
    <x v="3"/>
    <x v="4"/>
  </r>
  <r>
    <x v="8"/>
    <x v="4"/>
  </r>
  <r>
    <x v="12"/>
    <x v="4"/>
  </r>
  <r>
    <x v="9"/>
    <x v="4"/>
  </r>
  <r>
    <x v="11"/>
    <x v="4"/>
  </r>
  <r>
    <x v="3"/>
    <x v="4"/>
  </r>
  <r>
    <x v="1"/>
    <x v="4"/>
  </r>
  <r>
    <x v="6"/>
    <x v="4"/>
  </r>
  <r>
    <x v="7"/>
    <x v="4"/>
  </r>
  <r>
    <x v="6"/>
    <x v="4"/>
  </r>
  <r>
    <x v="5"/>
    <x v="4"/>
  </r>
  <r>
    <x v="7"/>
    <x v="4"/>
  </r>
  <r>
    <x v="8"/>
    <x v="4"/>
  </r>
  <r>
    <x v="7"/>
    <x v="4"/>
  </r>
  <r>
    <x v="8"/>
    <x v="4"/>
  </r>
  <r>
    <x v="8"/>
    <x v="4"/>
  </r>
  <r>
    <x v="9"/>
    <x v="4"/>
  </r>
  <r>
    <x v="3"/>
    <x v="4"/>
  </r>
  <r>
    <x v="8"/>
    <x v="4"/>
  </r>
  <r>
    <x v="0"/>
    <x v="4"/>
  </r>
  <r>
    <x v="0"/>
    <x v="4"/>
  </r>
  <r>
    <x v="3"/>
    <x v="4"/>
  </r>
  <r>
    <x v="2"/>
    <x v="4"/>
  </r>
  <r>
    <x v="11"/>
    <x v="4"/>
  </r>
  <r>
    <x v="2"/>
    <x v="4"/>
  </r>
  <r>
    <x v="9"/>
    <x v="4"/>
  </r>
  <r>
    <x v="6"/>
    <x v="4"/>
  </r>
  <r>
    <x v="9"/>
    <x v="4"/>
  </r>
  <r>
    <x v="9"/>
    <x v="4"/>
  </r>
  <r>
    <x v="9"/>
    <x v="4"/>
  </r>
  <r>
    <x v="11"/>
    <x v="4"/>
  </r>
  <r>
    <x v="9"/>
    <x v="4"/>
  </r>
  <r>
    <x v="2"/>
    <x v="4"/>
  </r>
  <r>
    <x v="10"/>
    <x v="4"/>
  </r>
  <r>
    <x v="1"/>
    <x v="4"/>
  </r>
  <r>
    <x v="0"/>
    <x v="4"/>
  </r>
  <r>
    <x v="6"/>
    <x v="4"/>
  </r>
  <r>
    <x v="2"/>
    <x v="4"/>
  </r>
  <r>
    <x v="5"/>
    <x v="4"/>
  </r>
  <r>
    <x v="9"/>
    <x v="4"/>
  </r>
  <r>
    <x v="10"/>
    <x v="4"/>
  </r>
  <r>
    <x v="8"/>
    <x v="4"/>
  </r>
  <r>
    <x v="4"/>
    <x v="4"/>
  </r>
  <r>
    <x v="4"/>
    <x v="4"/>
  </r>
  <r>
    <x v="12"/>
    <x v="4"/>
  </r>
  <r>
    <x v="3"/>
    <x v="4"/>
  </r>
  <r>
    <x v="5"/>
    <x v="4"/>
  </r>
  <r>
    <x v="3"/>
    <x v="4"/>
  </r>
  <r>
    <x v="12"/>
    <x v="4"/>
  </r>
  <r>
    <x v="11"/>
    <x v="4"/>
  </r>
  <r>
    <x v="1"/>
    <x v="4"/>
  </r>
  <r>
    <x v="6"/>
    <x v="4"/>
  </r>
  <r>
    <x v="4"/>
    <x v="4"/>
  </r>
  <r>
    <x v="7"/>
    <x v="4"/>
  </r>
  <r>
    <x v="5"/>
    <x v="4"/>
  </r>
  <r>
    <x v="2"/>
    <x v="4"/>
  </r>
  <r>
    <x v="2"/>
    <x v="4"/>
  </r>
  <r>
    <x v="5"/>
    <x v="4"/>
  </r>
  <r>
    <x v="12"/>
    <x v="4"/>
  </r>
  <r>
    <x v="3"/>
    <x v="4"/>
  </r>
  <r>
    <x v="10"/>
    <x v="4"/>
  </r>
  <r>
    <x v="6"/>
    <x v="4"/>
  </r>
  <r>
    <x v="6"/>
    <x v="4"/>
  </r>
  <r>
    <x v="5"/>
    <x v="4"/>
  </r>
  <r>
    <x v="2"/>
    <x v="4"/>
  </r>
  <r>
    <x v="0"/>
    <x v="4"/>
  </r>
  <r>
    <x v="3"/>
    <x v="4"/>
  </r>
  <r>
    <x v="9"/>
    <x v="4"/>
  </r>
  <r>
    <x v="10"/>
    <x v="4"/>
  </r>
  <r>
    <x v="5"/>
    <x v="4"/>
  </r>
  <r>
    <x v="3"/>
    <x v="4"/>
  </r>
  <r>
    <x v="1"/>
    <x v="4"/>
  </r>
  <r>
    <x v="8"/>
    <x v="4"/>
  </r>
  <r>
    <x v="0"/>
    <x v="4"/>
  </r>
  <r>
    <x v="12"/>
    <x v="4"/>
  </r>
  <r>
    <x v="1"/>
    <x v="4"/>
  </r>
  <r>
    <x v="1"/>
    <x v="4"/>
  </r>
  <r>
    <x v="11"/>
    <x v="4"/>
  </r>
  <r>
    <x v="1"/>
    <x v="4"/>
  </r>
  <r>
    <x v="12"/>
    <x v="4"/>
  </r>
  <r>
    <x v="10"/>
    <x v="4"/>
  </r>
  <r>
    <x v="4"/>
    <x v="4"/>
  </r>
  <r>
    <x v="4"/>
    <x v="4"/>
  </r>
  <r>
    <x v="7"/>
    <x v="4"/>
  </r>
  <r>
    <x v="4"/>
    <x v="4"/>
  </r>
  <r>
    <x v="6"/>
    <x v="4"/>
  </r>
  <r>
    <x v="2"/>
    <x v="4"/>
  </r>
  <r>
    <x v="7"/>
    <x v="4"/>
  </r>
  <r>
    <x v="1"/>
    <x v="4"/>
  </r>
  <r>
    <x v="12"/>
    <x v="4"/>
  </r>
  <r>
    <x v="5"/>
    <x v="4"/>
  </r>
  <r>
    <x v="4"/>
    <x v="4"/>
  </r>
  <r>
    <x v="12"/>
    <x v="4"/>
  </r>
  <r>
    <x v="6"/>
    <x v="4"/>
  </r>
  <r>
    <x v="9"/>
    <x v="4"/>
  </r>
  <r>
    <x v="0"/>
    <x v="4"/>
  </r>
  <r>
    <x v="5"/>
    <x v="4"/>
  </r>
  <r>
    <x v="0"/>
    <x v="4"/>
  </r>
  <r>
    <x v="8"/>
    <x v="4"/>
  </r>
  <r>
    <x v="8"/>
    <x v="4"/>
  </r>
  <r>
    <x v="2"/>
    <x v="4"/>
  </r>
  <r>
    <x v="5"/>
    <x v="4"/>
  </r>
  <r>
    <x v="0"/>
    <x v="4"/>
  </r>
  <r>
    <x v="10"/>
    <x v="4"/>
  </r>
  <r>
    <x v="0"/>
    <x v="4"/>
  </r>
  <r>
    <x v="6"/>
    <x v="4"/>
  </r>
  <r>
    <x v="0"/>
    <x v="4"/>
  </r>
  <r>
    <x v="3"/>
    <x v="4"/>
  </r>
  <r>
    <x v="1"/>
    <x v="4"/>
  </r>
  <r>
    <x v="11"/>
    <x v="4"/>
  </r>
  <r>
    <x v="6"/>
    <x v="4"/>
  </r>
  <r>
    <x v="1"/>
    <x v="4"/>
  </r>
  <r>
    <x v="0"/>
    <x v="4"/>
  </r>
  <r>
    <x v="9"/>
    <x v="4"/>
  </r>
  <r>
    <x v="9"/>
    <x v="4"/>
  </r>
  <r>
    <x v="9"/>
    <x v="4"/>
  </r>
  <r>
    <x v="8"/>
    <x v="4"/>
  </r>
  <r>
    <x v="8"/>
    <x v="4"/>
  </r>
  <r>
    <x v="7"/>
    <x v="4"/>
  </r>
  <r>
    <x v="3"/>
    <x v="4"/>
  </r>
  <r>
    <x v="1"/>
    <x v="4"/>
  </r>
  <r>
    <x v="11"/>
    <x v="4"/>
  </r>
  <r>
    <x v="1"/>
    <x v="4"/>
  </r>
  <r>
    <x v="3"/>
    <x v="4"/>
  </r>
  <r>
    <x v="3"/>
    <x v="4"/>
  </r>
  <r>
    <x v="1"/>
    <x v="4"/>
  </r>
  <r>
    <x v="3"/>
    <x v="4"/>
  </r>
  <r>
    <x v="11"/>
    <x v="4"/>
  </r>
  <r>
    <x v="10"/>
    <x v="4"/>
  </r>
  <r>
    <x v="12"/>
    <x v="4"/>
  </r>
  <r>
    <x v="8"/>
    <x v="4"/>
  </r>
  <r>
    <x v="12"/>
    <x v="4"/>
  </r>
  <r>
    <x v="10"/>
    <x v="4"/>
  </r>
  <r>
    <x v="5"/>
    <x v="4"/>
  </r>
  <r>
    <x v="0"/>
    <x v="4"/>
  </r>
  <r>
    <x v="5"/>
    <x v="4"/>
  </r>
  <r>
    <x v="10"/>
    <x v="4"/>
  </r>
  <r>
    <x v="11"/>
    <x v="4"/>
  </r>
  <r>
    <x v="3"/>
    <x v="4"/>
  </r>
  <r>
    <x v="4"/>
    <x v="4"/>
  </r>
  <r>
    <x v="5"/>
    <x v="4"/>
  </r>
  <r>
    <x v="10"/>
    <x v="4"/>
  </r>
  <r>
    <x v="0"/>
    <x v="4"/>
  </r>
  <r>
    <x v="10"/>
    <x v="4"/>
  </r>
  <r>
    <x v="2"/>
    <x v="4"/>
  </r>
  <r>
    <x v="1"/>
    <x v="4"/>
  </r>
  <r>
    <x v="9"/>
    <x v="4"/>
  </r>
  <r>
    <x v="9"/>
    <x v="4"/>
  </r>
  <r>
    <x v="4"/>
    <x v="4"/>
  </r>
  <r>
    <x v="1"/>
    <x v="4"/>
  </r>
  <r>
    <x v="9"/>
    <x v="4"/>
  </r>
  <r>
    <x v="8"/>
    <x v="4"/>
  </r>
  <r>
    <x v="0"/>
    <x v="4"/>
  </r>
  <r>
    <x v="9"/>
    <x v="4"/>
  </r>
  <r>
    <x v="11"/>
    <x v="4"/>
  </r>
  <r>
    <x v="5"/>
    <x v="4"/>
  </r>
  <r>
    <x v="4"/>
    <x v="4"/>
  </r>
  <r>
    <x v="9"/>
    <x v="4"/>
  </r>
  <r>
    <x v="10"/>
    <x v="4"/>
  </r>
  <r>
    <x v="6"/>
    <x v="4"/>
  </r>
  <r>
    <x v="9"/>
    <x v="4"/>
  </r>
  <r>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A7F3DD-2E14-4C72-AE25-28F956A81232}"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D2:E7" firstHeaderRow="1" firstDataRow="1" firstDataCol="1"/>
  <pivotFields count="2">
    <pivotField dataField="1" showAll="0">
      <items count="14">
        <item x="5"/>
        <item x="8"/>
        <item x="12"/>
        <item x="1"/>
        <item x="0"/>
        <item x="2"/>
        <item x="11"/>
        <item x="3"/>
        <item x="7"/>
        <item x="10"/>
        <item x="9"/>
        <item x="6"/>
        <item x="4"/>
        <item t="default"/>
      </items>
    </pivotField>
    <pivotField axis="axisRow" numFmtId="1" showAll="0">
      <items count="6">
        <item x="0"/>
        <item x="1"/>
        <item x="2"/>
        <item x="3"/>
        <item x="4"/>
        <item t="default"/>
      </items>
    </pivotField>
  </pivotFields>
  <rowFields count="1">
    <field x="1"/>
  </rowFields>
  <rowItems count="5">
    <i>
      <x/>
    </i>
    <i>
      <x v="1"/>
    </i>
    <i>
      <x v="2"/>
    </i>
    <i>
      <x v="3"/>
    </i>
    <i>
      <x v="4"/>
    </i>
  </rowItems>
  <colItems count="1">
    <i/>
  </colItems>
  <dataFields count="1">
    <dataField name="Count of Custmer Name"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915021-6C1D-4504-BD1F-2F8E67698AD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18:I28" firstHeaderRow="1" firstDataRow="1" firstDataCol="1"/>
  <pivotFields count="12">
    <pivotField numFmtId="14" showAll="0"/>
    <pivotField numFmtId="1" showAll="0"/>
    <pivotField numFmtId="1" showAll="0"/>
    <pivotField showAll="0"/>
    <pivotField showAll="0"/>
    <pivotField axis="axisRow" showAll="0" sortType="descending">
      <items count="11">
        <item x="4"/>
        <item x="1"/>
        <item x="6"/>
        <item x="0"/>
        <item x="7"/>
        <item x="2"/>
        <item x="8"/>
        <item x="9"/>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2" showAll="0"/>
    <pivotField numFmtId="1" showAll="0"/>
    <pivotField numFmtId="2" showAll="0"/>
  </pivotFields>
  <rowFields count="1">
    <field x="5"/>
  </rowFields>
  <rowItems count="10">
    <i>
      <x v="4"/>
    </i>
    <i>
      <x v="2"/>
    </i>
    <i>
      <x/>
    </i>
    <i>
      <x v="1"/>
    </i>
    <i>
      <x v="5"/>
    </i>
    <i>
      <x v="7"/>
    </i>
    <i>
      <x v="3"/>
    </i>
    <i>
      <x v="9"/>
    </i>
    <i>
      <x v="8"/>
    </i>
    <i>
      <x v="6"/>
    </i>
  </rowItems>
  <colItems count="1">
    <i/>
  </colItems>
  <dataFields count="1">
    <dataField name="Sum of Sales"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E0BE5C-A63B-4F28-9FC4-99B1A840B6E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2:I15" firstHeaderRow="1" firstDataRow="1" firstDataCol="1"/>
  <pivotFields count="12">
    <pivotField numFmtId="14" showAll="0"/>
    <pivotField numFmtId="1" showAll="0"/>
    <pivotField numFmtId="1" showAll="0"/>
    <pivotField showAll="0"/>
    <pivotField axis="axisRow" showAll="0" sortType="descending">
      <items count="14">
        <item x="5"/>
        <item x="8"/>
        <item x="12"/>
        <item x="1"/>
        <item x="0"/>
        <item x="2"/>
        <item x="11"/>
        <item x="3"/>
        <item x="7"/>
        <item x="10"/>
        <item x="9"/>
        <item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numFmtId="1" showAll="0"/>
    <pivotField dataField="1" numFmtId="2" showAll="0"/>
  </pivotFields>
  <rowFields count="1">
    <field x="4"/>
  </rowFields>
  <rowItems count="13">
    <i>
      <x v="10"/>
    </i>
    <i>
      <x v="5"/>
    </i>
    <i>
      <x v="3"/>
    </i>
    <i>
      <x v="2"/>
    </i>
    <i>
      <x v="1"/>
    </i>
    <i>
      <x/>
    </i>
    <i>
      <x v="11"/>
    </i>
    <i>
      <x v="4"/>
    </i>
    <i>
      <x v="7"/>
    </i>
    <i>
      <x v="9"/>
    </i>
    <i>
      <x v="12"/>
    </i>
    <i>
      <x v="6"/>
    </i>
    <i>
      <x v="8"/>
    </i>
  </rowItems>
  <colItems count="1">
    <i/>
  </colItems>
  <dataFields count="1">
    <dataField name="Sum of Profit" fld="11"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0A8786-5D00-43EE-A0D0-58A84BFCAC7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3:B35" firstHeaderRow="1" firstDataRow="1" firstDataCol="1"/>
  <pivotFields count="12">
    <pivotField numFmtId="14" showAll="0"/>
    <pivotField numFmtId="1" showAll="0">
      <items count="6">
        <item x="0"/>
        <item h="1" x="1"/>
        <item h="1" x="2"/>
        <item h="1" x="3"/>
        <item h="1" x="4"/>
        <item t="default"/>
      </items>
    </pivotField>
    <pivotField numFmtId="1"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dataField="1" numFmtId="2" showAll="0"/>
    <pivotField numFmtId="1" showAll="0"/>
    <pivotField numFmtId="2" showAll="0"/>
  </pivotFields>
  <rowFields count="1">
    <field x="3"/>
  </rowFields>
  <rowItems count="12">
    <i>
      <x/>
    </i>
    <i>
      <x v="1"/>
    </i>
    <i>
      <x v="2"/>
    </i>
    <i>
      <x v="3"/>
    </i>
    <i>
      <x v="4"/>
    </i>
    <i>
      <x v="5"/>
    </i>
    <i>
      <x v="6"/>
    </i>
    <i>
      <x v="7"/>
    </i>
    <i>
      <x v="8"/>
    </i>
    <i>
      <x v="9"/>
    </i>
    <i>
      <x v="10"/>
    </i>
    <i>
      <x v="11"/>
    </i>
  </rowItems>
  <colItems count="1">
    <i/>
  </colItems>
  <dataFields count="1">
    <dataField name="Sum of Sales" fld="9" baseField="0" baseItem="0" numFmtId="2"/>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C73994-264F-46BE-B09C-E5F0C9EE727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4:D20" firstHeaderRow="1" firstDataRow="2" firstDataCol="1"/>
  <pivotFields count="12">
    <pivotField numFmtId="14" showAll="0"/>
    <pivotField axis="axisRow" numFmtId="1" showAll="0">
      <items count="6">
        <item x="0"/>
        <item x="1"/>
        <item x="2"/>
        <item x="3"/>
        <item x="4"/>
        <item t="default"/>
      </items>
    </pivotField>
    <pivotField numFmtId="1" showAll="0"/>
    <pivotField showAll="0"/>
    <pivotField showAll="0"/>
    <pivotField showAll="0"/>
    <pivotField axis="axisCol" showAll="0">
      <items count="4">
        <item x="2"/>
        <item x="1"/>
        <item x="0"/>
        <item t="default"/>
      </items>
    </pivotField>
    <pivotField showAll="0"/>
    <pivotField showAll="0"/>
    <pivotField numFmtId="2" showAll="0"/>
    <pivotField numFmtId="1" showAll="0"/>
    <pivotField dataField="1" numFmtId="2" showAll="0"/>
  </pivotFields>
  <rowFields count="1">
    <field x="1"/>
  </rowFields>
  <rowItems count="5">
    <i>
      <x/>
    </i>
    <i>
      <x v="1"/>
    </i>
    <i>
      <x v="2"/>
    </i>
    <i>
      <x v="3"/>
    </i>
    <i>
      <x v="4"/>
    </i>
  </rowItems>
  <colFields count="1">
    <field x="6"/>
  </colFields>
  <colItems count="3">
    <i>
      <x/>
    </i>
    <i>
      <x v="1"/>
    </i>
    <i>
      <x v="2"/>
    </i>
  </colItems>
  <dataFields count="1">
    <dataField name="Sum of Profit" fld="11" baseField="0" baseItem="0" numFmtId="2"/>
  </dataFields>
  <chartFormats count="3">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40C8CA-FE8E-497F-B86F-74C7458168C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B10" firstHeaderRow="1" firstDataRow="1" firstDataCol="1"/>
  <pivotFields count="12">
    <pivotField numFmtId="14" showAll="0"/>
    <pivotField numFmtId="1" showAll="0"/>
    <pivotField numFmtId="1" showAll="0"/>
    <pivotField showAll="0"/>
    <pivotField showAll="0"/>
    <pivotField showAll="0"/>
    <pivotField showAll="0">
      <items count="4">
        <item x="2"/>
        <item x="1"/>
        <item x="0"/>
        <item t="default"/>
      </items>
    </pivotField>
    <pivotField axis="axisRow" showAll="0" sortType="descending">
      <items count="10">
        <item x="0"/>
        <item x="7"/>
        <item x="8"/>
        <item x="5"/>
        <item x="4"/>
        <item x="2"/>
        <item x="6"/>
        <item x="3"/>
        <item x="1"/>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7"/>
  </rowFields>
  <rowItems count="9">
    <i>
      <x v="8"/>
    </i>
    <i>
      <x/>
    </i>
    <i>
      <x v="7"/>
    </i>
    <i>
      <x v="6"/>
    </i>
    <i>
      <x v="5"/>
    </i>
    <i>
      <x v="4"/>
    </i>
    <i>
      <x v="3"/>
    </i>
    <i>
      <x v="1"/>
    </i>
    <i>
      <x v="2"/>
    </i>
  </rowItems>
  <colItems count="1">
    <i/>
  </colItems>
  <dataFields count="1">
    <dataField name="Sum of Sales"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9049425-E173-4BCF-AB84-6365BDC3AC43}" sourceName="Year">
  <pivotTables>
    <pivotTable tabId="2" name="PivotTable3"/>
  </pivotTables>
  <data>
    <tabular pivotCacheId="1893765475">
      <items count="5">
        <i x="0" s="1"/>
        <i x="1"/>
        <i x="2"/>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733F26B-757D-4745-895B-4BD399A89F4C}" sourceName="Category">
  <pivotTables>
    <pivotTable tabId="2" name="PivotTable1"/>
  </pivotTables>
  <data>
    <tabular pivotCacheId="189376547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51FE3E0-AC53-4D68-834C-7F51F8FD6396}" cache="Slicer_Year" caption="Year" rowHeight="241300"/>
  <slicer name="Category" xr10:uid="{973126C2-6009-42CA-863E-206D0020326A}" cache="Slicer_Category" caption="Catego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6A092E-5478-4F18-83E8-559C016CC365}" name="Sales_data" displayName="Sales_data" ref="A1:L2001" totalsRowShown="0" headerRowDxfId="13" dataDxfId="11" headerRowBorderDxfId="12" tableBorderDxfId="10">
  <autoFilter ref="A1:L2001" xr:uid="{406A092E-5478-4F18-83E8-559C016CC365}"/>
  <sortState xmlns:xlrd2="http://schemas.microsoft.com/office/spreadsheetml/2017/richdata2" ref="A2:L2001">
    <sortCondition ref="A2001"/>
  </sortState>
  <tableColumns count="12">
    <tableColumn id="1" xr3:uid="{01B0CD97-23E1-49A5-B411-F6FA508674A3}" name="Order Date" dataDxfId="9"/>
    <tableColumn id="12" xr3:uid="{E21C883A-4C73-466F-B6A6-BD16536BAA70}" name="Year" dataDxfId="8">
      <calculatedColumnFormula>YEAR(Sales_data[[#This Row],[Order Date]])</calculatedColumnFormula>
    </tableColumn>
    <tableColumn id="11" xr3:uid="{AC4EF0AE-AFC7-41CF-AFEC-A67C84C0D8F5}" name="Month" dataDxfId="7">
      <calculatedColumnFormula>MONTH(Sales_data[[#This Row],[Order Date]])</calculatedColumnFormula>
    </tableColumn>
    <tableColumn id="13" xr3:uid="{72A5377C-1FE8-461A-854B-21354B56DEAC}" name="Month Name" dataDxfId="6">
      <calculatedColumnFormula>TEXT(Sales_data[[#This Row],[Order Date]],"mmm")</calculatedColumnFormula>
    </tableColumn>
    <tableColumn id="2" xr3:uid="{45615408-5791-4E60-A403-F42CF91D1751}" name="Customer Name"/>
    <tableColumn id="3" xr3:uid="{0887C760-4E7D-4943-82C9-47DA04455448}" name="State"/>
    <tableColumn id="4" xr3:uid="{3C8B6F0D-B2C8-4199-87B2-117D377C49E9}" name="Category"/>
    <tableColumn id="5" xr3:uid="{0364EB0A-AEFB-4035-A85A-DF9D2040193F}" name="Sub-Category"/>
    <tableColumn id="6" xr3:uid="{A47BEAA9-17C5-4EF6-8B02-830D271CCB67}" name="Product Name"/>
    <tableColumn id="7" xr3:uid="{C0F75004-D3CB-4128-A9C5-F3DA32F587E8}" name="Sales" dataDxfId="5"/>
    <tableColumn id="8" xr3:uid="{1260C1C5-47E7-4C1C-A6F6-5F318DAFD8F4}" name="Quantity" dataDxfId="4"/>
    <tableColumn id="9" xr3:uid="{75369FF4-9F71-4A5D-A743-14764BBEC724}" name="Profit" dataDxfId="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9B7972-9EBE-49EC-BD55-330B651E15DF}" name="Table2" displayName="Table2" ref="A1:B2001" totalsRowShown="0" tableBorderDxfId="2">
  <autoFilter ref="A1:B2001" xr:uid="{079B7972-9EBE-49EC-BD55-330B651E15DF}"/>
  <tableColumns count="2">
    <tableColumn id="1" xr3:uid="{44DF546B-EB0D-49AC-9811-73424CA416B8}" name="Custmer Name" dataDxfId="1"/>
    <tableColumn id="2" xr3:uid="{3FCA576E-010E-4E6F-9180-21CB34858D57}" name="Year" dataDxfId="0">
      <calculatedColumnFormula>YEAR(Sales_data[[#This Row],[Order Date]])</calculatedColumnFormula>
    </tableColumn>
  </tableColumns>
  <tableStyleInfo name="TableStyleMedium8"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tabSelected="1" workbookViewId="0"/>
  </sheetViews>
  <sheetFormatPr defaultRowHeight="14.25" x14ac:dyDescent="0.2"/>
  <cols>
    <col min="1" max="1" width="13.875" style="3" customWidth="1"/>
    <col min="2" max="4" width="14.25" style="1" customWidth="1"/>
    <col min="5" max="5" width="20.875" customWidth="1"/>
    <col min="6" max="6" width="17" customWidth="1"/>
    <col min="7" max="7" width="24.75" customWidth="1"/>
    <col min="8" max="8" width="18.5" style="1" customWidth="1"/>
    <col min="9" max="9" width="35.5" style="1" customWidth="1"/>
    <col min="10" max="10" width="12.25" style="1" customWidth="1"/>
    <col min="11" max="11" width="14.75" customWidth="1"/>
    <col min="12" max="12" width="12.75" customWidth="1"/>
  </cols>
  <sheetData>
    <row r="1" spans="1:12" x14ac:dyDescent="0.2">
      <c r="A1" s="4" t="s">
        <v>0</v>
      </c>
      <c r="B1" s="10" t="s">
        <v>54</v>
      </c>
      <c r="C1" s="10" t="s">
        <v>55</v>
      </c>
      <c r="D1" s="10" t="s">
        <v>60</v>
      </c>
      <c r="E1" s="4" t="s">
        <v>1</v>
      </c>
      <c r="F1" s="4" t="s">
        <v>2</v>
      </c>
      <c r="G1" s="4" t="s">
        <v>3</v>
      </c>
      <c r="H1" s="4" t="s">
        <v>4</v>
      </c>
      <c r="I1" s="4" t="s">
        <v>5</v>
      </c>
      <c r="J1" s="5" t="s">
        <v>6</v>
      </c>
      <c r="K1" s="5" t="s">
        <v>7</v>
      </c>
      <c r="L1" s="5" t="s">
        <v>8</v>
      </c>
    </row>
    <row r="2" spans="1:12" x14ac:dyDescent="0.2">
      <c r="A2" s="2">
        <v>41275</v>
      </c>
      <c r="B2" s="8">
        <f>YEAR(Sales_data[[#This Row],[Order Date]])</f>
        <v>2013</v>
      </c>
      <c r="C2" s="8">
        <f>MONTH(Sales_data[[#This Row],[Order Date]])</f>
        <v>1</v>
      </c>
      <c r="D2" s="8" t="str">
        <f>TEXT(Sales_data[[#This Row],[Order Date]],"mmm")</f>
        <v>Jan</v>
      </c>
      <c r="E2" t="s">
        <v>13</v>
      </c>
      <c r="F2" t="s">
        <v>26</v>
      </c>
      <c r="G2" t="s">
        <v>33</v>
      </c>
      <c r="H2" t="s">
        <v>42</v>
      </c>
      <c r="I2" t="s">
        <v>45</v>
      </c>
      <c r="J2" s="7">
        <v>1566.97</v>
      </c>
      <c r="K2" s="8">
        <v>7</v>
      </c>
      <c r="L2" s="7">
        <v>12.73</v>
      </c>
    </row>
    <row r="3" spans="1:12" x14ac:dyDescent="0.2">
      <c r="A3" s="2">
        <v>41275</v>
      </c>
      <c r="B3" s="8">
        <f>YEAR(Sales_data[[#This Row],[Order Date]])</f>
        <v>2013</v>
      </c>
      <c r="C3" s="8">
        <f>MONTH(Sales_data[[#This Row],[Order Date]])</f>
        <v>1</v>
      </c>
      <c r="D3" s="8" t="str">
        <f>TEXT(Sales_data[[#This Row],[Order Date]],"mmm")</f>
        <v>Jan</v>
      </c>
      <c r="E3" t="s">
        <v>18</v>
      </c>
      <c r="F3" t="s">
        <v>23</v>
      </c>
      <c r="G3" t="s">
        <v>33</v>
      </c>
      <c r="H3" t="s">
        <v>40</v>
      </c>
      <c r="I3" t="s">
        <v>47</v>
      </c>
      <c r="J3" s="7">
        <v>1999.02</v>
      </c>
      <c r="K3" s="8">
        <v>8</v>
      </c>
      <c r="L3" s="7">
        <v>317.88</v>
      </c>
    </row>
    <row r="4" spans="1:12" x14ac:dyDescent="0.2">
      <c r="A4" s="2">
        <v>41276</v>
      </c>
      <c r="B4" s="8">
        <f>YEAR(Sales_data[[#This Row],[Order Date]])</f>
        <v>2013</v>
      </c>
      <c r="C4" s="8">
        <f>MONTH(Sales_data[[#This Row],[Order Date]])</f>
        <v>1</v>
      </c>
      <c r="D4" s="8" t="str">
        <f>TEXT(Sales_data[[#This Row],[Order Date]],"mmm")</f>
        <v>Jan</v>
      </c>
      <c r="E4" t="s">
        <v>17</v>
      </c>
      <c r="F4" t="s">
        <v>24</v>
      </c>
      <c r="G4" t="s">
        <v>33</v>
      </c>
      <c r="H4" t="s">
        <v>42</v>
      </c>
      <c r="I4" t="s">
        <v>44</v>
      </c>
      <c r="J4" s="7">
        <v>1728.52</v>
      </c>
      <c r="K4" s="8">
        <v>7</v>
      </c>
      <c r="L4" s="7">
        <v>275.18</v>
      </c>
    </row>
    <row r="5" spans="1:12" x14ac:dyDescent="0.2">
      <c r="A5" s="2">
        <v>41276</v>
      </c>
      <c r="B5" s="8">
        <f>YEAR(Sales_data[[#This Row],[Order Date]])</f>
        <v>2013</v>
      </c>
      <c r="C5" s="8">
        <f>MONTH(Sales_data[[#This Row],[Order Date]])</f>
        <v>1</v>
      </c>
      <c r="D5" s="8" t="str">
        <f>TEXT(Sales_data[[#This Row],[Order Date]],"mmm")</f>
        <v>Jan</v>
      </c>
      <c r="E5" t="s">
        <v>15</v>
      </c>
      <c r="F5" t="s">
        <v>23</v>
      </c>
      <c r="G5" t="s">
        <v>33</v>
      </c>
      <c r="H5" t="s">
        <v>40</v>
      </c>
      <c r="I5" t="s">
        <v>47</v>
      </c>
      <c r="J5" s="7">
        <v>157.75</v>
      </c>
      <c r="K5" s="8">
        <v>9</v>
      </c>
      <c r="L5" s="7">
        <v>168.47</v>
      </c>
    </row>
    <row r="6" spans="1:12" x14ac:dyDescent="0.2">
      <c r="A6" s="2">
        <v>41277</v>
      </c>
      <c r="B6" s="8">
        <f>YEAR(Sales_data[[#This Row],[Order Date]])</f>
        <v>2013</v>
      </c>
      <c r="C6" s="8">
        <f>MONTH(Sales_data[[#This Row],[Order Date]])</f>
        <v>1</v>
      </c>
      <c r="D6" s="8" t="str">
        <f>TEXT(Sales_data[[#This Row],[Order Date]],"mmm")</f>
        <v>Jan</v>
      </c>
      <c r="E6" t="s">
        <v>18</v>
      </c>
      <c r="F6" t="s">
        <v>27</v>
      </c>
      <c r="G6" t="s">
        <v>34</v>
      </c>
      <c r="H6" t="s">
        <v>35</v>
      </c>
      <c r="I6" t="s">
        <v>46</v>
      </c>
      <c r="J6" s="7">
        <v>1112.1300000000001</v>
      </c>
      <c r="K6" s="8">
        <v>9</v>
      </c>
      <c r="L6" s="7">
        <v>152.22</v>
      </c>
    </row>
    <row r="7" spans="1:12" x14ac:dyDescent="0.2">
      <c r="A7" s="2">
        <v>41277</v>
      </c>
      <c r="B7" s="8">
        <f>YEAR(Sales_data[[#This Row],[Order Date]])</f>
        <v>2013</v>
      </c>
      <c r="C7" s="8">
        <f>MONTH(Sales_data[[#This Row],[Order Date]])</f>
        <v>1</v>
      </c>
      <c r="D7" s="8" t="str">
        <f>TEXT(Sales_data[[#This Row],[Order Date]],"mmm")</f>
        <v>Jan</v>
      </c>
      <c r="E7" t="s">
        <v>18</v>
      </c>
      <c r="F7" t="s">
        <v>26</v>
      </c>
      <c r="G7" t="s">
        <v>34</v>
      </c>
      <c r="H7" t="s">
        <v>36</v>
      </c>
      <c r="I7" t="s">
        <v>50</v>
      </c>
      <c r="J7" s="7">
        <v>1869.77</v>
      </c>
      <c r="K7" s="8">
        <v>5</v>
      </c>
      <c r="L7" s="7">
        <v>296.63</v>
      </c>
    </row>
    <row r="8" spans="1:12" x14ac:dyDescent="0.2">
      <c r="A8" s="2">
        <v>41278</v>
      </c>
      <c r="B8" s="8">
        <f>YEAR(Sales_data[[#This Row],[Order Date]])</f>
        <v>2013</v>
      </c>
      <c r="C8" s="8">
        <f>MONTH(Sales_data[[#This Row],[Order Date]])</f>
        <v>1</v>
      </c>
      <c r="D8" s="8" t="str">
        <f>TEXT(Sales_data[[#This Row],[Order Date]],"mmm")</f>
        <v>Jan</v>
      </c>
      <c r="E8" t="s">
        <v>13</v>
      </c>
      <c r="F8" t="s">
        <v>27</v>
      </c>
      <c r="G8" t="s">
        <v>33</v>
      </c>
      <c r="H8" t="s">
        <v>36</v>
      </c>
      <c r="I8" t="s">
        <v>47</v>
      </c>
      <c r="J8" s="7">
        <v>1663.54</v>
      </c>
      <c r="K8" s="8">
        <v>3</v>
      </c>
      <c r="L8" s="7">
        <v>-67.94</v>
      </c>
    </row>
    <row r="9" spans="1:12" x14ac:dyDescent="0.2">
      <c r="A9" s="2">
        <v>41278</v>
      </c>
      <c r="B9" s="8">
        <f>YEAR(Sales_data[[#This Row],[Order Date]])</f>
        <v>2013</v>
      </c>
      <c r="C9" s="8">
        <f>MONTH(Sales_data[[#This Row],[Order Date]])</f>
        <v>1</v>
      </c>
      <c r="D9" s="8" t="str">
        <f>TEXT(Sales_data[[#This Row],[Order Date]],"mmm")</f>
        <v>Jan</v>
      </c>
      <c r="E9" t="s">
        <v>17</v>
      </c>
      <c r="F9" t="s">
        <v>26</v>
      </c>
      <c r="G9" t="s">
        <v>34</v>
      </c>
      <c r="H9" t="s">
        <v>41</v>
      </c>
      <c r="I9" t="s">
        <v>49</v>
      </c>
      <c r="J9" s="7">
        <v>707.44</v>
      </c>
      <c r="K9" s="8">
        <v>2</v>
      </c>
      <c r="L9" s="7">
        <v>21.96</v>
      </c>
    </row>
    <row r="10" spans="1:12" x14ac:dyDescent="0.2">
      <c r="A10" s="2">
        <v>41279</v>
      </c>
      <c r="B10" s="8">
        <f>YEAR(Sales_data[[#This Row],[Order Date]])</f>
        <v>2013</v>
      </c>
      <c r="C10" s="8">
        <f>MONTH(Sales_data[[#This Row],[Order Date]])</f>
        <v>1</v>
      </c>
      <c r="D10" s="8" t="str">
        <f>TEXT(Sales_data[[#This Row],[Order Date]],"mmm")</f>
        <v>Jan</v>
      </c>
      <c r="E10" t="s">
        <v>16</v>
      </c>
      <c r="F10" t="s">
        <v>31</v>
      </c>
      <c r="G10" t="s">
        <v>34</v>
      </c>
      <c r="H10" t="s">
        <v>40</v>
      </c>
      <c r="I10" t="s">
        <v>47</v>
      </c>
      <c r="J10" s="7">
        <v>1585.89</v>
      </c>
      <c r="K10" s="8">
        <v>4</v>
      </c>
      <c r="L10" s="7">
        <v>-131.84</v>
      </c>
    </row>
    <row r="11" spans="1:12" x14ac:dyDescent="0.2">
      <c r="A11" s="2">
        <v>41279</v>
      </c>
      <c r="B11" s="8">
        <f>YEAR(Sales_data[[#This Row],[Order Date]])</f>
        <v>2013</v>
      </c>
      <c r="C11" s="8">
        <f>MONTH(Sales_data[[#This Row],[Order Date]])</f>
        <v>1</v>
      </c>
      <c r="D11" s="8" t="str">
        <f>TEXT(Sales_data[[#This Row],[Order Date]],"mmm")</f>
        <v>Jan</v>
      </c>
      <c r="E11" t="s">
        <v>16</v>
      </c>
      <c r="F11" t="s">
        <v>29</v>
      </c>
      <c r="G11" t="s">
        <v>34</v>
      </c>
      <c r="H11" t="s">
        <v>39</v>
      </c>
      <c r="I11" t="s">
        <v>50</v>
      </c>
      <c r="J11" s="7">
        <v>630.88</v>
      </c>
      <c r="K11" s="8">
        <v>2</v>
      </c>
      <c r="L11" s="7">
        <v>183.02</v>
      </c>
    </row>
    <row r="12" spans="1:12" x14ac:dyDescent="0.2">
      <c r="A12" s="2">
        <v>41280</v>
      </c>
      <c r="B12" s="8">
        <f>YEAR(Sales_data[[#This Row],[Order Date]])</f>
        <v>2013</v>
      </c>
      <c r="C12" s="8">
        <f>MONTH(Sales_data[[#This Row],[Order Date]])</f>
        <v>1</v>
      </c>
      <c r="D12" s="8" t="str">
        <f>TEXT(Sales_data[[#This Row],[Order Date]],"mmm")</f>
        <v>Jan</v>
      </c>
      <c r="E12" t="s">
        <v>13</v>
      </c>
      <c r="F12" t="s">
        <v>23</v>
      </c>
      <c r="G12" t="s">
        <v>34</v>
      </c>
      <c r="H12" t="s">
        <v>35</v>
      </c>
      <c r="I12" t="s">
        <v>47</v>
      </c>
      <c r="J12" s="7">
        <v>1440.62</v>
      </c>
      <c r="K12" s="8">
        <v>1</v>
      </c>
      <c r="L12" s="7">
        <v>134.16999999999999</v>
      </c>
    </row>
    <row r="13" spans="1:12" x14ac:dyDescent="0.2">
      <c r="A13" s="2">
        <v>41281</v>
      </c>
      <c r="B13" s="8">
        <f>YEAR(Sales_data[[#This Row],[Order Date]])</f>
        <v>2013</v>
      </c>
      <c r="C13" s="8">
        <f>MONTH(Sales_data[[#This Row],[Order Date]])</f>
        <v>1</v>
      </c>
      <c r="D13" s="8" t="str">
        <f>TEXT(Sales_data[[#This Row],[Order Date]],"mmm")</f>
        <v>Jan</v>
      </c>
      <c r="E13" t="s">
        <v>10</v>
      </c>
      <c r="F13" t="s">
        <v>30</v>
      </c>
      <c r="G13" t="s">
        <v>33</v>
      </c>
      <c r="H13" t="s">
        <v>36</v>
      </c>
      <c r="I13" t="s">
        <v>44</v>
      </c>
      <c r="J13" s="7">
        <v>1251.25</v>
      </c>
      <c r="K13" s="8">
        <v>4</v>
      </c>
      <c r="L13" s="7">
        <v>-190.95</v>
      </c>
    </row>
    <row r="14" spans="1:12" x14ac:dyDescent="0.2">
      <c r="A14" s="2">
        <v>41282</v>
      </c>
      <c r="B14" s="8">
        <f>YEAR(Sales_data[[#This Row],[Order Date]])</f>
        <v>2013</v>
      </c>
      <c r="C14" s="8">
        <f>MONTH(Sales_data[[#This Row],[Order Date]])</f>
        <v>1</v>
      </c>
      <c r="D14" s="8" t="str">
        <f>TEXT(Sales_data[[#This Row],[Order Date]],"mmm")</f>
        <v>Jan</v>
      </c>
      <c r="E14" t="s">
        <v>17</v>
      </c>
      <c r="F14" t="s">
        <v>27</v>
      </c>
      <c r="G14" t="s">
        <v>34</v>
      </c>
      <c r="H14" t="s">
        <v>40</v>
      </c>
      <c r="I14" t="s">
        <v>52</v>
      </c>
      <c r="J14" s="7">
        <v>430.2</v>
      </c>
      <c r="K14" s="8">
        <v>2</v>
      </c>
      <c r="L14" s="7">
        <v>8.85</v>
      </c>
    </row>
    <row r="15" spans="1:12" x14ac:dyDescent="0.2">
      <c r="A15" s="2">
        <v>41283</v>
      </c>
      <c r="B15" s="8">
        <f>YEAR(Sales_data[[#This Row],[Order Date]])</f>
        <v>2013</v>
      </c>
      <c r="C15" s="8">
        <f>MONTH(Sales_data[[#This Row],[Order Date]])</f>
        <v>1</v>
      </c>
      <c r="D15" s="8" t="str">
        <f>TEXT(Sales_data[[#This Row],[Order Date]],"mmm")</f>
        <v>Jan</v>
      </c>
      <c r="E15" t="s">
        <v>19</v>
      </c>
      <c r="F15" t="s">
        <v>25</v>
      </c>
      <c r="G15" t="s">
        <v>34</v>
      </c>
      <c r="H15" t="s">
        <v>38</v>
      </c>
      <c r="I15" t="s">
        <v>45</v>
      </c>
      <c r="J15" s="7">
        <v>1040.0999999999999</v>
      </c>
      <c r="K15" s="8">
        <v>5</v>
      </c>
      <c r="L15" s="7">
        <v>217.02</v>
      </c>
    </row>
    <row r="16" spans="1:12" x14ac:dyDescent="0.2">
      <c r="A16" s="2">
        <v>41284</v>
      </c>
      <c r="B16" s="8">
        <f>YEAR(Sales_data[[#This Row],[Order Date]])</f>
        <v>2013</v>
      </c>
      <c r="C16" s="8">
        <f>MONTH(Sales_data[[#This Row],[Order Date]])</f>
        <v>1</v>
      </c>
      <c r="D16" s="8" t="str">
        <f>TEXT(Sales_data[[#This Row],[Order Date]],"mmm")</f>
        <v>Jan</v>
      </c>
      <c r="E16" t="s">
        <v>13</v>
      </c>
      <c r="F16" t="s">
        <v>22</v>
      </c>
      <c r="G16" t="s">
        <v>32</v>
      </c>
      <c r="H16" t="s">
        <v>38</v>
      </c>
      <c r="I16" t="s">
        <v>53</v>
      </c>
      <c r="J16" s="7">
        <v>692.8</v>
      </c>
      <c r="K16" s="8">
        <v>2</v>
      </c>
      <c r="L16" s="7">
        <v>-62.1</v>
      </c>
    </row>
    <row r="17" spans="1:12" x14ac:dyDescent="0.2">
      <c r="A17" s="2">
        <v>41284</v>
      </c>
      <c r="B17" s="8">
        <f>YEAR(Sales_data[[#This Row],[Order Date]])</f>
        <v>2013</v>
      </c>
      <c r="C17" s="8">
        <f>MONTH(Sales_data[[#This Row],[Order Date]])</f>
        <v>1</v>
      </c>
      <c r="D17" s="8" t="str">
        <f>TEXT(Sales_data[[#This Row],[Order Date]],"mmm")</f>
        <v>Jan</v>
      </c>
      <c r="E17" t="s">
        <v>12</v>
      </c>
      <c r="F17" t="s">
        <v>30</v>
      </c>
      <c r="G17" t="s">
        <v>34</v>
      </c>
      <c r="H17" t="s">
        <v>41</v>
      </c>
      <c r="I17" t="s">
        <v>52</v>
      </c>
      <c r="J17" s="7">
        <v>1500.94</v>
      </c>
      <c r="K17" s="8">
        <v>8</v>
      </c>
      <c r="L17" s="7">
        <v>319.10000000000002</v>
      </c>
    </row>
    <row r="18" spans="1:12" x14ac:dyDescent="0.2">
      <c r="A18" s="2">
        <v>41285</v>
      </c>
      <c r="B18" s="8">
        <f>YEAR(Sales_data[[#This Row],[Order Date]])</f>
        <v>2013</v>
      </c>
      <c r="C18" s="8">
        <f>MONTH(Sales_data[[#This Row],[Order Date]])</f>
        <v>1</v>
      </c>
      <c r="D18" s="8" t="str">
        <f>TEXT(Sales_data[[#This Row],[Order Date]],"mmm")</f>
        <v>Jan</v>
      </c>
      <c r="E18" t="s">
        <v>11</v>
      </c>
      <c r="F18" t="s">
        <v>22</v>
      </c>
      <c r="G18" t="s">
        <v>34</v>
      </c>
      <c r="H18" t="s">
        <v>40</v>
      </c>
      <c r="I18" t="s">
        <v>46</v>
      </c>
      <c r="J18" s="7">
        <v>1966.06</v>
      </c>
      <c r="K18" s="8">
        <v>5</v>
      </c>
      <c r="L18" s="7">
        <v>-138.31</v>
      </c>
    </row>
    <row r="19" spans="1:12" x14ac:dyDescent="0.2">
      <c r="A19" s="2">
        <v>41285</v>
      </c>
      <c r="B19" s="8">
        <f>YEAR(Sales_data[[#This Row],[Order Date]])</f>
        <v>2013</v>
      </c>
      <c r="C19" s="8">
        <f>MONTH(Sales_data[[#This Row],[Order Date]])</f>
        <v>1</v>
      </c>
      <c r="D19" s="8" t="str">
        <f>TEXT(Sales_data[[#This Row],[Order Date]],"mmm")</f>
        <v>Jan</v>
      </c>
      <c r="E19" t="s">
        <v>14</v>
      </c>
      <c r="F19" t="s">
        <v>25</v>
      </c>
      <c r="G19" t="s">
        <v>34</v>
      </c>
      <c r="H19" t="s">
        <v>42</v>
      </c>
      <c r="I19" t="s">
        <v>45</v>
      </c>
      <c r="J19" s="7">
        <v>1298.94</v>
      </c>
      <c r="K19" s="8">
        <v>1</v>
      </c>
      <c r="L19" s="7">
        <v>220.1</v>
      </c>
    </row>
    <row r="20" spans="1:12" x14ac:dyDescent="0.2">
      <c r="A20" s="2">
        <v>41285</v>
      </c>
      <c r="B20" s="8">
        <f>YEAR(Sales_data[[#This Row],[Order Date]])</f>
        <v>2013</v>
      </c>
      <c r="C20" s="8">
        <f>MONTH(Sales_data[[#This Row],[Order Date]])</f>
        <v>1</v>
      </c>
      <c r="D20" s="8" t="str">
        <f>TEXT(Sales_data[[#This Row],[Order Date]],"mmm")</f>
        <v>Jan</v>
      </c>
      <c r="E20" t="s">
        <v>9</v>
      </c>
      <c r="F20" t="s">
        <v>25</v>
      </c>
      <c r="G20" t="s">
        <v>34</v>
      </c>
      <c r="H20" t="s">
        <v>39</v>
      </c>
      <c r="I20" t="s">
        <v>51</v>
      </c>
      <c r="J20" s="7">
        <v>1506.23</v>
      </c>
      <c r="K20" s="8">
        <v>6</v>
      </c>
      <c r="L20" s="7">
        <v>292.13</v>
      </c>
    </row>
    <row r="21" spans="1:12" x14ac:dyDescent="0.2">
      <c r="A21" s="2">
        <v>41286</v>
      </c>
      <c r="B21" s="8">
        <f>YEAR(Sales_data[[#This Row],[Order Date]])</f>
        <v>2013</v>
      </c>
      <c r="C21" s="8">
        <f>MONTH(Sales_data[[#This Row],[Order Date]])</f>
        <v>1</v>
      </c>
      <c r="D21" s="8" t="str">
        <f>TEXT(Sales_data[[#This Row],[Order Date]],"mmm")</f>
        <v>Jan</v>
      </c>
      <c r="E21" t="s">
        <v>14</v>
      </c>
      <c r="F21" t="s">
        <v>23</v>
      </c>
      <c r="G21" t="s">
        <v>32</v>
      </c>
      <c r="H21" t="s">
        <v>37</v>
      </c>
      <c r="I21" t="s">
        <v>53</v>
      </c>
      <c r="J21" s="7">
        <v>430.41</v>
      </c>
      <c r="K21" s="8">
        <v>3</v>
      </c>
      <c r="L21" s="7">
        <v>386.43</v>
      </c>
    </row>
    <row r="22" spans="1:12" x14ac:dyDescent="0.2">
      <c r="A22" s="2">
        <v>41286</v>
      </c>
      <c r="B22" s="8">
        <f>YEAR(Sales_data[[#This Row],[Order Date]])</f>
        <v>2013</v>
      </c>
      <c r="C22" s="8">
        <f>MONTH(Sales_data[[#This Row],[Order Date]])</f>
        <v>1</v>
      </c>
      <c r="D22" s="8" t="str">
        <f>TEXT(Sales_data[[#This Row],[Order Date]],"mmm")</f>
        <v>Jan</v>
      </c>
      <c r="E22" t="s">
        <v>21</v>
      </c>
      <c r="F22" t="s">
        <v>26</v>
      </c>
      <c r="G22" t="s">
        <v>34</v>
      </c>
      <c r="H22" t="s">
        <v>37</v>
      </c>
      <c r="I22" t="s">
        <v>50</v>
      </c>
      <c r="J22" s="7">
        <v>1948.32</v>
      </c>
      <c r="K22" s="8">
        <v>7</v>
      </c>
      <c r="L22" s="7">
        <v>324.63</v>
      </c>
    </row>
    <row r="23" spans="1:12" x14ac:dyDescent="0.2">
      <c r="A23" s="2">
        <v>41287</v>
      </c>
      <c r="B23" s="8">
        <f>YEAR(Sales_data[[#This Row],[Order Date]])</f>
        <v>2013</v>
      </c>
      <c r="C23" s="8">
        <f>MONTH(Sales_data[[#This Row],[Order Date]])</f>
        <v>1</v>
      </c>
      <c r="D23" s="8" t="str">
        <f>TEXT(Sales_data[[#This Row],[Order Date]],"mmm")</f>
        <v>Jan</v>
      </c>
      <c r="E23" t="s">
        <v>20</v>
      </c>
      <c r="F23" t="s">
        <v>31</v>
      </c>
      <c r="G23" t="s">
        <v>34</v>
      </c>
      <c r="H23" t="s">
        <v>38</v>
      </c>
      <c r="I23" t="s">
        <v>53</v>
      </c>
      <c r="J23" s="7">
        <v>585.80999999999995</v>
      </c>
      <c r="K23" s="8">
        <v>5</v>
      </c>
      <c r="L23" s="7">
        <v>334.19</v>
      </c>
    </row>
    <row r="24" spans="1:12" x14ac:dyDescent="0.2">
      <c r="A24" s="2">
        <v>41288</v>
      </c>
      <c r="B24" s="8">
        <f>YEAR(Sales_data[[#This Row],[Order Date]])</f>
        <v>2013</v>
      </c>
      <c r="C24" s="8">
        <f>MONTH(Sales_data[[#This Row],[Order Date]])</f>
        <v>1</v>
      </c>
      <c r="D24" s="8" t="str">
        <f>TEXT(Sales_data[[#This Row],[Order Date]],"mmm")</f>
        <v>Jan</v>
      </c>
      <c r="E24" t="s">
        <v>12</v>
      </c>
      <c r="F24" t="s">
        <v>24</v>
      </c>
      <c r="G24" t="s">
        <v>33</v>
      </c>
      <c r="H24" t="s">
        <v>36</v>
      </c>
      <c r="I24" t="s">
        <v>44</v>
      </c>
      <c r="J24" s="7">
        <v>307.60000000000002</v>
      </c>
      <c r="K24" s="8">
        <v>4</v>
      </c>
      <c r="L24" s="7">
        <v>-151.94</v>
      </c>
    </row>
    <row r="25" spans="1:12" x14ac:dyDescent="0.2">
      <c r="A25" s="2">
        <v>41289</v>
      </c>
      <c r="B25" s="8">
        <f>YEAR(Sales_data[[#This Row],[Order Date]])</f>
        <v>2013</v>
      </c>
      <c r="C25" s="8">
        <f>MONTH(Sales_data[[#This Row],[Order Date]])</f>
        <v>1</v>
      </c>
      <c r="D25" s="8" t="str">
        <f>TEXT(Sales_data[[#This Row],[Order Date]],"mmm")</f>
        <v>Jan</v>
      </c>
      <c r="E25" t="s">
        <v>20</v>
      </c>
      <c r="F25" t="s">
        <v>23</v>
      </c>
      <c r="G25" t="s">
        <v>32</v>
      </c>
      <c r="H25" t="s">
        <v>38</v>
      </c>
      <c r="I25" t="s">
        <v>45</v>
      </c>
      <c r="J25" s="7">
        <v>1984.11</v>
      </c>
      <c r="K25" s="8">
        <v>1</v>
      </c>
      <c r="L25" s="7">
        <v>339.93</v>
      </c>
    </row>
    <row r="26" spans="1:12" x14ac:dyDescent="0.2">
      <c r="A26" s="2">
        <v>41289</v>
      </c>
      <c r="B26" s="8">
        <f>YEAR(Sales_data[[#This Row],[Order Date]])</f>
        <v>2013</v>
      </c>
      <c r="C26" s="8">
        <f>MONTH(Sales_data[[#This Row],[Order Date]])</f>
        <v>1</v>
      </c>
      <c r="D26" s="8" t="str">
        <f>TEXT(Sales_data[[#This Row],[Order Date]],"mmm")</f>
        <v>Jan</v>
      </c>
      <c r="E26" t="s">
        <v>19</v>
      </c>
      <c r="F26" t="s">
        <v>30</v>
      </c>
      <c r="G26" t="s">
        <v>32</v>
      </c>
      <c r="H26" t="s">
        <v>35</v>
      </c>
      <c r="I26" t="s">
        <v>45</v>
      </c>
      <c r="J26" s="7">
        <v>959.49</v>
      </c>
      <c r="K26" s="8">
        <v>5</v>
      </c>
      <c r="L26" s="7">
        <v>-90.33</v>
      </c>
    </row>
    <row r="27" spans="1:12" x14ac:dyDescent="0.2">
      <c r="A27" s="2">
        <v>41290</v>
      </c>
      <c r="B27" s="8">
        <f>YEAR(Sales_data[[#This Row],[Order Date]])</f>
        <v>2013</v>
      </c>
      <c r="C27" s="8">
        <f>MONTH(Sales_data[[#This Row],[Order Date]])</f>
        <v>1</v>
      </c>
      <c r="D27" s="8" t="str">
        <f>TEXT(Sales_data[[#This Row],[Order Date]],"mmm")</f>
        <v>Jan</v>
      </c>
      <c r="E27" t="s">
        <v>19</v>
      </c>
      <c r="F27" t="s">
        <v>28</v>
      </c>
      <c r="G27" t="s">
        <v>32</v>
      </c>
      <c r="H27" t="s">
        <v>35</v>
      </c>
      <c r="I27" t="s">
        <v>49</v>
      </c>
      <c r="J27" s="7">
        <v>1478.53</v>
      </c>
      <c r="K27" s="8">
        <v>2</v>
      </c>
      <c r="L27" s="7">
        <v>98.93</v>
      </c>
    </row>
    <row r="28" spans="1:12" x14ac:dyDescent="0.2">
      <c r="A28" s="2">
        <v>41291</v>
      </c>
      <c r="B28" s="8">
        <f>YEAR(Sales_data[[#This Row],[Order Date]])</f>
        <v>2013</v>
      </c>
      <c r="C28" s="8">
        <f>MONTH(Sales_data[[#This Row],[Order Date]])</f>
        <v>1</v>
      </c>
      <c r="D28" s="8" t="str">
        <f>TEXT(Sales_data[[#This Row],[Order Date]],"mmm")</f>
        <v>Jan</v>
      </c>
      <c r="E28" t="s">
        <v>18</v>
      </c>
      <c r="F28" t="s">
        <v>30</v>
      </c>
      <c r="G28" t="s">
        <v>34</v>
      </c>
      <c r="H28" t="s">
        <v>40</v>
      </c>
      <c r="I28" t="s">
        <v>45</v>
      </c>
      <c r="J28" s="7">
        <v>279.48</v>
      </c>
      <c r="K28" s="8">
        <v>1</v>
      </c>
      <c r="L28" s="7">
        <v>237.95</v>
      </c>
    </row>
    <row r="29" spans="1:12" x14ac:dyDescent="0.2">
      <c r="A29" s="2">
        <v>41292</v>
      </c>
      <c r="B29" s="8">
        <f>YEAR(Sales_data[[#This Row],[Order Date]])</f>
        <v>2013</v>
      </c>
      <c r="C29" s="8">
        <f>MONTH(Sales_data[[#This Row],[Order Date]])</f>
        <v>1</v>
      </c>
      <c r="D29" s="8" t="str">
        <f>TEXT(Sales_data[[#This Row],[Order Date]],"mmm")</f>
        <v>Jan</v>
      </c>
      <c r="E29" t="s">
        <v>11</v>
      </c>
      <c r="F29" t="s">
        <v>22</v>
      </c>
      <c r="G29" t="s">
        <v>32</v>
      </c>
      <c r="H29" t="s">
        <v>35</v>
      </c>
      <c r="I29" t="s">
        <v>47</v>
      </c>
      <c r="J29" s="7">
        <v>544.42999999999995</v>
      </c>
      <c r="K29" s="8">
        <v>4</v>
      </c>
      <c r="L29" s="7">
        <v>55.3</v>
      </c>
    </row>
    <row r="30" spans="1:12" x14ac:dyDescent="0.2">
      <c r="A30" s="2">
        <v>41292</v>
      </c>
      <c r="B30" s="8">
        <f>YEAR(Sales_data[[#This Row],[Order Date]])</f>
        <v>2013</v>
      </c>
      <c r="C30" s="8">
        <f>MONTH(Sales_data[[#This Row],[Order Date]])</f>
        <v>1</v>
      </c>
      <c r="D30" s="8" t="str">
        <f>TEXT(Sales_data[[#This Row],[Order Date]],"mmm")</f>
        <v>Jan</v>
      </c>
      <c r="E30" t="s">
        <v>14</v>
      </c>
      <c r="F30" t="s">
        <v>26</v>
      </c>
      <c r="G30" t="s">
        <v>34</v>
      </c>
      <c r="H30" t="s">
        <v>35</v>
      </c>
      <c r="I30" t="s">
        <v>51</v>
      </c>
      <c r="J30" s="7">
        <v>1952.21</v>
      </c>
      <c r="K30" s="8">
        <v>3</v>
      </c>
      <c r="L30" s="7">
        <v>246.5</v>
      </c>
    </row>
    <row r="31" spans="1:12" x14ac:dyDescent="0.2">
      <c r="A31" s="2">
        <v>41294</v>
      </c>
      <c r="B31" s="8">
        <f>YEAR(Sales_data[[#This Row],[Order Date]])</f>
        <v>2013</v>
      </c>
      <c r="C31" s="8">
        <f>MONTH(Sales_data[[#This Row],[Order Date]])</f>
        <v>1</v>
      </c>
      <c r="D31" s="8" t="str">
        <f>TEXT(Sales_data[[#This Row],[Order Date]],"mmm")</f>
        <v>Jan</v>
      </c>
      <c r="E31" t="s">
        <v>20</v>
      </c>
      <c r="F31" t="s">
        <v>30</v>
      </c>
      <c r="G31" t="s">
        <v>32</v>
      </c>
      <c r="H31" t="s">
        <v>35</v>
      </c>
      <c r="I31" t="s">
        <v>47</v>
      </c>
      <c r="J31" s="7">
        <v>549.22</v>
      </c>
      <c r="K31" s="8">
        <v>8</v>
      </c>
      <c r="L31" s="7">
        <v>328.88</v>
      </c>
    </row>
    <row r="32" spans="1:12" x14ac:dyDescent="0.2">
      <c r="A32" s="2">
        <v>41295</v>
      </c>
      <c r="B32" s="8">
        <f>YEAR(Sales_data[[#This Row],[Order Date]])</f>
        <v>2013</v>
      </c>
      <c r="C32" s="8">
        <f>MONTH(Sales_data[[#This Row],[Order Date]])</f>
        <v>1</v>
      </c>
      <c r="D32" s="8" t="str">
        <f>TEXT(Sales_data[[#This Row],[Order Date]],"mmm")</f>
        <v>Jan</v>
      </c>
      <c r="E32" t="s">
        <v>17</v>
      </c>
      <c r="F32" t="s">
        <v>28</v>
      </c>
      <c r="G32" t="s">
        <v>34</v>
      </c>
      <c r="H32" t="s">
        <v>37</v>
      </c>
      <c r="I32" t="s">
        <v>44</v>
      </c>
      <c r="J32" s="7">
        <v>1185.5999999999999</v>
      </c>
      <c r="K32" s="8">
        <v>2</v>
      </c>
      <c r="L32" s="7">
        <v>-16.36</v>
      </c>
    </row>
    <row r="33" spans="1:12" x14ac:dyDescent="0.2">
      <c r="A33" s="2">
        <v>41296</v>
      </c>
      <c r="B33" s="8">
        <f>YEAR(Sales_data[[#This Row],[Order Date]])</f>
        <v>2013</v>
      </c>
      <c r="C33" s="8">
        <f>MONTH(Sales_data[[#This Row],[Order Date]])</f>
        <v>1</v>
      </c>
      <c r="D33" s="8" t="str">
        <f>TEXT(Sales_data[[#This Row],[Order Date]],"mmm")</f>
        <v>Jan</v>
      </c>
      <c r="E33" t="s">
        <v>17</v>
      </c>
      <c r="F33" t="s">
        <v>22</v>
      </c>
      <c r="G33" t="s">
        <v>32</v>
      </c>
      <c r="H33" t="s">
        <v>43</v>
      </c>
      <c r="I33" t="s">
        <v>47</v>
      </c>
      <c r="J33" s="7">
        <v>1779.35</v>
      </c>
      <c r="K33" s="8">
        <v>1</v>
      </c>
      <c r="L33" s="7">
        <v>58.49</v>
      </c>
    </row>
    <row r="34" spans="1:12" x14ac:dyDescent="0.2">
      <c r="A34" s="2">
        <v>41297</v>
      </c>
      <c r="B34" s="8">
        <f>YEAR(Sales_data[[#This Row],[Order Date]])</f>
        <v>2013</v>
      </c>
      <c r="C34" s="8">
        <f>MONTH(Sales_data[[#This Row],[Order Date]])</f>
        <v>1</v>
      </c>
      <c r="D34" s="8" t="str">
        <f>TEXT(Sales_data[[#This Row],[Order Date]],"mmm")</f>
        <v>Jan</v>
      </c>
      <c r="E34" t="s">
        <v>13</v>
      </c>
      <c r="F34" t="s">
        <v>31</v>
      </c>
      <c r="G34" t="s">
        <v>33</v>
      </c>
      <c r="H34" t="s">
        <v>35</v>
      </c>
      <c r="I34" t="s">
        <v>49</v>
      </c>
      <c r="J34" s="7">
        <v>1081.27</v>
      </c>
      <c r="K34" s="8">
        <v>3</v>
      </c>
      <c r="L34" s="7">
        <v>22.72</v>
      </c>
    </row>
    <row r="35" spans="1:12" x14ac:dyDescent="0.2">
      <c r="A35" s="2">
        <v>41297</v>
      </c>
      <c r="B35" s="8">
        <f>YEAR(Sales_data[[#This Row],[Order Date]])</f>
        <v>2013</v>
      </c>
      <c r="C35" s="8">
        <f>MONTH(Sales_data[[#This Row],[Order Date]])</f>
        <v>1</v>
      </c>
      <c r="D35" s="8" t="str">
        <f>TEXT(Sales_data[[#This Row],[Order Date]],"mmm")</f>
        <v>Jan</v>
      </c>
      <c r="E35" t="s">
        <v>20</v>
      </c>
      <c r="F35" t="s">
        <v>27</v>
      </c>
      <c r="G35" t="s">
        <v>32</v>
      </c>
      <c r="H35" t="s">
        <v>42</v>
      </c>
      <c r="I35" t="s">
        <v>47</v>
      </c>
      <c r="J35" s="7">
        <v>1180.98</v>
      </c>
      <c r="K35" s="8">
        <v>8</v>
      </c>
      <c r="L35" s="7">
        <v>26.88</v>
      </c>
    </row>
    <row r="36" spans="1:12" x14ac:dyDescent="0.2">
      <c r="A36" s="2">
        <v>41299</v>
      </c>
      <c r="B36" s="8">
        <f>YEAR(Sales_data[[#This Row],[Order Date]])</f>
        <v>2013</v>
      </c>
      <c r="C36" s="8">
        <f>MONTH(Sales_data[[#This Row],[Order Date]])</f>
        <v>1</v>
      </c>
      <c r="D36" s="8" t="str">
        <f>TEXT(Sales_data[[#This Row],[Order Date]],"mmm")</f>
        <v>Jan</v>
      </c>
      <c r="E36" t="s">
        <v>9</v>
      </c>
      <c r="F36" t="s">
        <v>27</v>
      </c>
      <c r="G36" t="s">
        <v>32</v>
      </c>
      <c r="H36" t="s">
        <v>43</v>
      </c>
      <c r="I36" t="s">
        <v>49</v>
      </c>
      <c r="J36" s="7">
        <v>497.46</v>
      </c>
      <c r="K36" s="8">
        <v>2</v>
      </c>
      <c r="L36" s="7">
        <v>183.8</v>
      </c>
    </row>
    <row r="37" spans="1:12" x14ac:dyDescent="0.2">
      <c r="A37" s="2">
        <v>41299</v>
      </c>
      <c r="B37" s="8">
        <f>YEAR(Sales_data[[#This Row],[Order Date]])</f>
        <v>2013</v>
      </c>
      <c r="C37" s="8">
        <f>MONTH(Sales_data[[#This Row],[Order Date]])</f>
        <v>1</v>
      </c>
      <c r="D37" s="8" t="str">
        <f>TEXT(Sales_data[[#This Row],[Order Date]],"mmm")</f>
        <v>Jan</v>
      </c>
      <c r="E37" t="s">
        <v>10</v>
      </c>
      <c r="F37" t="s">
        <v>28</v>
      </c>
      <c r="G37" t="s">
        <v>33</v>
      </c>
      <c r="H37" t="s">
        <v>37</v>
      </c>
      <c r="I37" t="s">
        <v>49</v>
      </c>
      <c r="J37" s="7">
        <v>789.42</v>
      </c>
      <c r="K37" s="8">
        <v>7</v>
      </c>
      <c r="L37" s="7">
        <v>378.85</v>
      </c>
    </row>
    <row r="38" spans="1:12" x14ac:dyDescent="0.2">
      <c r="A38" s="2">
        <v>41299</v>
      </c>
      <c r="B38" s="8">
        <f>YEAR(Sales_data[[#This Row],[Order Date]])</f>
        <v>2013</v>
      </c>
      <c r="C38" s="8">
        <f>MONTH(Sales_data[[#This Row],[Order Date]])</f>
        <v>1</v>
      </c>
      <c r="D38" s="8" t="str">
        <f>TEXT(Sales_data[[#This Row],[Order Date]],"mmm")</f>
        <v>Jan</v>
      </c>
      <c r="E38" t="s">
        <v>10</v>
      </c>
      <c r="F38" t="s">
        <v>28</v>
      </c>
      <c r="G38" t="s">
        <v>33</v>
      </c>
      <c r="H38" t="s">
        <v>36</v>
      </c>
      <c r="I38" t="s">
        <v>48</v>
      </c>
      <c r="J38" s="7">
        <v>1521.53</v>
      </c>
      <c r="K38" s="8">
        <v>4</v>
      </c>
      <c r="L38" s="7">
        <v>-57.84</v>
      </c>
    </row>
    <row r="39" spans="1:12" x14ac:dyDescent="0.2">
      <c r="A39" s="2">
        <v>41301</v>
      </c>
      <c r="B39" s="8">
        <f>YEAR(Sales_data[[#This Row],[Order Date]])</f>
        <v>2013</v>
      </c>
      <c r="C39" s="8">
        <f>MONTH(Sales_data[[#This Row],[Order Date]])</f>
        <v>1</v>
      </c>
      <c r="D39" s="8" t="str">
        <f>TEXT(Sales_data[[#This Row],[Order Date]],"mmm")</f>
        <v>Jan</v>
      </c>
      <c r="E39" t="s">
        <v>14</v>
      </c>
      <c r="F39" t="s">
        <v>29</v>
      </c>
      <c r="G39" t="s">
        <v>32</v>
      </c>
      <c r="H39" t="s">
        <v>43</v>
      </c>
      <c r="I39" t="s">
        <v>49</v>
      </c>
      <c r="J39" s="7">
        <v>804.09</v>
      </c>
      <c r="K39" s="8">
        <v>5</v>
      </c>
      <c r="L39" s="7">
        <v>122.56</v>
      </c>
    </row>
    <row r="40" spans="1:12" x14ac:dyDescent="0.2">
      <c r="A40" s="2">
        <v>41301</v>
      </c>
      <c r="B40" s="8">
        <f>YEAR(Sales_data[[#This Row],[Order Date]])</f>
        <v>2013</v>
      </c>
      <c r="C40" s="8">
        <f>MONTH(Sales_data[[#This Row],[Order Date]])</f>
        <v>1</v>
      </c>
      <c r="D40" s="8" t="str">
        <f>TEXT(Sales_data[[#This Row],[Order Date]],"mmm")</f>
        <v>Jan</v>
      </c>
      <c r="E40" t="s">
        <v>16</v>
      </c>
      <c r="F40" t="s">
        <v>31</v>
      </c>
      <c r="G40" t="s">
        <v>32</v>
      </c>
      <c r="H40" t="s">
        <v>36</v>
      </c>
      <c r="I40" t="s">
        <v>48</v>
      </c>
      <c r="J40" s="7">
        <v>14.26</v>
      </c>
      <c r="K40" s="8">
        <v>4</v>
      </c>
      <c r="L40" s="7">
        <v>75.3</v>
      </c>
    </row>
    <row r="41" spans="1:12" x14ac:dyDescent="0.2">
      <c r="A41" s="2">
        <v>41302</v>
      </c>
      <c r="B41" s="8">
        <f>YEAR(Sales_data[[#This Row],[Order Date]])</f>
        <v>2013</v>
      </c>
      <c r="C41" s="8">
        <f>MONTH(Sales_data[[#This Row],[Order Date]])</f>
        <v>1</v>
      </c>
      <c r="D41" s="8" t="str">
        <f>TEXT(Sales_data[[#This Row],[Order Date]],"mmm")</f>
        <v>Jan</v>
      </c>
      <c r="E41" t="s">
        <v>20</v>
      </c>
      <c r="F41" t="s">
        <v>31</v>
      </c>
      <c r="G41" t="s">
        <v>34</v>
      </c>
      <c r="H41" t="s">
        <v>37</v>
      </c>
      <c r="I41" t="s">
        <v>46</v>
      </c>
      <c r="J41" s="7">
        <v>835.32</v>
      </c>
      <c r="K41" s="8">
        <v>5</v>
      </c>
      <c r="L41" s="7">
        <v>150.5</v>
      </c>
    </row>
    <row r="42" spans="1:12" x14ac:dyDescent="0.2">
      <c r="A42" s="2">
        <v>41302</v>
      </c>
      <c r="B42" s="8">
        <f>YEAR(Sales_data[[#This Row],[Order Date]])</f>
        <v>2013</v>
      </c>
      <c r="C42" s="8">
        <f>MONTH(Sales_data[[#This Row],[Order Date]])</f>
        <v>1</v>
      </c>
      <c r="D42" s="8" t="str">
        <f>TEXT(Sales_data[[#This Row],[Order Date]],"mmm")</f>
        <v>Jan</v>
      </c>
      <c r="E42" t="s">
        <v>20</v>
      </c>
      <c r="F42" t="s">
        <v>31</v>
      </c>
      <c r="G42" t="s">
        <v>33</v>
      </c>
      <c r="H42" t="s">
        <v>35</v>
      </c>
      <c r="I42" t="s">
        <v>52</v>
      </c>
      <c r="J42" s="7">
        <v>993.03</v>
      </c>
      <c r="K42" s="8">
        <v>2</v>
      </c>
      <c r="L42" s="7">
        <v>343.35</v>
      </c>
    </row>
    <row r="43" spans="1:12" x14ac:dyDescent="0.2">
      <c r="A43" s="2">
        <v>41303</v>
      </c>
      <c r="B43" s="8">
        <f>YEAR(Sales_data[[#This Row],[Order Date]])</f>
        <v>2013</v>
      </c>
      <c r="C43" s="8">
        <f>MONTH(Sales_data[[#This Row],[Order Date]])</f>
        <v>1</v>
      </c>
      <c r="D43" s="8" t="str">
        <f>TEXT(Sales_data[[#This Row],[Order Date]],"mmm")</f>
        <v>Jan</v>
      </c>
      <c r="E43" t="s">
        <v>10</v>
      </c>
      <c r="F43" t="s">
        <v>27</v>
      </c>
      <c r="G43" t="s">
        <v>32</v>
      </c>
      <c r="H43" t="s">
        <v>39</v>
      </c>
      <c r="I43" t="s">
        <v>45</v>
      </c>
      <c r="J43" s="7">
        <v>1909.73</v>
      </c>
      <c r="K43" s="8">
        <v>6</v>
      </c>
      <c r="L43" s="7">
        <v>-49.69</v>
      </c>
    </row>
    <row r="44" spans="1:12" x14ac:dyDescent="0.2">
      <c r="A44" s="2">
        <v>41303</v>
      </c>
      <c r="B44" s="8">
        <f>YEAR(Sales_data[[#This Row],[Order Date]])</f>
        <v>2013</v>
      </c>
      <c r="C44" s="8">
        <f>MONTH(Sales_data[[#This Row],[Order Date]])</f>
        <v>1</v>
      </c>
      <c r="D44" s="8" t="str">
        <f>TEXT(Sales_data[[#This Row],[Order Date]],"mmm")</f>
        <v>Jan</v>
      </c>
      <c r="E44" t="s">
        <v>15</v>
      </c>
      <c r="F44" t="s">
        <v>23</v>
      </c>
      <c r="G44" t="s">
        <v>34</v>
      </c>
      <c r="H44" t="s">
        <v>39</v>
      </c>
      <c r="I44" t="s">
        <v>48</v>
      </c>
      <c r="J44" s="7">
        <v>1135.6300000000001</v>
      </c>
      <c r="K44" s="8">
        <v>6</v>
      </c>
      <c r="L44" s="7">
        <v>6.29</v>
      </c>
    </row>
    <row r="45" spans="1:12" x14ac:dyDescent="0.2">
      <c r="A45" s="2">
        <v>41303</v>
      </c>
      <c r="B45" s="8">
        <f>YEAR(Sales_data[[#This Row],[Order Date]])</f>
        <v>2013</v>
      </c>
      <c r="C45" s="8">
        <f>MONTH(Sales_data[[#This Row],[Order Date]])</f>
        <v>1</v>
      </c>
      <c r="D45" s="8" t="str">
        <f>TEXT(Sales_data[[#This Row],[Order Date]],"mmm")</f>
        <v>Jan</v>
      </c>
      <c r="E45" t="s">
        <v>21</v>
      </c>
      <c r="F45" t="s">
        <v>22</v>
      </c>
      <c r="G45" t="s">
        <v>34</v>
      </c>
      <c r="H45" t="s">
        <v>41</v>
      </c>
      <c r="I45" t="s">
        <v>51</v>
      </c>
      <c r="J45" s="7">
        <v>1095.27</v>
      </c>
      <c r="K45" s="8">
        <v>1</v>
      </c>
      <c r="L45" s="7">
        <v>304.3</v>
      </c>
    </row>
    <row r="46" spans="1:12" x14ac:dyDescent="0.2">
      <c r="A46" s="2">
        <v>41303</v>
      </c>
      <c r="B46" s="8">
        <f>YEAR(Sales_data[[#This Row],[Order Date]])</f>
        <v>2013</v>
      </c>
      <c r="C46" s="8">
        <f>MONTH(Sales_data[[#This Row],[Order Date]])</f>
        <v>1</v>
      </c>
      <c r="D46" s="8" t="str">
        <f>TEXT(Sales_data[[#This Row],[Order Date]],"mmm")</f>
        <v>Jan</v>
      </c>
      <c r="E46" t="s">
        <v>21</v>
      </c>
      <c r="F46" t="s">
        <v>28</v>
      </c>
      <c r="G46" t="s">
        <v>32</v>
      </c>
      <c r="H46" t="s">
        <v>42</v>
      </c>
      <c r="I46" t="s">
        <v>51</v>
      </c>
      <c r="J46" s="7">
        <v>469.76</v>
      </c>
      <c r="K46" s="8">
        <v>1</v>
      </c>
      <c r="L46" s="7">
        <v>-126.03</v>
      </c>
    </row>
    <row r="47" spans="1:12" x14ac:dyDescent="0.2">
      <c r="A47" s="2">
        <v>41306</v>
      </c>
      <c r="B47" s="8">
        <f>YEAR(Sales_data[[#This Row],[Order Date]])</f>
        <v>2013</v>
      </c>
      <c r="C47" s="8">
        <f>MONTH(Sales_data[[#This Row],[Order Date]])</f>
        <v>2</v>
      </c>
      <c r="D47" s="8" t="str">
        <f>TEXT(Sales_data[[#This Row],[Order Date]],"mmm")</f>
        <v>Feb</v>
      </c>
      <c r="E47" t="s">
        <v>13</v>
      </c>
      <c r="F47" t="s">
        <v>26</v>
      </c>
      <c r="G47" t="s">
        <v>34</v>
      </c>
      <c r="H47" t="s">
        <v>41</v>
      </c>
      <c r="I47" t="s">
        <v>45</v>
      </c>
      <c r="J47" s="7">
        <v>1047.32</v>
      </c>
      <c r="K47" s="8">
        <v>1</v>
      </c>
      <c r="L47" s="7">
        <v>384.84</v>
      </c>
    </row>
    <row r="48" spans="1:12" x14ac:dyDescent="0.2">
      <c r="A48" s="2">
        <v>41308</v>
      </c>
      <c r="B48" s="8">
        <f>YEAR(Sales_data[[#This Row],[Order Date]])</f>
        <v>2013</v>
      </c>
      <c r="C48" s="8">
        <f>MONTH(Sales_data[[#This Row],[Order Date]])</f>
        <v>2</v>
      </c>
      <c r="D48" s="8" t="str">
        <f>TEXT(Sales_data[[#This Row],[Order Date]],"mmm")</f>
        <v>Feb</v>
      </c>
      <c r="E48" t="s">
        <v>11</v>
      </c>
      <c r="F48" t="s">
        <v>22</v>
      </c>
      <c r="G48" t="s">
        <v>33</v>
      </c>
      <c r="H48" t="s">
        <v>39</v>
      </c>
      <c r="I48" t="s">
        <v>53</v>
      </c>
      <c r="J48" s="7">
        <v>1890.45</v>
      </c>
      <c r="K48" s="8">
        <v>5</v>
      </c>
      <c r="L48" s="7">
        <v>86.11</v>
      </c>
    </row>
    <row r="49" spans="1:12" x14ac:dyDescent="0.2">
      <c r="A49" s="2">
        <v>41308</v>
      </c>
      <c r="B49" s="8">
        <f>YEAR(Sales_data[[#This Row],[Order Date]])</f>
        <v>2013</v>
      </c>
      <c r="C49" s="8">
        <f>MONTH(Sales_data[[#This Row],[Order Date]])</f>
        <v>2</v>
      </c>
      <c r="D49" s="8" t="str">
        <f>TEXT(Sales_data[[#This Row],[Order Date]],"mmm")</f>
        <v>Feb</v>
      </c>
      <c r="E49" t="s">
        <v>13</v>
      </c>
      <c r="F49" t="s">
        <v>31</v>
      </c>
      <c r="G49" t="s">
        <v>32</v>
      </c>
      <c r="H49" t="s">
        <v>43</v>
      </c>
      <c r="I49" t="s">
        <v>49</v>
      </c>
      <c r="J49" s="7">
        <v>1186.28</v>
      </c>
      <c r="K49" s="8">
        <v>5</v>
      </c>
      <c r="L49" s="7">
        <v>-21.05</v>
      </c>
    </row>
    <row r="50" spans="1:12" x14ac:dyDescent="0.2">
      <c r="A50" s="2">
        <v>41308</v>
      </c>
      <c r="B50" s="8">
        <f>YEAR(Sales_data[[#This Row],[Order Date]])</f>
        <v>2013</v>
      </c>
      <c r="C50" s="8">
        <f>MONTH(Sales_data[[#This Row],[Order Date]])</f>
        <v>2</v>
      </c>
      <c r="D50" s="8" t="str">
        <f>TEXT(Sales_data[[#This Row],[Order Date]],"mmm")</f>
        <v>Feb</v>
      </c>
      <c r="E50" t="s">
        <v>9</v>
      </c>
      <c r="F50" t="s">
        <v>25</v>
      </c>
      <c r="G50" t="s">
        <v>34</v>
      </c>
      <c r="H50" t="s">
        <v>42</v>
      </c>
      <c r="I50" t="s">
        <v>51</v>
      </c>
      <c r="J50" s="7">
        <v>876.66</v>
      </c>
      <c r="K50" s="8">
        <v>6</v>
      </c>
      <c r="L50" s="7">
        <v>-157.15</v>
      </c>
    </row>
    <row r="51" spans="1:12" x14ac:dyDescent="0.2">
      <c r="A51" s="2">
        <v>41309</v>
      </c>
      <c r="B51" s="8">
        <f>YEAR(Sales_data[[#This Row],[Order Date]])</f>
        <v>2013</v>
      </c>
      <c r="C51" s="8">
        <f>MONTH(Sales_data[[#This Row],[Order Date]])</f>
        <v>2</v>
      </c>
      <c r="D51" s="8" t="str">
        <f>TEXT(Sales_data[[#This Row],[Order Date]],"mmm")</f>
        <v>Feb</v>
      </c>
      <c r="E51" t="s">
        <v>10</v>
      </c>
      <c r="F51" t="s">
        <v>31</v>
      </c>
      <c r="G51" t="s">
        <v>34</v>
      </c>
      <c r="H51" t="s">
        <v>38</v>
      </c>
      <c r="I51" t="s">
        <v>52</v>
      </c>
      <c r="J51" s="7">
        <v>49.02</v>
      </c>
      <c r="K51" s="8">
        <v>9</v>
      </c>
      <c r="L51" s="7">
        <v>337.74</v>
      </c>
    </row>
    <row r="52" spans="1:12" x14ac:dyDescent="0.2">
      <c r="A52" s="2">
        <v>41309</v>
      </c>
      <c r="B52" s="8">
        <f>YEAR(Sales_data[[#This Row],[Order Date]])</f>
        <v>2013</v>
      </c>
      <c r="C52" s="8">
        <f>MONTH(Sales_data[[#This Row],[Order Date]])</f>
        <v>2</v>
      </c>
      <c r="D52" s="8" t="str">
        <f>TEXT(Sales_data[[#This Row],[Order Date]],"mmm")</f>
        <v>Feb</v>
      </c>
      <c r="E52" t="s">
        <v>13</v>
      </c>
      <c r="F52" t="s">
        <v>30</v>
      </c>
      <c r="G52" t="s">
        <v>33</v>
      </c>
      <c r="H52" t="s">
        <v>38</v>
      </c>
      <c r="I52" t="s">
        <v>47</v>
      </c>
      <c r="J52" s="7">
        <v>1087.5999999999999</v>
      </c>
      <c r="K52" s="8">
        <v>6</v>
      </c>
      <c r="L52" s="7">
        <v>25</v>
      </c>
    </row>
    <row r="53" spans="1:12" x14ac:dyDescent="0.2">
      <c r="A53" s="2">
        <v>41310</v>
      </c>
      <c r="B53" s="8">
        <f>YEAR(Sales_data[[#This Row],[Order Date]])</f>
        <v>2013</v>
      </c>
      <c r="C53" s="8">
        <f>MONTH(Sales_data[[#This Row],[Order Date]])</f>
        <v>2</v>
      </c>
      <c r="D53" s="8" t="str">
        <f>TEXT(Sales_data[[#This Row],[Order Date]],"mmm")</f>
        <v>Feb</v>
      </c>
      <c r="E53" t="s">
        <v>14</v>
      </c>
      <c r="F53" t="s">
        <v>28</v>
      </c>
      <c r="G53" t="s">
        <v>33</v>
      </c>
      <c r="H53" t="s">
        <v>35</v>
      </c>
      <c r="I53" t="s">
        <v>47</v>
      </c>
      <c r="J53" s="7">
        <v>1709.36</v>
      </c>
      <c r="K53" s="8">
        <v>5</v>
      </c>
      <c r="L53" s="7">
        <v>-5</v>
      </c>
    </row>
    <row r="54" spans="1:12" x14ac:dyDescent="0.2">
      <c r="A54" s="2">
        <v>41311</v>
      </c>
      <c r="B54" s="8">
        <f>YEAR(Sales_data[[#This Row],[Order Date]])</f>
        <v>2013</v>
      </c>
      <c r="C54" s="8">
        <f>MONTH(Sales_data[[#This Row],[Order Date]])</f>
        <v>2</v>
      </c>
      <c r="D54" s="8" t="str">
        <f>TEXT(Sales_data[[#This Row],[Order Date]],"mmm")</f>
        <v>Feb</v>
      </c>
      <c r="E54" t="s">
        <v>16</v>
      </c>
      <c r="F54" t="s">
        <v>26</v>
      </c>
      <c r="G54" t="s">
        <v>33</v>
      </c>
      <c r="H54" t="s">
        <v>36</v>
      </c>
      <c r="I54" t="s">
        <v>53</v>
      </c>
      <c r="J54" s="7">
        <v>1160.3699999999999</v>
      </c>
      <c r="K54" s="8">
        <v>9</v>
      </c>
      <c r="L54" s="7">
        <v>123.52</v>
      </c>
    </row>
    <row r="55" spans="1:12" x14ac:dyDescent="0.2">
      <c r="A55" s="2">
        <v>41312</v>
      </c>
      <c r="B55" s="8">
        <f>YEAR(Sales_data[[#This Row],[Order Date]])</f>
        <v>2013</v>
      </c>
      <c r="C55" s="8">
        <f>MONTH(Sales_data[[#This Row],[Order Date]])</f>
        <v>2</v>
      </c>
      <c r="D55" s="8" t="str">
        <f>TEXT(Sales_data[[#This Row],[Order Date]],"mmm")</f>
        <v>Feb</v>
      </c>
      <c r="E55" t="s">
        <v>21</v>
      </c>
      <c r="F55" t="s">
        <v>30</v>
      </c>
      <c r="G55" t="s">
        <v>33</v>
      </c>
      <c r="H55" t="s">
        <v>35</v>
      </c>
      <c r="I55" t="s">
        <v>51</v>
      </c>
      <c r="J55" s="7">
        <v>416.96</v>
      </c>
      <c r="K55" s="8">
        <v>4</v>
      </c>
      <c r="L55" s="7">
        <v>335.12</v>
      </c>
    </row>
    <row r="56" spans="1:12" x14ac:dyDescent="0.2">
      <c r="A56" s="2">
        <v>41313</v>
      </c>
      <c r="B56" s="8">
        <f>YEAR(Sales_data[[#This Row],[Order Date]])</f>
        <v>2013</v>
      </c>
      <c r="C56" s="8">
        <f>MONTH(Sales_data[[#This Row],[Order Date]])</f>
        <v>2</v>
      </c>
      <c r="D56" s="8" t="str">
        <f>TEXT(Sales_data[[#This Row],[Order Date]],"mmm")</f>
        <v>Feb</v>
      </c>
      <c r="E56" t="s">
        <v>14</v>
      </c>
      <c r="F56" t="s">
        <v>29</v>
      </c>
      <c r="G56" t="s">
        <v>33</v>
      </c>
      <c r="H56" t="s">
        <v>41</v>
      </c>
      <c r="I56" t="s">
        <v>50</v>
      </c>
      <c r="J56" s="7">
        <v>96.36</v>
      </c>
      <c r="K56" s="8">
        <v>9</v>
      </c>
      <c r="L56" s="7">
        <v>321.88</v>
      </c>
    </row>
    <row r="57" spans="1:12" x14ac:dyDescent="0.2">
      <c r="A57" s="2">
        <v>41313</v>
      </c>
      <c r="B57" s="8">
        <f>YEAR(Sales_data[[#This Row],[Order Date]])</f>
        <v>2013</v>
      </c>
      <c r="C57" s="8">
        <f>MONTH(Sales_data[[#This Row],[Order Date]])</f>
        <v>2</v>
      </c>
      <c r="D57" s="8" t="str">
        <f>TEXT(Sales_data[[#This Row],[Order Date]],"mmm")</f>
        <v>Feb</v>
      </c>
      <c r="E57" t="s">
        <v>20</v>
      </c>
      <c r="F57" t="s">
        <v>26</v>
      </c>
      <c r="G57" t="s">
        <v>33</v>
      </c>
      <c r="H57" t="s">
        <v>35</v>
      </c>
      <c r="I57" t="s">
        <v>49</v>
      </c>
      <c r="J57" s="7">
        <v>1906.69</v>
      </c>
      <c r="K57" s="8">
        <v>8</v>
      </c>
      <c r="L57" s="7">
        <v>-156.26</v>
      </c>
    </row>
    <row r="58" spans="1:12" x14ac:dyDescent="0.2">
      <c r="A58" s="2">
        <v>41315</v>
      </c>
      <c r="B58" s="8">
        <f>YEAR(Sales_data[[#This Row],[Order Date]])</f>
        <v>2013</v>
      </c>
      <c r="C58" s="8">
        <f>MONTH(Sales_data[[#This Row],[Order Date]])</f>
        <v>2</v>
      </c>
      <c r="D58" s="8" t="str">
        <f>TEXT(Sales_data[[#This Row],[Order Date]],"mmm")</f>
        <v>Feb</v>
      </c>
      <c r="E58" t="s">
        <v>10</v>
      </c>
      <c r="F58" t="s">
        <v>30</v>
      </c>
      <c r="G58" t="s">
        <v>34</v>
      </c>
      <c r="H58" t="s">
        <v>35</v>
      </c>
      <c r="I58" t="s">
        <v>47</v>
      </c>
      <c r="J58" s="7">
        <v>153.97</v>
      </c>
      <c r="K58" s="8">
        <v>3</v>
      </c>
      <c r="L58" s="7">
        <v>180.73</v>
      </c>
    </row>
    <row r="59" spans="1:12" x14ac:dyDescent="0.2">
      <c r="A59" s="2">
        <v>41315</v>
      </c>
      <c r="B59" s="8">
        <f>YEAR(Sales_data[[#This Row],[Order Date]])</f>
        <v>2013</v>
      </c>
      <c r="C59" s="8">
        <f>MONTH(Sales_data[[#This Row],[Order Date]])</f>
        <v>2</v>
      </c>
      <c r="D59" s="8" t="str">
        <f>TEXT(Sales_data[[#This Row],[Order Date]],"mmm")</f>
        <v>Feb</v>
      </c>
      <c r="E59" t="s">
        <v>16</v>
      </c>
      <c r="F59" t="s">
        <v>23</v>
      </c>
      <c r="G59" t="s">
        <v>32</v>
      </c>
      <c r="H59" t="s">
        <v>36</v>
      </c>
      <c r="I59" t="s">
        <v>51</v>
      </c>
      <c r="J59" s="7">
        <v>766.5</v>
      </c>
      <c r="K59" s="8">
        <v>5</v>
      </c>
      <c r="L59" s="7">
        <v>268.26</v>
      </c>
    </row>
    <row r="60" spans="1:12" x14ac:dyDescent="0.2">
      <c r="A60" s="2">
        <v>41315</v>
      </c>
      <c r="B60" s="8">
        <f>YEAR(Sales_data[[#This Row],[Order Date]])</f>
        <v>2013</v>
      </c>
      <c r="C60" s="8">
        <f>MONTH(Sales_data[[#This Row],[Order Date]])</f>
        <v>2</v>
      </c>
      <c r="D60" s="8" t="str">
        <f>TEXT(Sales_data[[#This Row],[Order Date]],"mmm")</f>
        <v>Feb</v>
      </c>
      <c r="E60" t="s">
        <v>10</v>
      </c>
      <c r="F60" t="s">
        <v>23</v>
      </c>
      <c r="G60" t="s">
        <v>34</v>
      </c>
      <c r="H60" t="s">
        <v>35</v>
      </c>
      <c r="I60" t="s">
        <v>50</v>
      </c>
      <c r="J60" s="7">
        <v>222.7</v>
      </c>
      <c r="K60" s="8">
        <v>6</v>
      </c>
      <c r="L60" s="7">
        <v>-173.42</v>
      </c>
    </row>
    <row r="61" spans="1:12" x14ac:dyDescent="0.2">
      <c r="A61" s="2">
        <v>41316</v>
      </c>
      <c r="B61" s="8">
        <f>YEAR(Sales_data[[#This Row],[Order Date]])</f>
        <v>2013</v>
      </c>
      <c r="C61" s="8">
        <f>MONTH(Sales_data[[#This Row],[Order Date]])</f>
        <v>2</v>
      </c>
      <c r="D61" s="8" t="str">
        <f>TEXT(Sales_data[[#This Row],[Order Date]],"mmm")</f>
        <v>Feb</v>
      </c>
      <c r="E61" t="s">
        <v>14</v>
      </c>
      <c r="F61" t="s">
        <v>31</v>
      </c>
      <c r="G61" t="s">
        <v>33</v>
      </c>
      <c r="H61" t="s">
        <v>42</v>
      </c>
      <c r="I61" t="s">
        <v>52</v>
      </c>
      <c r="J61" s="7">
        <v>1160.8699999999999</v>
      </c>
      <c r="K61" s="8">
        <v>9</v>
      </c>
      <c r="L61" s="7">
        <v>-136.38</v>
      </c>
    </row>
    <row r="62" spans="1:12" x14ac:dyDescent="0.2">
      <c r="A62" s="2">
        <v>41316</v>
      </c>
      <c r="B62" s="8">
        <f>YEAR(Sales_data[[#This Row],[Order Date]])</f>
        <v>2013</v>
      </c>
      <c r="C62" s="8">
        <f>MONTH(Sales_data[[#This Row],[Order Date]])</f>
        <v>2</v>
      </c>
      <c r="D62" s="8" t="str">
        <f>TEXT(Sales_data[[#This Row],[Order Date]],"mmm")</f>
        <v>Feb</v>
      </c>
      <c r="E62" t="s">
        <v>18</v>
      </c>
      <c r="F62" t="s">
        <v>24</v>
      </c>
      <c r="G62" t="s">
        <v>34</v>
      </c>
      <c r="H62" t="s">
        <v>36</v>
      </c>
      <c r="I62" t="s">
        <v>49</v>
      </c>
      <c r="J62" s="7">
        <v>1390.55</v>
      </c>
      <c r="K62" s="8">
        <v>7</v>
      </c>
      <c r="L62" s="7">
        <v>386.48</v>
      </c>
    </row>
    <row r="63" spans="1:12" x14ac:dyDescent="0.2">
      <c r="A63" s="2">
        <v>41317</v>
      </c>
      <c r="B63" s="8">
        <f>YEAR(Sales_data[[#This Row],[Order Date]])</f>
        <v>2013</v>
      </c>
      <c r="C63" s="8">
        <f>MONTH(Sales_data[[#This Row],[Order Date]])</f>
        <v>2</v>
      </c>
      <c r="D63" s="8" t="str">
        <f>TEXT(Sales_data[[#This Row],[Order Date]],"mmm")</f>
        <v>Feb</v>
      </c>
      <c r="E63" t="s">
        <v>20</v>
      </c>
      <c r="F63" t="s">
        <v>25</v>
      </c>
      <c r="G63" t="s">
        <v>33</v>
      </c>
      <c r="H63" t="s">
        <v>43</v>
      </c>
      <c r="I63" t="s">
        <v>46</v>
      </c>
      <c r="J63" s="7">
        <v>260.07</v>
      </c>
      <c r="K63" s="8">
        <v>7</v>
      </c>
      <c r="L63" s="7">
        <v>196.94</v>
      </c>
    </row>
    <row r="64" spans="1:12" x14ac:dyDescent="0.2">
      <c r="A64" s="2">
        <v>41321</v>
      </c>
      <c r="B64" s="8">
        <f>YEAR(Sales_data[[#This Row],[Order Date]])</f>
        <v>2013</v>
      </c>
      <c r="C64" s="8">
        <f>MONTH(Sales_data[[#This Row],[Order Date]])</f>
        <v>2</v>
      </c>
      <c r="D64" s="8" t="str">
        <f>TEXT(Sales_data[[#This Row],[Order Date]],"mmm")</f>
        <v>Feb</v>
      </c>
      <c r="E64" t="s">
        <v>9</v>
      </c>
      <c r="F64" t="s">
        <v>25</v>
      </c>
      <c r="G64" t="s">
        <v>32</v>
      </c>
      <c r="H64" t="s">
        <v>42</v>
      </c>
      <c r="I64" t="s">
        <v>47</v>
      </c>
      <c r="J64" s="7">
        <v>1078.3699999999999</v>
      </c>
      <c r="K64" s="8">
        <v>7</v>
      </c>
      <c r="L64" s="7">
        <v>-24.04</v>
      </c>
    </row>
    <row r="65" spans="1:12" x14ac:dyDescent="0.2">
      <c r="A65" s="2">
        <v>41321</v>
      </c>
      <c r="B65" s="8">
        <f>YEAR(Sales_data[[#This Row],[Order Date]])</f>
        <v>2013</v>
      </c>
      <c r="C65" s="8">
        <f>MONTH(Sales_data[[#This Row],[Order Date]])</f>
        <v>2</v>
      </c>
      <c r="D65" s="8" t="str">
        <f>TEXT(Sales_data[[#This Row],[Order Date]],"mmm")</f>
        <v>Feb</v>
      </c>
      <c r="E65" t="s">
        <v>11</v>
      </c>
      <c r="F65" t="s">
        <v>22</v>
      </c>
      <c r="G65" t="s">
        <v>33</v>
      </c>
      <c r="H65" t="s">
        <v>43</v>
      </c>
      <c r="I65" t="s">
        <v>49</v>
      </c>
      <c r="J65" s="7">
        <v>1190.3800000000001</v>
      </c>
      <c r="K65" s="8">
        <v>7</v>
      </c>
      <c r="L65" s="7">
        <v>206.8</v>
      </c>
    </row>
    <row r="66" spans="1:12" x14ac:dyDescent="0.2">
      <c r="A66" s="2">
        <v>41321</v>
      </c>
      <c r="B66" s="8">
        <f>YEAR(Sales_data[[#This Row],[Order Date]])</f>
        <v>2013</v>
      </c>
      <c r="C66" s="8">
        <f>MONTH(Sales_data[[#This Row],[Order Date]])</f>
        <v>2</v>
      </c>
      <c r="D66" s="8" t="str">
        <f>TEXT(Sales_data[[#This Row],[Order Date]],"mmm")</f>
        <v>Feb</v>
      </c>
      <c r="E66" t="s">
        <v>17</v>
      </c>
      <c r="F66" t="s">
        <v>26</v>
      </c>
      <c r="G66" t="s">
        <v>34</v>
      </c>
      <c r="H66" t="s">
        <v>39</v>
      </c>
      <c r="I66" t="s">
        <v>47</v>
      </c>
      <c r="J66" s="7">
        <v>848.54</v>
      </c>
      <c r="K66" s="8">
        <v>9</v>
      </c>
      <c r="L66" s="7">
        <v>318.88</v>
      </c>
    </row>
    <row r="67" spans="1:12" x14ac:dyDescent="0.2">
      <c r="A67" s="2">
        <v>41321</v>
      </c>
      <c r="B67" s="8">
        <f>YEAR(Sales_data[[#This Row],[Order Date]])</f>
        <v>2013</v>
      </c>
      <c r="C67" s="8">
        <f>MONTH(Sales_data[[#This Row],[Order Date]])</f>
        <v>2</v>
      </c>
      <c r="D67" s="8" t="str">
        <f>TEXT(Sales_data[[#This Row],[Order Date]],"mmm")</f>
        <v>Feb</v>
      </c>
      <c r="E67" t="s">
        <v>17</v>
      </c>
      <c r="F67" t="s">
        <v>26</v>
      </c>
      <c r="G67" t="s">
        <v>33</v>
      </c>
      <c r="H67" t="s">
        <v>42</v>
      </c>
      <c r="I67" t="s">
        <v>44</v>
      </c>
      <c r="J67" s="7">
        <v>523.73</v>
      </c>
      <c r="K67" s="8">
        <v>8</v>
      </c>
      <c r="L67" s="7">
        <v>365.78</v>
      </c>
    </row>
    <row r="68" spans="1:12" x14ac:dyDescent="0.2">
      <c r="A68" s="2">
        <v>41321</v>
      </c>
      <c r="B68" s="8">
        <f>YEAR(Sales_data[[#This Row],[Order Date]])</f>
        <v>2013</v>
      </c>
      <c r="C68" s="8">
        <f>MONTH(Sales_data[[#This Row],[Order Date]])</f>
        <v>2</v>
      </c>
      <c r="D68" s="8" t="str">
        <f>TEXT(Sales_data[[#This Row],[Order Date]],"mmm")</f>
        <v>Feb</v>
      </c>
      <c r="E68" t="s">
        <v>10</v>
      </c>
      <c r="F68" t="s">
        <v>24</v>
      </c>
      <c r="G68" t="s">
        <v>32</v>
      </c>
      <c r="H68" t="s">
        <v>43</v>
      </c>
      <c r="I68" t="s">
        <v>52</v>
      </c>
      <c r="J68" s="7">
        <v>108.4</v>
      </c>
      <c r="K68" s="8">
        <v>1</v>
      </c>
      <c r="L68" s="7">
        <v>205.84</v>
      </c>
    </row>
    <row r="69" spans="1:12" x14ac:dyDescent="0.2">
      <c r="A69" s="2">
        <v>41322</v>
      </c>
      <c r="B69" s="8">
        <f>YEAR(Sales_data[[#This Row],[Order Date]])</f>
        <v>2013</v>
      </c>
      <c r="C69" s="8">
        <f>MONTH(Sales_data[[#This Row],[Order Date]])</f>
        <v>2</v>
      </c>
      <c r="D69" s="8" t="str">
        <f>TEXT(Sales_data[[#This Row],[Order Date]],"mmm")</f>
        <v>Feb</v>
      </c>
      <c r="E69" t="s">
        <v>17</v>
      </c>
      <c r="F69" t="s">
        <v>26</v>
      </c>
      <c r="G69" t="s">
        <v>34</v>
      </c>
      <c r="H69" t="s">
        <v>41</v>
      </c>
      <c r="I69" t="s">
        <v>45</v>
      </c>
      <c r="J69" s="7">
        <v>791.64</v>
      </c>
      <c r="K69" s="8">
        <v>1</v>
      </c>
      <c r="L69" s="7">
        <v>197.03</v>
      </c>
    </row>
    <row r="70" spans="1:12" x14ac:dyDescent="0.2">
      <c r="A70" s="2">
        <v>41325</v>
      </c>
      <c r="B70" s="8">
        <f>YEAR(Sales_data[[#This Row],[Order Date]])</f>
        <v>2013</v>
      </c>
      <c r="C70" s="8">
        <f>MONTH(Sales_data[[#This Row],[Order Date]])</f>
        <v>2</v>
      </c>
      <c r="D70" s="8" t="str">
        <f>TEXT(Sales_data[[#This Row],[Order Date]],"mmm")</f>
        <v>Feb</v>
      </c>
      <c r="E70" t="s">
        <v>21</v>
      </c>
      <c r="F70" t="s">
        <v>26</v>
      </c>
      <c r="G70" t="s">
        <v>33</v>
      </c>
      <c r="H70" t="s">
        <v>43</v>
      </c>
      <c r="I70" t="s">
        <v>48</v>
      </c>
      <c r="J70" s="7">
        <v>1355.52</v>
      </c>
      <c r="K70" s="8">
        <v>1</v>
      </c>
      <c r="L70" s="7">
        <v>297.69</v>
      </c>
    </row>
    <row r="71" spans="1:12" x14ac:dyDescent="0.2">
      <c r="A71" s="2">
        <v>41325</v>
      </c>
      <c r="B71" s="8">
        <f>YEAR(Sales_data[[#This Row],[Order Date]])</f>
        <v>2013</v>
      </c>
      <c r="C71" s="8">
        <f>MONTH(Sales_data[[#This Row],[Order Date]])</f>
        <v>2</v>
      </c>
      <c r="D71" s="8" t="str">
        <f>TEXT(Sales_data[[#This Row],[Order Date]],"mmm")</f>
        <v>Feb</v>
      </c>
      <c r="E71" t="s">
        <v>12</v>
      </c>
      <c r="F71" t="s">
        <v>28</v>
      </c>
      <c r="G71" t="s">
        <v>32</v>
      </c>
      <c r="H71" t="s">
        <v>39</v>
      </c>
      <c r="I71" t="s">
        <v>44</v>
      </c>
      <c r="J71" s="7">
        <v>1066.19</v>
      </c>
      <c r="K71" s="8">
        <v>8</v>
      </c>
      <c r="L71" s="7">
        <v>370.89</v>
      </c>
    </row>
    <row r="72" spans="1:12" x14ac:dyDescent="0.2">
      <c r="A72" s="2">
        <v>41325</v>
      </c>
      <c r="B72" s="8">
        <f>YEAR(Sales_data[[#This Row],[Order Date]])</f>
        <v>2013</v>
      </c>
      <c r="C72" s="8">
        <f>MONTH(Sales_data[[#This Row],[Order Date]])</f>
        <v>2</v>
      </c>
      <c r="D72" s="8" t="str">
        <f>TEXT(Sales_data[[#This Row],[Order Date]],"mmm")</f>
        <v>Feb</v>
      </c>
      <c r="E72" t="s">
        <v>21</v>
      </c>
      <c r="F72" t="s">
        <v>30</v>
      </c>
      <c r="G72" t="s">
        <v>32</v>
      </c>
      <c r="H72" t="s">
        <v>43</v>
      </c>
      <c r="I72" t="s">
        <v>49</v>
      </c>
      <c r="J72" s="7">
        <v>81.14</v>
      </c>
      <c r="K72" s="8">
        <v>2</v>
      </c>
      <c r="L72" s="7">
        <v>116.51</v>
      </c>
    </row>
    <row r="73" spans="1:12" x14ac:dyDescent="0.2">
      <c r="A73" s="2">
        <v>41327</v>
      </c>
      <c r="B73" s="8">
        <f>YEAR(Sales_data[[#This Row],[Order Date]])</f>
        <v>2013</v>
      </c>
      <c r="C73" s="8">
        <f>MONTH(Sales_data[[#This Row],[Order Date]])</f>
        <v>2</v>
      </c>
      <c r="D73" s="8" t="str">
        <f>TEXT(Sales_data[[#This Row],[Order Date]],"mmm")</f>
        <v>Feb</v>
      </c>
      <c r="E73" t="s">
        <v>21</v>
      </c>
      <c r="F73" t="s">
        <v>23</v>
      </c>
      <c r="G73" t="s">
        <v>33</v>
      </c>
      <c r="H73" t="s">
        <v>40</v>
      </c>
      <c r="I73" t="s">
        <v>47</v>
      </c>
      <c r="J73" s="7">
        <v>285.17</v>
      </c>
      <c r="K73" s="8">
        <v>8</v>
      </c>
      <c r="L73" s="7">
        <v>-32.340000000000003</v>
      </c>
    </row>
    <row r="74" spans="1:12" x14ac:dyDescent="0.2">
      <c r="A74" s="2">
        <v>41328</v>
      </c>
      <c r="B74" s="8">
        <f>YEAR(Sales_data[[#This Row],[Order Date]])</f>
        <v>2013</v>
      </c>
      <c r="C74" s="8">
        <f>MONTH(Sales_data[[#This Row],[Order Date]])</f>
        <v>2</v>
      </c>
      <c r="D74" s="8" t="str">
        <f>TEXT(Sales_data[[#This Row],[Order Date]],"mmm")</f>
        <v>Feb</v>
      </c>
      <c r="E74" t="s">
        <v>16</v>
      </c>
      <c r="F74" t="s">
        <v>26</v>
      </c>
      <c r="G74" t="s">
        <v>33</v>
      </c>
      <c r="H74" t="s">
        <v>37</v>
      </c>
      <c r="I74" t="s">
        <v>44</v>
      </c>
      <c r="J74" s="7">
        <v>1668.22</v>
      </c>
      <c r="K74" s="8">
        <v>3</v>
      </c>
      <c r="L74" s="7">
        <v>249.99</v>
      </c>
    </row>
    <row r="75" spans="1:12" x14ac:dyDescent="0.2">
      <c r="A75" s="2">
        <v>41328</v>
      </c>
      <c r="B75" s="8">
        <f>YEAR(Sales_data[[#This Row],[Order Date]])</f>
        <v>2013</v>
      </c>
      <c r="C75" s="8">
        <f>MONTH(Sales_data[[#This Row],[Order Date]])</f>
        <v>2</v>
      </c>
      <c r="D75" s="8" t="str">
        <f>TEXT(Sales_data[[#This Row],[Order Date]],"mmm")</f>
        <v>Feb</v>
      </c>
      <c r="E75" t="s">
        <v>17</v>
      </c>
      <c r="F75" t="s">
        <v>26</v>
      </c>
      <c r="G75" t="s">
        <v>33</v>
      </c>
      <c r="H75" t="s">
        <v>36</v>
      </c>
      <c r="I75" t="s">
        <v>50</v>
      </c>
      <c r="J75" s="7">
        <v>538.42999999999995</v>
      </c>
      <c r="K75" s="8">
        <v>3</v>
      </c>
      <c r="L75" s="7">
        <v>339.24</v>
      </c>
    </row>
    <row r="76" spans="1:12" x14ac:dyDescent="0.2">
      <c r="A76" s="2">
        <v>41329</v>
      </c>
      <c r="B76" s="8">
        <f>YEAR(Sales_data[[#This Row],[Order Date]])</f>
        <v>2013</v>
      </c>
      <c r="C76" s="8">
        <f>MONTH(Sales_data[[#This Row],[Order Date]])</f>
        <v>2</v>
      </c>
      <c r="D76" s="8" t="str">
        <f>TEXT(Sales_data[[#This Row],[Order Date]],"mmm")</f>
        <v>Feb</v>
      </c>
      <c r="E76" t="s">
        <v>9</v>
      </c>
      <c r="F76" t="s">
        <v>30</v>
      </c>
      <c r="G76" t="s">
        <v>33</v>
      </c>
      <c r="H76" t="s">
        <v>40</v>
      </c>
      <c r="I76" t="s">
        <v>52</v>
      </c>
      <c r="J76" s="7">
        <v>395.54</v>
      </c>
      <c r="K76" s="8">
        <v>7</v>
      </c>
      <c r="L76" s="7">
        <v>-181.46</v>
      </c>
    </row>
    <row r="77" spans="1:12" x14ac:dyDescent="0.2">
      <c r="A77" s="2">
        <v>41329</v>
      </c>
      <c r="B77" s="8">
        <f>YEAR(Sales_data[[#This Row],[Order Date]])</f>
        <v>2013</v>
      </c>
      <c r="C77" s="8">
        <f>MONTH(Sales_data[[#This Row],[Order Date]])</f>
        <v>2</v>
      </c>
      <c r="D77" s="8" t="str">
        <f>TEXT(Sales_data[[#This Row],[Order Date]],"mmm")</f>
        <v>Feb</v>
      </c>
      <c r="E77" t="s">
        <v>9</v>
      </c>
      <c r="F77" t="s">
        <v>25</v>
      </c>
      <c r="G77" t="s">
        <v>33</v>
      </c>
      <c r="H77" t="s">
        <v>40</v>
      </c>
      <c r="I77" t="s">
        <v>51</v>
      </c>
      <c r="J77" s="7">
        <v>1548.45</v>
      </c>
      <c r="K77" s="8">
        <v>1</v>
      </c>
      <c r="L77" s="7">
        <v>-27.8</v>
      </c>
    </row>
    <row r="78" spans="1:12" x14ac:dyDescent="0.2">
      <c r="A78" s="2">
        <v>41329</v>
      </c>
      <c r="B78" s="8">
        <f>YEAR(Sales_data[[#This Row],[Order Date]])</f>
        <v>2013</v>
      </c>
      <c r="C78" s="8">
        <f>MONTH(Sales_data[[#This Row],[Order Date]])</f>
        <v>2</v>
      </c>
      <c r="D78" s="8" t="str">
        <f>TEXT(Sales_data[[#This Row],[Order Date]],"mmm")</f>
        <v>Feb</v>
      </c>
      <c r="E78" t="s">
        <v>11</v>
      </c>
      <c r="F78" t="s">
        <v>29</v>
      </c>
      <c r="G78" t="s">
        <v>34</v>
      </c>
      <c r="H78" t="s">
        <v>43</v>
      </c>
      <c r="I78" t="s">
        <v>48</v>
      </c>
      <c r="J78" s="7">
        <v>1185.27</v>
      </c>
      <c r="K78" s="8">
        <v>3</v>
      </c>
      <c r="L78" s="7">
        <v>-124.03</v>
      </c>
    </row>
    <row r="79" spans="1:12" x14ac:dyDescent="0.2">
      <c r="A79" s="2">
        <v>41330</v>
      </c>
      <c r="B79" s="8">
        <f>YEAR(Sales_data[[#This Row],[Order Date]])</f>
        <v>2013</v>
      </c>
      <c r="C79" s="8">
        <f>MONTH(Sales_data[[#This Row],[Order Date]])</f>
        <v>2</v>
      </c>
      <c r="D79" s="8" t="str">
        <f>TEXT(Sales_data[[#This Row],[Order Date]],"mmm")</f>
        <v>Feb</v>
      </c>
      <c r="E79" t="s">
        <v>20</v>
      </c>
      <c r="F79" t="s">
        <v>25</v>
      </c>
      <c r="G79" t="s">
        <v>34</v>
      </c>
      <c r="H79" t="s">
        <v>40</v>
      </c>
      <c r="I79" t="s">
        <v>49</v>
      </c>
      <c r="J79" s="7">
        <v>1032.92</v>
      </c>
      <c r="K79" s="8">
        <v>9</v>
      </c>
      <c r="L79" s="7">
        <v>158.94999999999999</v>
      </c>
    </row>
    <row r="80" spans="1:12" x14ac:dyDescent="0.2">
      <c r="A80" s="2">
        <v>41332</v>
      </c>
      <c r="B80" s="8">
        <f>YEAR(Sales_data[[#This Row],[Order Date]])</f>
        <v>2013</v>
      </c>
      <c r="C80" s="8">
        <f>MONTH(Sales_data[[#This Row],[Order Date]])</f>
        <v>2</v>
      </c>
      <c r="D80" s="8" t="str">
        <f>TEXT(Sales_data[[#This Row],[Order Date]],"mmm")</f>
        <v>Feb</v>
      </c>
      <c r="E80" t="s">
        <v>14</v>
      </c>
      <c r="F80" t="s">
        <v>30</v>
      </c>
      <c r="G80" t="s">
        <v>34</v>
      </c>
      <c r="H80" t="s">
        <v>35</v>
      </c>
      <c r="I80" t="s">
        <v>45</v>
      </c>
      <c r="J80" s="7">
        <v>651.45000000000005</v>
      </c>
      <c r="K80" s="8">
        <v>4</v>
      </c>
      <c r="L80" s="7">
        <v>68.37</v>
      </c>
    </row>
    <row r="81" spans="1:12" x14ac:dyDescent="0.2">
      <c r="A81" s="2">
        <v>41333</v>
      </c>
      <c r="B81" s="8">
        <f>YEAR(Sales_data[[#This Row],[Order Date]])</f>
        <v>2013</v>
      </c>
      <c r="C81" s="8">
        <f>MONTH(Sales_data[[#This Row],[Order Date]])</f>
        <v>2</v>
      </c>
      <c r="D81" s="8" t="str">
        <f>TEXT(Sales_data[[#This Row],[Order Date]],"mmm")</f>
        <v>Feb</v>
      </c>
      <c r="E81" t="s">
        <v>15</v>
      </c>
      <c r="F81" t="s">
        <v>23</v>
      </c>
      <c r="G81" t="s">
        <v>34</v>
      </c>
      <c r="H81" t="s">
        <v>36</v>
      </c>
      <c r="I81" t="s">
        <v>48</v>
      </c>
      <c r="J81" s="7">
        <v>1110.1600000000001</v>
      </c>
      <c r="K81" s="8">
        <v>5</v>
      </c>
      <c r="L81" s="7">
        <v>382.1</v>
      </c>
    </row>
    <row r="82" spans="1:12" x14ac:dyDescent="0.2">
      <c r="A82" s="2">
        <v>41335</v>
      </c>
      <c r="B82" s="8">
        <f>YEAR(Sales_data[[#This Row],[Order Date]])</f>
        <v>2013</v>
      </c>
      <c r="C82" s="8">
        <f>MONTH(Sales_data[[#This Row],[Order Date]])</f>
        <v>3</v>
      </c>
      <c r="D82" s="8" t="str">
        <f>TEXT(Sales_data[[#This Row],[Order Date]],"mmm")</f>
        <v>Mar</v>
      </c>
      <c r="E82" t="s">
        <v>18</v>
      </c>
      <c r="F82" t="s">
        <v>26</v>
      </c>
      <c r="G82" t="s">
        <v>33</v>
      </c>
      <c r="H82" t="s">
        <v>36</v>
      </c>
      <c r="I82" t="s">
        <v>49</v>
      </c>
      <c r="J82" s="7">
        <v>1866.23</v>
      </c>
      <c r="K82" s="8">
        <v>7</v>
      </c>
      <c r="L82" s="7">
        <v>-83.4</v>
      </c>
    </row>
    <row r="83" spans="1:12" x14ac:dyDescent="0.2">
      <c r="A83" s="2">
        <v>41335</v>
      </c>
      <c r="B83" s="8">
        <f>YEAR(Sales_data[[#This Row],[Order Date]])</f>
        <v>2013</v>
      </c>
      <c r="C83" s="8">
        <f>MONTH(Sales_data[[#This Row],[Order Date]])</f>
        <v>3</v>
      </c>
      <c r="D83" s="8" t="str">
        <f>TEXT(Sales_data[[#This Row],[Order Date]],"mmm")</f>
        <v>Mar</v>
      </c>
      <c r="E83" t="s">
        <v>19</v>
      </c>
      <c r="F83" t="s">
        <v>28</v>
      </c>
      <c r="G83" t="s">
        <v>34</v>
      </c>
      <c r="H83" t="s">
        <v>39</v>
      </c>
      <c r="I83" t="s">
        <v>53</v>
      </c>
      <c r="J83" s="7">
        <v>1006.46</v>
      </c>
      <c r="K83" s="8">
        <v>2</v>
      </c>
      <c r="L83" s="7">
        <v>-66.680000000000007</v>
      </c>
    </row>
    <row r="84" spans="1:12" x14ac:dyDescent="0.2">
      <c r="A84" s="2">
        <v>41335</v>
      </c>
      <c r="B84" s="8">
        <f>YEAR(Sales_data[[#This Row],[Order Date]])</f>
        <v>2013</v>
      </c>
      <c r="C84" s="8">
        <f>MONTH(Sales_data[[#This Row],[Order Date]])</f>
        <v>3</v>
      </c>
      <c r="D84" s="8" t="str">
        <f>TEXT(Sales_data[[#This Row],[Order Date]],"mmm")</f>
        <v>Mar</v>
      </c>
      <c r="E84" t="s">
        <v>21</v>
      </c>
      <c r="F84" t="s">
        <v>25</v>
      </c>
      <c r="G84" t="s">
        <v>34</v>
      </c>
      <c r="H84" t="s">
        <v>42</v>
      </c>
      <c r="I84" t="s">
        <v>52</v>
      </c>
      <c r="J84" s="7">
        <v>1325.99</v>
      </c>
      <c r="K84" s="8">
        <v>9</v>
      </c>
      <c r="L84" s="7">
        <v>-96.13</v>
      </c>
    </row>
    <row r="85" spans="1:12" x14ac:dyDescent="0.2">
      <c r="A85" s="2">
        <v>41336</v>
      </c>
      <c r="B85" s="8">
        <f>YEAR(Sales_data[[#This Row],[Order Date]])</f>
        <v>2013</v>
      </c>
      <c r="C85" s="8">
        <f>MONTH(Sales_data[[#This Row],[Order Date]])</f>
        <v>3</v>
      </c>
      <c r="D85" s="8" t="str">
        <f>TEXT(Sales_data[[#This Row],[Order Date]],"mmm")</f>
        <v>Mar</v>
      </c>
      <c r="E85" t="s">
        <v>11</v>
      </c>
      <c r="F85" t="s">
        <v>28</v>
      </c>
      <c r="G85" t="s">
        <v>33</v>
      </c>
      <c r="H85" t="s">
        <v>42</v>
      </c>
      <c r="I85" t="s">
        <v>45</v>
      </c>
      <c r="J85" s="7">
        <v>1456.69</v>
      </c>
      <c r="K85" s="8">
        <v>5</v>
      </c>
      <c r="L85" s="7">
        <v>82.14</v>
      </c>
    </row>
    <row r="86" spans="1:12" x14ac:dyDescent="0.2">
      <c r="A86" s="2">
        <v>41336</v>
      </c>
      <c r="B86" s="8">
        <f>YEAR(Sales_data[[#This Row],[Order Date]])</f>
        <v>2013</v>
      </c>
      <c r="C86" s="8">
        <f>MONTH(Sales_data[[#This Row],[Order Date]])</f>
        <v>3</v>
      </c>
      <c r="D86" s="8" t="str">
        <f>TEXT(Sales_data[[#This Row],[Order Date]],"mmm")</f>
        <v>Mar</v>
      </c>
      <c r="E86" t="s">
        <v>21</v>
      </c>
      <c r="F86" t="s">
        <v>26</v>
      </c>
      <c r="G86" t="s">
        <v>34</v>
      </c>
      <c r="H86" t="s">
        <v>40</v>
      </c>
      <c r="I86" t="s">
        <v>45</v>
      </c>
      <c r="J86" s="7">
        <v>1690.41</v>
      </c>
      <c r="K86" s="8">
        <v>1</v>
      </c>
      <c r="L86" s="7">
        <v>-165.2</v>
      </c>
    </row>
    <row r="87" spans="1:12" x14ac:dyDescent="0.2">
      <c r="A87" s="2">
        <v>41337</v>
      </c>
      <c r="B87" s="8">
        <f>YEAR(Sales_data[[#This Row],[Order Date]])</f>
        <v>2013</v>
      </c>
      <c r="C87" s="8">
        <f>MONTH(Sales_data[[#This Row],[Order Date]])</f>
        <v>3</v>
      </c>
      <c r="D87" s="8" t="str">
        <f>TEXT(Sales_data[[#This Row],[Order Date]],"mmm")</f>
        <v>Mar</v>
      </c>
      <c r="E87" t="s">
        <v>11</v>
      </c>
      <c r="F87" t="s">
        <v>23</v>
      </c>
      <c r="G87" t="s">
        <v>33</v>
      </c>
      <c r="H87" t="s">
        <v>38</v>
      </c>
      <c r="I87" t="s">
        <v>48</v>
      </c>
      <c r="J87" s="7">
        <v>1378.92</v>
      </c>
      <c r="K87" s="8">
        <v>8</v>
      </c>
      <c r="L87" s="7">
        <v>364.28</v>
      </c>
    </row>
    <row r="88" spans="1:12" x14ac:dyDescent="0.2">
      <c r="A88" s="2">
        <v>41337</v>
      </c>
      <c r="B88" s="8">
        <f>YEAR(Sales_data[[#This Row],[Order Date]])</f>
        <v>2013</v>
      </c>
      <c r="C88" s="8">
        <f>MONTH(Sales_data[[#This Row],[Order Date]])</f>
        <v>3</v>
      </c>
      <c r="D88" s="8" t="str">
        <f>TEXT(Sales_data[[#This Row],[Order Date]],"mmm")</f>
        <v>Mar</v>
      </c>
      <c r="E88" t="s">
        <v>13</v>
      </c>
      <c r="F88" t="s">
        <v>22</v>
      </c>
      <c r="G88" t="s">
        <v>34</v>
      </c>
      <c r="H88" t="s">
        <v>41</v>
      </c>
      <c r="I88" t="s">
        <v>46</v>
      </c>
      <c r="J88" s="7">
        <v>1042.5899999999999</v>
      </c>
      <c r="K88" s="8">
        <v>3</v>
      </c>
      <c r="L88" s="7">
        <v>217.87</v>
      </c>
    </row>
    <row r="89" spans="1:12" x14ac:dyDescent="0.2">
      <c r="A89" s="2">
        <v>41339</v>
      </c>
      <c r="B89" s="8">
        <f>YEAR(Sales_data[[#This Row],[Order Date]])</f>
        <v>2013</v>
      </c>
      <c r="C89" s="8">
        <f>MONTH(Sales_data[[#This Row],[Order Date]])</f>
        <v>3</v>
      </c>
      <c r="D89" s="8" t="str">
        <f>TEXT(Sales_data[[#This Row],[Order Date]],"mmm")</f>
        <v>Mar</v>
      </c>
      <c r="E89" t="s">
        <v>17</v>
      </c>
      <c r="F89" t="s">
        <v>24</v>
      </c>
      <c r="G89" t="s">
        <v>33</v>
      </c>
      <c r="H89" t="s">
        <v>35</v>
      </c>
      <c r="I89" t="s">
        <v>45</v>
      </c>
      <c r="J89" s="7">
        <v>1376.43</v>
      </c>
      <c r="K89" s="8">
        <v>5</v>
      </c>
      <c r="L89" s="7">
        <v>-28.9</v>
      </c>
    </row>
    <row r="90" spans="1:12" x14ac:dyDescent="0.2">
      <c r="A90" s="2">
        <v>41341</v>
      </c>
      <c r="B90" s="8">
        <f>YEAR(Sales_data[[#This Row],[Order Date]])</f>
        <v>2013</v>
      </c>
      <c r="C90" s="8">
        <f>MONTH(Sales_data[[#This Row],[Order Date]])</f>
        <v>3</v>
      </c>
      <c r="D90" s="8" t="str">
        <f>TEXT(Sales_data[[#This Row],[Order Date]],"mmm")</f>
        <v>Mar</v>
      </c>
      <c r="E90" t="s">
        <v>17</v>
      </c>
      <c r="F90" t="s">
        <v>31</v>
      </c>
      <c r="G90" t="s">
        <v>32</v>
      </c>
      <c r="H90" t="s">
        <v>41</v>
      </c>
      <c r="I90" t="s">
        <v>44</v>
      </c>
      <c r="J90" s="7">
        <v>1719.38</v>
      </c>
      <c r="K90" s="8">
        <v>5</v>
      </c>
      <c r="L90" s="7">
        <v>345.35</v>
      </c>
    </row>
    <row r="91" spans="1:12" x14ac:dyDescent="0.2">
      <c r="A91" s="2">
        <v>41343</v>
      </c>
      <c r="B91" s="8">
        <f>YEAR(Sales_data[[#This Row],[Order Date]])</f>
        <v>2013</v>
      </c>
      <c r="C91" s="8">
        <f>MONTH(Sales_data[[#This Row],[Order Date]])</f>
        <v>3</v>
      </c>
      <c r="D91" s="8" t="str">
        <f>TEXT(Sales_data[[#This Row],[Order Date]],"mmm")</f>
        <v>Mar</v>
      </c>
      <c r="E91" t="s">
        <v>12</v>
      </c>
      <c r="F91" t="s">
        <v>28</v>
      </c>
      <c r="G91" t="s">
        <v>33</v>
      </c>
      <c r="H91" t="s">
        <v>38</v>
      </c>
      <c r="I91" t="s">
        <v>45</v>
      </c>
      <c r="J91" s="7">
        <v>930.03</v>
      </c>
      <c r="K91" s="8">
        <v>6</v>
      </c>
      <c r="L91" s="7">
        <v>147.78</v>
      </c>
    </row>
    <row r="92" spans="1:12" x14ac:dyDescent="0.2">
      <c r="A92" s="2">
        <v>41343</v>
      </c>
      <c r="B92" s="8">
        <f>YEAR(Sales_data[[#This Row],[Order Date]])</f>
        <v>2013</v>
      </c>
      <c r="C92" s="8">
        <f>MONTH(Sales_data[[#This Row],[Order Date]])</f>
        <v>3</v>
      </c>
      <c r="D92" s="8" t="str">
        <f>TEXT(Sales_data[[#This Row],[Order Date]],"mmm")</f>
        <v>Mar</v>
      </c>
      <c r="E92" t="s">
        <v>11</v>
      </c>
      <c r="F92" t="s">
        <v>25</v>
      </c>
      <c r="G92" t="s">
        <v>34</v>
      </c>
      <c r="H92" t="s">
        <v>42</v>
      </c>
      <c r="I92" t="s">
        <v>48</v>
      </c>
      <c r="J92" s="7">
        <v>1274.83</v>
      </c>
      <c r="K92" s="8">
        <v>6</v>
      </c>
      <c r="L92" s="7">
        <v>58.87</v>
      </c>
    </row>
    <row r="93" spans="1:12" x14ac:dyDescent="0.2">
      <c r="A93" s="2">
        <v>41343</v>
      </c>
      <c r="B93" s="8">
        <f>YEAR(Sales_data[[#This Row],[Order Date]])</f>
        <v>2013</v>
      </c>
      <c r="C93" s="8">
        <f>MONTH(Sales_data[[#This Row],[Order Date]])</f>
        <v>3</v>
      </c>
      <c r="D93" s="8" t="str">
        <f>TEXT(Sales_data[[#This Row],[Order Date]],"mmm")</f>
        <v>Mar</v>
      </c>
      <c r="E93" t="s">
        <v>20</v>
      </c>
      <c r="F93" t="s">
        <v>26</v>
      </c>
      <c r="G93" t="s">
        <v>32</v>
      </c>
      <c r="H93" t="s">
        <v>40</v>
      </c>
      <c r="I93" t="s">
        <v>46</v>
      </c>
      <c r="J93" s="7">
        <v>482.26</v>
      </c>
      <c r="K93" s="8">
        <v>1</v>
      </c>
      <c r="L93" s="7">
        <v>-70.2</v>
      </c>
    </row>
    <row r="94" spans="1:12" x14ac:dyDescent="0.2">
      <c r="A94" s="2">
        <v>41347</v>
      </c>
      <c r="B94" s="8">
        <f>YEAR(Sales_data[[#This Row],[Order Date]])</f>
        <v>2013</v>
      </c>
      <c r="C94" s="8">
        <f>MONTH(Sales_data[[#This Row],[Order Date]])</f>
        <v>3</v>
      </c>
      <c r="D94" s="8" t="str">
        <f>TEXT(Sales_data[[#This Row],[Order Date]],"mmm")</f>
        <v>Mar</v>
      </c>
      <c r="E94" t="s">
        <v>9</v>
      </c>
      <c r="F94" t="s">
        <v>28</v>
      </c>
      <c r="G94" t="s">
        <v>34</v>
      </c>
      <c r="H94" t="s">
        <v>37</v>
      </c>
      <c r="I94" t="s">
        <v>48</v>
      </c>
      <c r="J94" s="7">
        <v>175.03</v>
      </c>
      <c r="K94" s="8">
        <v>5</v>
      </c>
      <c r="L94" s="7">
        <v>225.03</v>
      </c>
    </row>
    <row r="95" spans="1:12" x14ac:dyDescent="0.2">
      <c r="A95" s="2">
        <v>41349</v>
      </c>
      <c r="B95" s="8">
        <f>YEAR(Sales_data[[#This Row],[Order Date]])</f>
        <v>2013</v>
      </c>
      <c r="C95" s="8">
        <f>MONTH(Sales_data[[#This Row],[Order Date]])</f>
        <v>3</v>
      </c>
      <c r="D95" s="8" t="str">
        <f>TEXT(Sales_data[[#This Row],[Order Date]],"mmm")</f>
        <v>Mar</v>
      </c>
      <c r="E95" t="s">
        <v>12</v>
      </c>
      <c r="F95" t="s">
        <v>31</v>
      </c>
      <c r="G95" t="s">
        <v>34</v>
      </c>
      <c r="H95" t="s">
        <v>39</v>
      </c>
      <c r="I95" t="s">
        <v>48</v>
      </c>
      <c r="J95" s="7">
        <v>1112.3399999999999</v>
      </c>
      <c r="K95" s="8">
        <v>5</v>
      </c>
      <c r="L95" s="7">
        <v>290.69</v>
      </c>
    </row>
    <row r="96" spans="1:12" x14ac:dyDescent="0.2">
      <c r="A96" s="2">
        <v>41349</v>
      </c>
      <c r="B96" s="8">
        <f>YEAR(Sales_data[[#This Row],[Order Date]])</f>
        <v>2013</v>
      </c>
      <c r="C96" s="8">
        <f>MONTH(Sales_data[[#This Row],[Order Date]])</f>
        <v>3</v>
      </c>
      <c r="D96" s="8" t="str">
        <f>TEXT(Sales_data[[#This Row],[Order Date]],"mmm")</f>
        <v>Mar</v>
      </c>
      <c r="E96" t="s">
        <v>12</v>
      </c>
      <c r="F96" t="s">
        <v>30</v>
      </c>
      <c r="G96" t="s">
        <v>34</v>
      </c>
      <c r="H96" t="s">
        <v>42</v>
      </c>
      <c r="I96" t="s">
        <v>45</v>
      </c>
      <c r="J96" s="7">
        <v>1362.84</v>
      </c>
      <c r="K96" s="8">
        <v>2</v>
      </c>
      <c r="L96" s="7">
        <v>311.7</v>
      </c>
    </row>
    <row r="97" spans="1:12" x14ac:dyDescent="0.2">
      <c r="A97" s="2">
        <v>41349</v>
      </c>
      <c r="B97" s="8">
        <f>YEAR(Sales_data[[#This Row],[Order Date]])</f>
        <v>2013</v>
      </c>
      <c r="C97" s="8">
        <f>MONTH(Sales_data[[#This Row],[Order Date]])</f>
        <v>3</v>
      </c>
      <c r="D97" s="8" t="str">
        <f>TEXT(Sales_data[[#This Row],[Order Date]],"mmm")</f>
        <v>Mar</v>
      </c>
      <c r="E97" t="s">
        <v>9</v>
      </c>
      <c r="F97" t="s">
        <v>30</v>
      </c>
      <c r="G97" t="s">
        <v>32</v>
      </c>
      <c r="H97" t="s">
        <v>36</v>
      </c>
      <c r="I97" t="s">
        <v>48</v>
      </c>
      <c r="J97" s="7">
        <v>1717.32</v>
      </c>
      <c r="K97" s="8">
        <v>1</v>
      </c>
      <c r="L97" s="7">
        <v>149.32</v>
      </c>
    </row>
    <row r="98" spans="1:12" x14ac:dyDescent="0.2">
      <c r="A98" s="2">
        <v>41349</v>
      </c>
      <c r="B98" s="8">
        <f>YEAR(Sales_data[[#This Row],[Order Date]])</f>
        <v>2013</v>
      </c>
      <c r="C98" s="8">
        <f>MONTH(Sales_data[[#This Row],[Order Date]])</f>
        <v>3</v>
      </c>
      <c r="D98" s="8" t="str">
        <f>TEXT(Sales_data[[#This Row],[Order Date]],"mmm")</f>
        <v>Mar</v>
      </c>
      <c r="E98" t="s">
        <v>14</v>
      </c>
      <c r="F98" t="s">
        <v>22</v>
      </c>
      <c r="G98" t="s">
        <v>34</v>
      </c>
      <c r="H98" t="s">
        <v>35</v>
      </c>
      <c r="I98" t="s">
        <v>46</v>
      </c>
      <c r="J98" s="7">
        <v>981.3</v>
      </c>
      <c r="K98" s="8">
        <v>4</v>
      </c>
      <c r="L98" s="7">
        <v>-88.43</v>
      </c>
    </row>
    <row r="99" spans="1:12" x14ac:dyDescent="0.2">
      <c r="A99" s="2">
        <v>41350</v>
      </c>
      <c r="B99" s="8">
        <f>YEAR(Sales_data[[#This Row],[Order Date]])</f>
        <v>2013</v>
      </c>
      <c r="C99" s="8">
        <f>MONTH(Sales_data[[#This Row],[Order Date]])</f>
        <v>3</v>
      </c>
      <c r="D99" s="8" t="str">
        <f>TEXT(Sales_data[[#This Row],[Order Date]],"mmm")</f>
        <v>Mar</v>
      </c>
      <c r="E99" t="s">
        <v>20</v>
      </c>
      <c r="F99" t="s">
        <v>22</v>
      </c>
      <c r="G99" t="s">
        <v>33</v>
      </c>
      <c r="H99" t="s">
        <v>43</v>
      </c>
      <c r="I99" t="s">
        <v>52</v>
      </c>
      <c r="J99" s="7">
        <v>820.28</v>
      </c>
      <c r="K99" s="8">
        <v>4</v>
      </c>
      <c r="L99" s="7">
        <v>-164.9</v>
      </c>
    </row>
    <row r="100" spans="1:12" x14ac:dyDescent="0.2">
      <c r="A100" s="2">
        <v>41352</v>
      </c>
      <c r="B100" s="8">
        <f>YEAR(Sales_data[[#This Row],[Order Date]])</f>
        <v>2013</v>
      </c>
      <c r="C100" s="8">
        <f>MONTH(Sales_data[[#This Row],[Order Date]])</f>
        <v>3</v>
      </c>
      <c r="D100" s="8" t="str">
        <f>TEXT(Sales_data[[#This Row],[Order Date]],"mmm")</f>
        <v>Mar</v>
      </c>
      <c r="E100" t="s">
        <v>12</v>
      </c>
      <c r="F100" t="s">
        <v>31</v>
      </c>
      <c r="G100" t="s">
        <v>32</v>
      </c>
      <c r="H100" t="s">
        <v>43</v>
      </c>
      <c r="I100" t="s">
        <v>44</v>
      </c>
      <c r="J100" s="7">
        <v>1861.4</v>
      </c>
      <c r="K100" s="8">
        <v>8</v>
      </c>
      <c r="L100" s="7">
        <v>242.75</v>
      </c>
    </row>
    <row r="101" spans="1:12" x14ac:dyDescent="0.2">
      <c r="A101" s="2">
        <v>41352</v>
      </c>
      <c r="B101" s="8">
        <f>YEAR(Sales_data[[#This Row],[Order Date]])</f>
        <v>2013</v>
      </c>
      <c r="C101" s="8">
        <f>MONTH(Sales_data[[#This Row],[Order Date]])</f>
        <v>3</v>
      </c>
      <c r="D101" s="8" t="str">
        <f>TEXT(Sales_data[[#This Row],[Order Date]],"mmm")</f>
        <v>Mar</v>
      </c>
      <c r="E101" t="s">
        <v>14</v>
      </c>
      <c r="F101" t="s">
        <v>30</v>
      </c>
      <c r="G101" t="s">
        <v>32</v>
      </c>
      <c r="H101" t="s">
        <v>40</v>
      </c>
      <c r="I101" t="s">
        <v>52</v>
      </c>
      <c r="J101" s="7">
        <v>1120.8800000000001</v>
      </c>
      <c r="K101" s="8">
        <v>6</v>
      </c>
      <c r="L101" s="7">
        <v>316.32</v>
      </c>
    </row>
    <row r="102" spans="1:12" x14ac:dyDescent="0.2">
      <c r="A102" s="2">
        <v>41354</v>
      </c>
      <c r="B102" s="8">
        <f>YEAR(Sales_data[[#This Row],[Order Date]])</f>
        <v>2013</v>
      </c>
      <c r="C102" s="8">
        <f>MONTH(Sales_data[[#This Row],[Order Date]])</f>
        <v>3</v>
      </c>
      <c r="D102" s="8" t="str">
        <f>TEXT(Sales_data[[#This Row],[Order Date]],"mmm")</f>
        <v>Mar</v>
      </c>
      <c r="E102" t="s">
        <v>9</v>
      </c>
      <c r="F102" t="s">
        <v>31</v>
      </c>
      <c r="G102" t="s">
        <v>34</v>
      </c>
      <c r="H102" t="s">
        <v>40</v>
      </c>
      <c r="I102" t="s">
        <v>45</v>
      </c>
      <c r="J102" s="7">
        <v>197.98</v>
      </c>
      <c r="K102" s="8">
        <v>7</v>
      </c>
      <c r="L102" s="7">
        <v>66.78</v>
      </c>
    </row>
    <row r="103" spans="1:12" x14ac:dyDescent="0.2">
      <c r="A103" s="2">
        <v>41355</v>
      </c>
      <c r="B103" s="8">
        <f>YEAR(Sales_data[[#This Row],[Order Date]])</f>
        <v>2013</v>
      </c>
      <c r="C103" s="8">
        <f>MONTH(Sales_data[[#This Row],[Order Date]])</f>
        <v>3</v>
      </c>
      <c r="D103" s="8" t="str">
        <f>TEXT(Sales_data[[#This Row],[Order Date]],"mmm")</f>
        <v>Mar</v>
      </c>
      <c r="E103" t="s">
        <v>17</v>
      </c>
      <c r="F103" t="s">
        <v>29</v>
      </c>
      <c r="G103" t="s">
        <v>33</v>
      </c>
      <c r="H103" t="s">
        <v>38</v>
      </c>
      <c r="I103" t="s">
        <v>52</v>
      </c>
      <c r="J103" s="7">
        <v>384.2</v>
      </c>
      <c r="K103" s="8">
        <v>6</v>
      </c>
      <c r="L103" s="7">
        <v>33.26</v>
      </c>
    </row>
    <row r="104" spans="1:12" x14ac:dyDescent="0.2">
      <c r="A104" s="2">
        <v>41356</v>
      </c>
      <c r="B104" s="8">
        <f>YEAR(Sales_data[[#This Row],[Order Date]])</f>
        <v>2013</v>
      </c>
      <c r="C104" s="8">
        <f>MONTH(Sales_data[[#This Row],[Order Date]])</f>
        <v>3</v>
      </c>
      <c r="D104" s="8" t="str">
        <f>TEXT(Sales_data[[#This Row],[Order Date]],"mmm")</f>
        <v>Mar</v>
      </c>
      <c r="E104" t="s">
        <v>12</v>
      </c>
      <c r="F104" t="s">
        <v>22</v>
      </c>
      <c r="G104" t="s">
        <v>34</v>
      </c>
      <c r="H104" t="s">
        <v>41</v>
      </c>
      <c r="I104" t="s">
        <v>45</v>
      </c>
      <c r="J104" s="7">
        <v>295.95</v>
      </c>
      <c r="K104" s="8">
        <v>5</v>
      </c>
      <c r="L104" s="7">
        <v>-1.79</v>
      </c>
    </row>
    <row r="105" spans="1:12" x14ac:dyDescent="0.2">
      <c r="A105" s="2">
        <v>41357</v>
      </c>
      <c r="B105" s="8">
        <f>YEAR(Sales_data[[#This Row],[Order Date]])</f>
        <v>2013</v>
      </c>
      <c r="C105" s="8">
        <f>MONTH(Sales_data[[#This Row],[Order Date]])</f>
        <v>3</v>
      </c>
      <c r="D105" s="8" t="str">
        <f>TEXT(Sales_data[[#This Row],[Order Date]],"mmm")</f>
        <v>Mar</v>
      </c>
      <c r="E105" t="s">
        <v>11</v>
      </c>
      <c r="F105" t="s">
        <v>25</v>
      </c>
      <c r="G105" t="s">
        <v>32</v>
      </c>
      <c r="H105" t="s">
        <v>36</v>
      </c>
      <c r="I105" t="s">
        <v>45</v>
      </c>
      <c r="J105" s="7">
        <v>1007.08</v>
      </c>
      <c r="K105" s="8">
        <v>5</v>
      </c>
      <c r="L105" s="7">
        <v>75.58</v>
      </c>
    </row>
    <row r="106" spans="1:12" x14ac:dyDescent="0.2">
      <c r="A106" s="2">
        <v>41360</v>
      </c>
      <c r="B106" s="8">
        <f>YEAR(Sales_data[[#This Row],[Order Date]])</f>
        <v>2013</v>
      </c>
      <c r="C106" s="8">
        <f>MONTH(Sales_data[[#This Row],[Order Date]])</f>
        <v>3</v>
      </c>
      <c r="D106" s="8" t="str">
        <f>TEXT(Sales_data[[#This Row],[Order Date]],"mmm")</f>
        <v>Mar</v>
      </c>
      <c r="E106" t="s">
        <v>16</v>
      </c>
      <c r="F106" t="s">
        <v>31</v>
      </c>
      <c r="G106" t="s">
        <v>33</v>
      </c>
      <c r="H106" t="s">
        <v>38</v>
      </c>
      <c r="I106" t="s">
        <v>51</v>
      </c>
      <c r="J106" s="7">
        <v>1325.92</v>
      </c>
      <c r="K106" s="8">
        <v>2</v>
      </c>
      <c r="L106" s="7">
        <v>383.55</v>
      </c>
    </row>
    <row r="107" spans="1:12" x14ac:dyDescent="0.2">
      <c r="A107" s="2">
        <v>41361</v>
      </c>
      <c r="B107" s="8">
        <f>YEAR(Sales_data[[#This Row],[Order Date]])</f>
        <v>2013</v>
      </c>
      <c r="C107" s="8">
        <f>MONTH(Sales_data[[#This Row],[Order Date]])</f>
        <v>3</v>
      </c>
      <c r="D107" s="8" t="str">
        <f>TEXT(Sales_data[[#This Row],[Order Date]],"mmm")</f>
        <v>Mar</v>
      </c>
      <c r="E107" t="s">
        <v>10</v>
      </c>
      <c r="F107" t="s">
        <v>23</v>
      </c>
      <c r="G107" t="s">
        <v>34</v>
      </c>
      <c r="H107" t="s">
        <v>36</v>
      </c>
      <c r="I107" t="s">
        <v>44</v>
      </c>
      <c r="J107" s="7">
        <v>1165.43</v>
      </c>
      <c r="K107" s="8">
        <v>6</v>
      </c>
      <c r="L107" s="7">
        <v>-73.099999999999994</v>
      </c>
    </row>
    <row r="108" spans="1:12" x14ac:dyDescent="0.2">
      <c r="A108" s="2">
        <v>41362</v>
      </c>
      <c r="B108" s="8">
        <f>YEAR(Sales_data[[#This Row],[Order Date]])</f>
        <v>2013</v>
      </c>
      <c r="C108" s="8">
        <f>MONTH(Sales_data[[#This Row],[Order Date]])</f>
        <v>3</v>
      </c>
      <c r="D108" s="8" t="str">
        <f>TEXT(Sales_data[[#This Row],[Order Date]],"mmm")</f>
        <v>Mar</v>
      </c>
      <c r="E108" t="s">
        <v>15</v>
      </c>
      <c r="F108" t="s">
        <v>25</v>
      </c>
      <c r="G108" t="s">
        <v>33</v>
      </c>
      <c r="H108" t="s">
        <v>41</v>
      </c>
      <c r="I108" t="s">
        <v>47</v>
      </c>
      <c r="J108" s="7">
        <v>1042.69</v>
      </c>
      <c r="K108" s="8">
        <v>2</v>
      </c>
      <c r="L108" s="7">
        <v>-148.49</v>
      </c>
    </row>
    <row r="109" spans="1:12" x14ac:dyDescent="0.2">
      <c r="A109" s="2">
        <v>41363</v>
      </c>
      <c r="B109" s="8">
        <f>YEAR(Sales_data[[#This Row],[Order Date]])</f>
        <v>2013</v>
      </c>
      <c r="C109" s="8">
        <f>MONTH(Sales_data[[#This Row],[Order Date]])</f>
        <v>3</v>
      </c>
      <c r="D109" s="8" t="str">
        <f>TEXT(Sales_data[[#This Row],[Order Date]],"mmm")</f>
        <v>Mar</v>
      </c>
      <c r="E109" t="s">
        <v>20</v>
      </c>
      <c r="F109" t="s">
        <v>27</v>
      </c>
      <c r="G109" t="s">
        <v>33</v>
      </c>
      <c r="H109" t="s">
        <v>40</v>
      </c>
      <c r="I109" t="s">
        <v>46</v>
      </c>
      <c r="J109" s="7">
        <v>947.51</v>
      </c>
      <c r="K109" s="8">
        <v>8</v>
      </c>
      <c r="L109" s="7">
        <v>-112.48</v>
      </c>
    </row>
    <row r="110" spans="1:12" x14ac:dyDescent="0.2">
      <c r="A110" s="2">
        <v>41364</v>
      </c>
      <c r="B110" s="8">
        <f>YEAR(Sales_data[[#This Row],[Order Date]])</f>
        <v>2013</v>
      </c>
      <c r="C110" s="8">
        <f>MONTH(Sales_data[[#This Row],[Order Date]])</f>
        <v>3</v>
      </c>
      <c r="D110" s="8" t="str">
        <f>TEXT(Sales_data[[#This Row],[Order Date]],"mmm")</f>
        <v>Mar</v>
      </c>
      <c r="E110" t="s">
        <v>20</v>
      </c>
      <c r="F110" t="s">
        <v>28</v>
      </c>
      <c r="G110" t="s">
        <v>33</v>
      </c>
      <c r="H110" t="s">
        <v>41</v>
      </c>
      <c r="I110" t="s">
        <v>48</v>
      </c>
      <c r="J110" s="7">
        <v>126.01</v>
      </c>
      <c r="K110" s="8">
        <v>4</v>
      </c>
      <c r="L110" s="7">
        <v>-189.08</v>
      </c>
    </row>
    <row r="111" spans="1:12" x14ac:dyDescent="0.2">
      <c r="A111" s="2">
        <v>41364</v>
      </c>
      <c r="B111" s="8">
        <f>YEAR(Sales_data[[#This Row],[Order Date]])</f>
        <v>2013</v>
      </c>
      <c r="C111" s="8">
        <f>MONTH(Sales_data[[#This Row],[Order Date]])</f>
        <v>3</v>
      </c>
      <c r="D111" s="8" t="str">
        <f>TEXT(Sales_data[[#This Row],[Order Date]],"mmm")</f>
        <v>Mar</v>
      </c>
      <c r="E111" t="s">
        <v>15</v>
      </c>
      <c r="F111" t="s">
        <v>29</v>
      </c>
      <c r="G111" t="s">
        <v>34</v>
      </c>
      <c r="H111" t="s">
        <v>38</v>
      </c>
      <c r="I111" t="s">
        <v>45</v>
      </c>
      <c r="J111" s="7">
        <v>1245.46</v>
      </c>
      <c r="K111" s="8">
        <v>4</v>
      </c>
      <c r="L111" s="7">
        <v>299.36</v>
      </c>
    </row>
    <row r="112" spans="1:12" x14ac:dyDescent="0.2">
      <c r="A112" s="2">
        <v>41364</v>
      </c>
      <c r="B112" s="8">
        <f>YEAR(Sales_data[[#This Row],[Order Date]])</f>
        <v>2013</v>
      </c>
      <c r="C112" s="8">
        <f>MONTH(Sales_data[[#This Row],[Order Date]])</f>
        <v>3</v>
      </c>
      <c r="D112" s="8" t="str">
        <f>TEXT(Sales_data[[#This Row],[Order Date]],"mmm")</f>
        <v>Mar</v>
      </c>
      <c r="E112" t="s">
        <v>20</v>
      </c>
      <c r="F112" t="s">
        <v>29</v>
      </c>
      <c r="G112" t="s">
        <v>34</v>
      </c>
      <c r="H112" t="s">
        <v>38</v>
      </c>
      <c r="I112" t="s">
        <v>47</v>
      </c>
      <c r="J112" s="7">
        <v>1672.11</v>
      </c>
      <c r="K112" s="8">
        <v>4</v>
      </c>
      <c r="L112" s="7">
        <v>69.12</v>
      </c>
    </row>
    <row r="113" spans="1:12" x14ac:dyDescent="0.2">
      <c r="A113" s="2">
        <v>41365</v>
      </c>
      <c r="B113" s="8">
        <f>YEAR(Sales_data[[#This Row],[Order Date]])</f>
        <v>2013</v>
      </c>
      <c r="C113" s="8">
        <f>MONTH(Sales_data[[#This Row],[Order Date]])</f>
        <v>4</v>
      </c>
      <c r="D113" s="8" t="str">
        <f>TEXT(Sales_data[[#This Row],[Order Date]],"mmm")</f>
        <v>Apr</v>
      </c>
      <c r="E113" t="s">
        <v>15</v>
      </c>
      <c r="F113" t="s">
        <v>31</v>
      </c>
      <c r="G113" t="s">
        <v>34</v>
      </c>
      <c r="H113" t="s">
        <v>35</v>
      </c>
      <c r="I113" t="s">
        <v>46</v>
      </c>
      <c r="J113" s="7">
        <v>208.46</v>
      </c>
      <c r="K113" s="8">
        <v>4</v>
      </c>
      <c r="L113" s="7">
        <v>-10.66</v>
      </c>
    </row>
    <row r="114" spans="1:12" x14ac:dyDescent="0.2">
      <c r="A114" s="2">
        <v>41366</v>
      </c>
      <c r="B114" s="8">
        <f>YEAR(Sales_data[[#This Row],[Order Date]])</f>
        <v>2013</v>
      </c>
      <c r="C114" s="8">
        <f>MONTH(Sales_data[[#This Row],[Order Date]])</f>
        <v>4</v>
      </c>
      <c r="D114" s="8" t="str">
        <f>TEXT(Sales_data[[#This Row],[Order Date]],"mmm")</f>
        <v>Apr</v>
      </c>
      <c r="E114" t="s">
        <v>17</v>
      </c>
      <c r="F114" t="s">
        <v>30</v>
      </c>
      <c r="G114" t="s">
        <v>32</v>
      </c>
      <c r="H114" t="s">
        <v>38</v>
      </c>
      <c r="I114" t="s">
        <v>46</v>
      </c>
      <c r="J114" s="7">
        <v>355.41</v>
      </c>
      <c r="K114" s="8">
        <v>8</v>
      </c>
      <c r="L114" s="7">
        <v>269.77</v>
      </c>
    </row>
    <row r="115" spans="1:12" x14ac:dyDescent="0.2">
      <c r="A115" s="2">
        <v>41367</v>
      </c>
      <c r="B115" s="8">
        <f>YEAR(Sales_data[[#This Row],[Order Date]])</f>
        <v>2013</v>
      </c>
      <c r="C115" s="8">
        <f>MONTH(Sales_data[[#This Row],[Order Date]])</f>
        <v>4</v>
      </c>
      <c r="D115" s="8" t="str">
        <f>TEXT(Sales_data[[#This Row],[Order Date]],"mmm")</f>
        <v>Apr</v>
      </c>
      <c r="E115" t="s">
        <v>10</v>
      </c>
      <c r="F115" t="s">
        <v>24</v>
      </c>
      <c r="G115" t="s">
        <v>33</v>
      </c>
      <c r="H115" t="s">
        <v>40</v>
      </c>
      <c r="I115" t="s">
        <v>45</v>
      </c>
      <c r="J115" s="7">
        <v>620.52</v>
      </c>
      <c r="K115" s="8">
        <v>8</v>
      </c>
      <c r="L115" s="7">
        <v>-80.760000000000005</v>
      </c>
    </row>
    <row r="116" spans="1:12" x14ac:dyDescent="0.2">
      <c r="A116" s="2">
        <v>41368</v>
      </c>
      <c r="B116" s="8">
        <f>YEAR(Sales_data[[#This Row],[Order Date]])</f>
        <v>2013</v>
      </c>
      <c r="C116" s="8">
        <f>MONTH(Sales_data[[#This Row],[Order Date]])</f>
        <v>4</v>
      </c>
      <c r="D116" s="8" t="str">
        <f>TEXT(Sales_data[[#This Row],[Order Date]],"mmm")</f>
        <v>Apr</v>
      </c>
      <c r="E116" t="s">
        <v>18</v>
      </c>
      <c r="F116" t="s">
        <v>27</v>
      </c>
      <c r="G116" t="s">
        <v>33</v>
      </c>
      <c r="H116" t="s">
        <v>35</v>
      </c>
      <c r="I116" t="s">
        <v>45</v>
      </c>
      <c r="J116" s="7">
        <v>678.97</v>
      </c>
      <c r="K116" s="8">
        <v>2</v>
      </c>
      <c r="L116" s="7">
        <v>235.81</v>
      </c>
    </row>
    <row r="117" spans="1:12" x14ac:dyDescent="0.2">
      <c r="A117" s="2">
        <v>41369</v>
      </c>
      <c r="B117" s="8">
        <f>YEAR(Sales_data[[#This Row],[Order Date]])</f>
        <v>2013</v>
      </c>
      <c r="C117" s="8">
        <f>MONTH(Sales_data[[#This Row],[Order Date]])</f>
        <v>4</v>
      </c>
      <c r="D117" s="8" t="str">
        <f>TEXT(Sales_data[[#This Row],[Order Date]],"mmm")</f>
        <v>Apr</v>
      </c>
      <c r="E117" t="s">
        <v>14</v>
      </c>
      <c r="F117" t="s">
        <v>30</v>
      </c>
      <c r="G117" t="s">
        <v>32</v>
      </c>
      <c r="H117" t="s">
        <v>39</v>
      </c>
      <c r="I117" t="s">
        <v>53</v>
      </c>
      <c r="J117" s="7">
        <v>1286.93</v>
      </c>
      <c r="K117" s="8">
        <v>8</v>
      </c>
      <c r="L117" s="7">
        <v>-28.99</v>
      </c>
    </row>
    <row r="118" spans="1:12" x14ac:dyDescent="0.2">
      <c r="A118" s="2">
        <v>41369</v>
      </c>
      <c r="B118" s="8">
        <f>YEAR(Sales_data[[#This Row],[Order Date]])</f>
        <v>2013</v>
      </c>
      <c r="C118" s="8">
        <f>MONTH(Sales_data[[#This Row],[Order Date]])</f>
        <v>4</v>
      </c>
      <c r="D118" s="8" t="str">
        <f>TEXT(Sales_data[[#This Row],[Order Date]],"mmm")</f>
        <v>Apr</v>
      </c>
      <c r="E118" t="s">
        <v>20</v>
      </c>
      <c r="F118" t="s">
        <v>22</v>
      </c>
      <c r="G118" t="s">
        <v>32</v>
      </c>
      <c r="H118" t="s">
        <v>40</v>
      </c>
      <c r="I118" t="s">
        <v>47</v>
      </c>
      <c r="J118" s="7">
        <v>1375.87</v>
      </c>
      <c r="K118" s="8">
        <v>7</v>
      </c>
      <c r="L118" s="7">
        <v>356.4</v>
      </c>
    </row>
    <row r="119" spans="1:12" x14ac:dyDescent="0.2">
      <c r="A119" s="2">
        <v>41369</v>
      </c>
      <c r="B119" s="8">
        <f>YEAR(Sales_data[[#This Row],[Order Date]])</f>
        <v>2013</v>
      </c>
      <c r="C119" s="8">
        <f>MONTH(Sales_data[[#This Row],[Order Date]])</f>
        <v>4</v>
      </c>
      <c r="D119" s="8" t="str">
        <f>TEXT(Sales_data[[#This Row],[Order Date]],"mmm")</f>
        <v>Apr</v>
      </c>
      <c r="E119" t="s">
        <v>11</v>
      </c>
      <c r="F119" t="s">
        <v>23</v>
      </c>
      <c r="G119" t="s">
        <v>33</v>
      </c>
      <c r="H119" t="s">
        <v>40</v>
      </c>
      <c r="I119" t="s">
        <v>52</v>
      </c>
      <c r="J119" s="7">
        <v>1365.61</v>
      </c>
      <c r="K119" s="8">
        <v>1</v>
      </c>
      <c r="L119" s="7">
        <v>334.92</v>
      </c>
    </row>
    <row r="120" spans="1:12" x14ac:dyDescent="0.2">
      <c r="A120" s="2">
        <v>41370</v>
      </c>
      <c r="B120" s="8">
        <f>YEAR(Sales_data[[#This Row],[Order Date]])</f>
        <v>2013</v>
      </c>
      <c r="C120" s="8">
        <f>MONTH(Sales_data[[#This Row],[Order Date]])</f>
        <v>4</v>
      </c>
      <c r="D120" s="8" t="str">
        <f>TEXT(Sales_data[[#This Row],[Order Date]],"mmm")</f>
        <v>Apr</v>
      </c>
      <c r="E120" t="s">
        <v>14</v>
      </c>
      <c r="F120" t="s">
        <v>31</v>
      </c>
      <c r="G120" t="s">
        <v>34</v>
      </c>
      <c r="H120" t="s">
        <v>38</v>
      </c>
      <c r="I120" t="s">
        <v>49</v>
      </c>
      <c r="J120" s="7">
        <v>841.82</v>
      </c>
      <c r="K120" s="8">
        <v>4</v>
      </c>
      <c r="L120" s="7">
        <v>-152.69</v>
      </c>
    </row>
    <row r="121" spans="1:12" x14ac:dyDescent="0.2">
      <c r="A121" s="2">
        <v>41370</v>
      </c>
      <c r="B121" s="8">
        <f>YEAR(Sales_data[[#This Row],[Order Date]])</f>
        <v>2013</v>
      </c>
      <c r="C121" s="8">
        <f>MONTH(Sales_data[[#This Row],[Order Date]])</f>
        <v>4</v>
      </c>
      <c r="D121" s="8" t="str">
        <f>TEXT(Sales_data[[#This Row],[Order Date]],"mmm")</f>
        <v>Apr</v>
      </c>
      <c r="E121" t="s">
        <v>15</v>
      </c>
      <c r="F121" t="s">
        <v>27</v>
      </c>
      <c r="G121" t="s">
        <v>34</v>
      </c>
      <c r="H121" t="s">
        <v>43</v>
      </c>
      <c r="I121" t="s">
        <v>47</v>
      </c>
      <c r="J121" s="7">
        <v>824.8</v>
      </c>
      <c r="K121" s="8">
        <v>7</v>
      </c>
      <c r="L121" s="7">
        <v>76.760000000000005</v>
      </c>
    </row>
    <row r="122" spans="1:12" x14ac:dyDescent="0.2">
      <c r="A122" s="2">
        <v>41370</v>
      </c>
      <c r="B122" s="8">
        <f>YEAR(Sales_data[[#This Row],[Order Date]])</f>
        <v>2013</v>
      </c>
      <c r="C122" s="8">
        <f>MONTH(Sales_data[[#This Row],[Order Date]])</f>
        <v>4</v>
      </c>
      <c r="D122" s="8" t="str">
        <f>TEXT(Sales_data[[#This Row],[Order Date]],"mmm")</f>
        <v>Apr</v>
      </c>
      <c r="E122" t="s">
        <v>11</v>
      </c>
      <c r="F122" t="s">
        <v>22</v>
      </c>
      <c r="G122" t="s">
        <v>33</v>
      </c>
      <c r="H122" t="s">
        <v>37</v>
      </c>
      <c r="I122" t="s">
        <v>48</v>
      </c>
      <c r="J122" s="7">
        <v>1366.24</v>
      </c>
      <c r="K122" s="8">
        <v>9</v>
      </c>
      <c r="L122" s="7">
        <v>155.24</v>
      </c>
    </row>
    <row r="123" spans="1:12" x14ac:dyDescent="0.2">
      <c r="A123" s="2">
        <v>41372</v>
      </c>
      <c r="B123" s="8">
        <f>YEAR(Sales_data[[#This Row],[Order Date]])</f>
        <v>2013</v>
      </c>
      <c r="C123" s="8">
        <f>MONTH(Sales_data[[#This Row],[Order Date]])</f>
        <v>4</v>
      </c>
      <c r="D123" s="8" t="str">
        <f>TEXT(Sales_data[[#This Row],[Order Date]],"mmm")</f>
        <v>Apr</v>
      </c>
      <c r="E123" t="s">
        <v>13</v>
      </c>
      <c r="F123" t="s">
        <v>26</v>
      </c>
      <c r="G123" t="s">
        <v>34</v>
      </c>
      <c r="H123" t="s">
        <v>40</v>
      </c>
      <c r="I123" t="s">
        <v>49</v>
      </c>
      <c r="J123" s="7">
        <v>1694.64</v>
      </c>
      <c r="K123" s="8">
        <v>8</v>
      </c>
      <c r="L123" s="7">
        <v>223.05</v>
      </c>
    </row>
    <row r="124" spans="1:12" x14ac:dyDescent="0.2">
      <c r="A124" s="2">
        <v>41372</v>
      </c>
      <c r="B124" s="8">
        <f>YEAR(Sales_data[[#This Row],[Order Date]])</f>
        <v>2013</v>
      </c>
      <c r="C124" s="8">
        <f>MONTH(Sales_data[[#This Row],[Order Date]])</f>
        <v>4</v>
      </c>
      <c r="D124" s="8" t="str">
        <f>TEXT(Sales_data[[#This Row],[Order Date]],"mmm")</f>
        <v>Apr</v>
      </c>
      <c r="E124" t="s">
        <v>15</v>
      </c>
      <c r="F124" t="s">
        <v>30</v>
      </c>
      <c r="G124" t="s">
        <v>34</v>
      </c>
      <c r="H124" t="s">
        <v>40</v>
      </c>
      <c r="I124" t="s">
        <v>47</v>
      </c>
      <c r="J124" s="7">
        <v>545.85</v>
      </c>
      <c r="K124" s="8">
        <v>3</v>
      </c>
      <c r="L124" s="7">
        <v>-120.74</v>
      </c>
    </row>
    <row r="125" spans="1:12" x14ac:dyDescent="0.2">
      <c r="A125" s="2">
        <v>41373</v>
      </c>
      <c r="B125" s="8">
        <f>YEAR(Sales_data[[#This Row],[Order Date]])</f>
        <v>2013</v>
      </c>
      <c r="C125" s="8">
        <f>MONTH(Sales_data[[#This Row],[Order Date]])</f>
        <v>4</v>
      </c>
      <c r="D125" s="8" t="str">
        <f>TEXT(Sales_data[[#This Row],[Order Date]],"mmm")</f>
        <v>Apr</v>
      </c>
      <c r="E125" t="s">
        <v>18</v>
      </c>
      <c r="F125" t="s">
        <v>29</v>
      </c>
      <c r="G125" t="s">
        <v>32</v>
      </c>
      <c r="H125" t="s">
        <v>35</v>
      </c>
      <c r="I125" t="s">
        <v>53</v>
      </c>
      <c r="J125" s="7">
        <v>1011.11</v>
      </c>
      <c r="K125" s="8">
        <v>3</v>
      </c>
      <c r="L125" s="7">
        <v>280.99</v>
      </c>
    </row>
    <row r="126" spans="1:12" x14ac:dyDescent="0.2">
      <c r="A126" s="2">
        <v>41373</v>
      </c>
      <c r="B126" s="8">
        <f>YEAR(Sales_data[[#This Row],[Order Date]])</f>
        <v>2013</v>
      </c>
      <c r="C126" s="8">
        <f>MONTH(Sales_data[[#This Row],[Order Date]])</f>
        <v>4</v>
      </c>
      <c r="D126" s="8" t="str">
        <f>TEXT(Sales_data[[#This Row],[Order Date]],"mmm")</f>
        <v>Apr</v>
      </c>
      <c r="E126" t="s">
        <v>10</v>
      </c>
      <c r="F126" t="s">
        <v>29</v>
      </c>
      <c r="G126" t="s">
        <v>34</v>
      </c>
      <c r="H126" t="s">
        <v>37</v>
      </c>
      <c r="I126" t="s">
        <v>51</v>
      </c>
      <c r="J126" s="7">
        <v>1146.93</v>
      </c>
      <c r="K126" s="8">
        <v>4</v>
      </c>
      <c r="L126" s="7">
        <v>250.21</v>
      </c>
    </row>
    <row r="127" spans="1:12" x14ac:dyDescent="0.2">
      <c r="A127" s="2">
        <v>41373</v>
      </c>
      <c r="B127" s="8">
        <f>YEAR(Sales_data[[#This Row],[Order Date]])</f>
        <v>2013</v>
      </c>
      <c r="C127" s="8">
        <f>MONTH(Sales_data[[#This Row],[Order Date]])</f>
        <v>4</v>
      </c>
      <c r="D127" s="8" t="str">
        <f>TEXT(Sales_data[[#This Row],[Order Date]],"mmm")</f>
        <v>Apr</v>
      </c>
      <c r="E127" t="s">
        <v>16</v>
      </c>
      <c r="F127" t="s">
        <v>23</v>
      </c>
      <c r="G127" t="s">
        <v>34</v>
      </c>
      <c r="H127" t="s">
        <v>36</v>
      </c>
      <c r="I127" t="s">
        <v>49</v>
      </c>
      <c r="J127" s="7">
        <v>1084.6600000000001</v>
      </c>
      <c r="K127" s="8">
        <v>5</v>
      </c>
      <c r="L127" s="7">
        <v>116.18</v>
      </c>
    </row>
    <row r="128" spans="1:12" x14ac:dyDescent="0.2">
      <c r="A128" s="2">
        <v>41376</v>
      </c>
      <c r="B128" s="8">
        <f>YEAR(Sales_data[[#This Row],[Order Date]])</f>
        <v>2013</v>
      </c>
      <c r="C128" s="8">
        <f>MONTH(Sales_data[[#This Row],[Order Date]])</f>
        <v>4</v>
      </c>
      <c r="D128" s="8" t="str">
        <f>TEXT(Sales_data[[#This Row],[Order Date]],"mmm")</f>
        <v>Apr</v>
      </c>
      <c r="E128" t="s">
        <v>19</v>
      </c>
      <c r="F128" t="s">
        <v>27</v>
      </c>
      <c r="G128" t="s">
        <v>32</v>
      </c>
      <c r="H128" t="s">
        <v>36</v>
      </c>
      <c r="I128" t="s">
        <v>50</v>
      </c>
      <c r="J128" s="7">
        <v>1460.52</v>
      </c>
      <c r="K128" s="8">
        <v>3</v>
      </c>
      <c r="L128" s="7">
        <v>328.75</v>
      </c>
    </row>
    <row r="129" spans="1:12" x14ac:dyDescent="0.2">
      <c r="A129" s="2">
        <v>41377</v>
      </c>
      <c r="B129" s="8">
        <f>YEAR(Sales_data[[#This Row],[Order Date]])</f>
        <v>2013</v>
      </c>
      <c r="C129" s="8">
        <f>MONTH(Sales_data[[#This Row],[Order Date]])</f>
        <v>4</v>
      </c>
      <c r="D129" s="8" t="str">
        <f>TEXT(Sales_data[[#This Row],[Order Date]],"mmm")</f>
        <v>Apr</v>
      </c>
      <c r="E129" t="s">
        <v>15</v>
      </c>
      <c r="F129" t="s">
        <v>30</v>
      </c>
      <c r="G129" t="s">
        <v>34</v>
      </c>
      <c r="H129" t="s">
        <v>41</v>
      </c>
      <c r="I129" t="s">
        <v>47</v>
      </c>
      <c r="J129" s="7">
        <v>578.19000000000005</v>
      </c>
      <c r="K129" s="8">
        <v>2</v>
      </c>
      <c r="L129" s="7">
        <v>279.83999999999997</v>
      </c>
    </row>
    <row r="130" spans="1:12" x14ac:dyDescent="0.2">
      <c r="A130" s="2">
        <v>41378</v>
      </c>
      <c r="B130" s="8">
        <f>YEAR(Sales_data[[#This Row],[Order Date]])</f>
        <v>2013</v>
      </c>
      <c r="C130" s="8">
        <f>MONTH(Sales_data[[#This Row],[Order Date]])</f>
        <v>4</v>
      </c>
      <c r="D130" s="8" t="str">
        <f>TEXT(Sales_data[[#This Row],[Order Date]],"mmm")</f>
        <v>Apr</v>
      </c>
      <c r="E130" t="s">
        <v>20</v>
      </c>
      <c r="F130" t="s">
        <v>31</v>
      </c>
      <c r="G130" t="s">
        <v>34</v>
      </c>
      <c r="H130" t="s">
        <v>43</v>
      </c>
      <c r="I130" t="s">
        <v>51</v>
      </c>
      <c r="J130" s="7">
        <v>639.41999999999996</v>
      </c>
      <c r="K130" s="8">
        <v>3</v>
      </c>
      <c r="L130" s="7">
        <v>259.04000000000002</v>
      </c>
    </row>
    <row r="131" spans="1:12" x14ac:dyDescent="0.2">
      <c r="A131" s="2">
        <v>41378</v>
      </c>
      <c r="B131" s="8">
        <f>YEAR(Sales_data[[#This Row],[Order Date]])</f>
        <v>2013</v>
      </c>
      <c r="C131" s="8">
        <f>MONTH(Sales_data[[#This Row],[Order Date]])</f>
        <v>4</v>
      </c>
      <c r="D131" s="8" t="str">
        <f>TEXT(Sales_data[[#This Row],[Order Date]],"mmm")</f>
        <v>Apr</v>
      </c>
      <c r="E131" t="s">
        <v>17</v>
      </c>
      <c r="F131" t="s">
        <v>25</v>
      </c>
      <c r="G131" t="s">
        <v>33</v>
      </c>
      <c r="H131" t="s">
        <v>38</v>
      </c>
      <c r="I131" t="s">
        <v>50</v>
      </c>
      <c r="J131" s="7">
        <v>671.99</v>
      </c>
      <c r="K131" s="8">
        <v>4</v>
      </c>
      <c r="L131" s="7">
        <v>2.86</v>
      </c>
    </row>
    <row r="132" spans="1:12" x14ac:dyDescent="0.2">
      <c r="A132" s="2">
        <v>41379</v>
      </c>
      <c r="B132" s="8">
        <f>YEAR(Sales_data[[#This Row],[Order Date]])</f>
        <v>2013</v>
      </c>
      <c r="C132" s="8">
        <f>MONTH(Sales_data[[#This Row],[Order Date]])</f>
        <v>4</v>
      </c>
      <c r="D132" s="8" t="str">
        <f>TEXT(Sales_data[[#This Row],[Order Date]],"mmm")</f>
        <v>Apr</v>
      </c>
      <c r="E132" t="s">
        <v>20</v>
      </c>
      <c r="F132" t="s">
        <v>31</v>
      </c>
      <c r="G132" t="s">
        <v>34</v>
      </c>
      <c r="H132" t="s">
        <v>39</v>
      </c>
      <c r="I132" t="s">
        <v>51</v>
      </c>
      <c r="J132" s="7">
        <v>1485.79</v>
      </c>
      <c r="K132" s="8">
        <v>8</v>
      </c>
      <c r="L132" s="7">
        <v>323.47000000000003</v>
      </c>
    </row>
    <row r="133" spans="1:12" x14ac:dyDescent="0.2">
      <c r="A133" s="2">
        <v>41381</v>
      </c>
      <c r="B133" s="8">
        <f>YEAR(Sales_data[[#This Row],[Order Date]])</f>
        <v>2013</v>
      </c>
      <c r="C133" s="8">
        <f>MONTH(Sales_data[[#This Row],[Order Date]])</f>
        <v>4</v>
      </c>
      <c r="D133" s="8" t="str">
        <f>TEXT(Sales_data[[#This Row],[Order Date]],"mmm")</f>
        <v>Apr</v>
      </c>
      <c r="E133" t="s">
        <v>11</v>
      </c>
      <c r="F133" t="s">
        <v>27</v>
      </c>
      <c r="G133" t="s">
        <v>32</v>
      </c>
      <c r="H133" t="s">
        <v>39</v>
      </c>
      <c r="I133" t="s">
        <v>51</v>
      </c>
      <c r="J133" s="7">
        <v>1234.6500000000001</v>
      </c>
      <c r="K133" s="8">
        <v>6</v>
      </c>
      <c r="L133" s="7">
        <v>-167.73</v>
      </c>
    </row>
    <row r="134" spans="1:12" x14ac:dyDescent="0.2">
      <c r="A134" s="2">
        <v>41382</v>
      </c>
      <c r="B134" s="8">
        <f>YEAR(Sales_data[[#This Row],[Order Date]])</f>
        <v>2013</v>
      </c>
      <c r="C134" s="8">
        <f>MONTH(Sales_data[[#This Row],[Order Date]])</f>
        <v>4</v>
      </c>
      <c r="D134" s="8" t="str">
        <f>TEXT(Sales_data[[#This Row],[Order Date]],"mmm")</f>
        <v>Apr</v>
      </c>
      <c r="E134" t="s">
        <v>21</v>
      </c>
      <c r="F134" t="s">
        <v>24</v>
      </c>
      <c r="G134" t="s">
        <v>32</v>
      </c>
      <c r="H134" t="s">
        <v>40</v>
      </c>
      <c r="I134" t="s">
        <v>49</v>
      </c>
      <c r="J134" s="7">
        <v>794.57</v>
      </c>
      <c r="K134" s="8">
        <v>6</v>
      </c>
      <c r="L134" s="7">
        <v>221.11</v>
      </c>
    </row>
    <row r="135" spans="1:12" x14ac:dyDescent="0.2">
      <c r="A135" s="2">
        <v>41383</v>
      </c>
      <c r="B135" s="8">
        <f>YEAR(Sales_data[[#This Row],[Order Date]])</f>
        <v>2013</v>
      </c>
      <c r="C135" s="8">
        <f>MONTH(Sales_data[[#This Row],[Order Date]])</f>
        <v>4</v>
      </c>
      <c r="D135" s="8" t="str">
        <f>TEXT(Sales_data[[#This Row],[Order Date]],"mmm")</f>
        <v>Apr</v>
      </c>
      <c r="E135" t="s">
        <v>13</v>
      </c>
      <c r="F135" t="s">
        <v>28</v>
      </c>
      <c r="G135" t="s">
        <v>32</v>
      </c>
      <c r="H135" t="s">
        <v>43</v>
      </c>
      <c r="I135" t="s">
        <v>52</v>
      </c>
      <c r="J135" s="7">
        <v>385.85</v>
      </c>
      <c r="K135" s="8">
        <v>2</v>
      </c>
      <c r="L135" s="7">
        <v>292.92</v>
      </c>
    </row>
    <row r="136" spans="1:12" x14ac:dyDescent="0.2">
      <c r="A136" s="2">
        <v>41383</v>
      </c>
      <c r="B136" s="8">
        <f>YEAR(Sales_data[[#This Row],[Order Date]])</f>
        <v>2013</v>
      </c>
      <c r="C136" s="8">
        <f>MONTH(Sales_data[[#This Row],[Order Date]])</f>
        <v>4</v>
      </c>
      <c r="D136" s="8" t="str">
        <f>TEXT(Sales_data[[#This Row],[Order Date]],"mmm")</f>
        <v>Apr</v>
      </c>
      <c r="E136" t="s">
        <v>14</v>
      </c>
      <c r="F136" t="s">
        <v>27</v>
      </c>
      <c r="G136" t="s">
        <v>34</v>
      </c>
      <c r="H136" t="s">
        <v>36</v>
      </c>
      <c r="I136" t="s">
        <v>44</v>
      </c>
      <c r="J136" s="7">
        <v>595.14</v>
      </c>
      <c r="K136" s="8">
        <v>6</v>
      </c>
      <c r="L136" s="7">
        <v>246.11</v>
      </c>
    </row>
    <row r="137" spans="1:12" x14ac:dyDescent="0.2">
      <c r="A137" s="2">
        <v>41385</v>
      </c>
      <c r="B137" s="8">
        <f>YEAR(Sales_data[[#This Row],[Order Date]])</f>
        <v>2013</v>
      </c>
      <c r="C137" s="8">
        <f>MONTH(Sales_data[[#This Row],[Order Date]])</f>
        <v>4</v>
      </c>
      <c r="D137" s="8" t="str">
        <f>TEXT(Sales_data[[#This Row],[Order Date]],"mmm")</f>
        <v>Apr</v>
      </c>
      <c r="E137" t="s">
        <v>13</v>
      </c>
      <c r="F137" t="s">
        <v>29</v>
      </c>
      <c r="G137" t="s">
        <v>34</v>
      </c>
      <c r="H137" t="s">
        <v>36</v>
      </c>
      <c r="I137" t="s">
        <v>52</v>
      </c>
      <c r="J137" s="7">
        <v>1498.84</v>
      </c>
      <c r="K137" s="8">
        <v>2</v>
      </c>
      <c r="L137" s="7">
        <v>322.95</v>
      </c>
    </row>
    <row r="138" spans="1:12" x14ac:dyDescent="0.2">
      <c r="A138" s="2">
        <v>41385</v>
      </c>
      <c r="B138" s="8">
        <f>YEAR(Sales_data[[#This Row],[Order Date]])</f>
        <v>2013</v>
      </c>
      <c r="C138" s="8">
        <f>MONTH(Sales_data[[#This Row],[Order Date]])</f>
        <v>4</v>
      </c>
      <c r="D138" s="8" t="str">
        <f>TEXT(Sales_data[[#This Row],[Order Date]],"mmm")</f>
        <v>Apr</v>
      </c>
      <c r="E138" t="s">
        <v>12</v>
      </c>
      <c r="F138" t="s">
        <v>31</v>
      </c>
      <c r="G138" t="s">
        <v>33</v>
      </c>
      <c r="H138" t="s">
        <v>35</v>
      </c>
      <c r="I138" t="s">
        <v>53</v>
      </c>
      <c r="J138" s="7">
        <v>239.65</v>
      </c>
      <c r="K138" s="8">
        <v>7</v>
      </c>
      <c r="L138" s="7">
        <v>147.68</v>
      </c>
    </row>
    <row r="139" spans="1:12" x14ac:dyDescent="0.2">
      <c r="A139" s="2">
        <v>41385</v>
      </c>
      <c r="B139" s="8">
        <f>YEAR(Sales_data[[#This Row],[Order Date]])</f>
        <v>2013</v>
      </c>
      <c r="C139" s="8">
        <f>MONTH(Sales_data[[#This Row],[Order Date]])</f>
        <v>4</v>
      </c>
      <c r="D139" s="8" t="str">
        <f>TEXT(Sales_data[[#This Row],[Order Date]],"mmm")</f>
        <v>Apr</v>
      </c>
      <c r="E139" t="s">
        <v>18</v>
      </c>
      <c r="F139" t="s">
        <v>29</v>
      </c>
      <c r="G139" t="s">
        <v>32</v>
      </c>
      <c r="H139" t="s">
        <v>41</v>
      </c>
      <c r="I139" t="s">
        <v>48</v>
      </c>
      <c r="J139" s="7">
        <v>1697.46</v>
      </c>
      <c r="K139" s="8">
        <v>5</v>
      </c>
      <c r="L139" s="7">
        <v>-14.45</v>
      </c>
    </row>
    <row r="140" spans="1:12" x14ac:dyDescent="0.2">
      <c r="A140" s="2">
        <v>41387</v>
      </c>
      <c r="B140" s="8">
        <f>YEAR(Sales_data[[#This Row],[Order Date]])</f>
        <v>2013</v>
      </c>
      <c r="C140" s="8">
        <f>MONTH(Sales_data[[#This Row],[Order Date]])</f>
        <v>4</v>
      </c>
      <c r="D140" s="8" t="str">
        <f>TEXT(Sales_data[[#This Row],[Order Date]],"mmm")</f>
        <v>Apr</v>
      </c>
      <c r="E140" t="s">
        <v>18</v>
      </c>
      <c r="F140" t="s">
        <v>22</v>
      </c>
      <c r="G140" t="s">
        <v>34</v>
      </c>
      <c r="H140" t="s">
        <v>38</v>
      </c>
      <c r="I140" t="s">
        <v>53</v>
      </c>
      <c r="J140" s="7">
        <v>786.23</v>
      </c>
      <c r="K140" s="8">
        <v>9</v>
      </c>
      <c r="L140" s="7">
        <v>-78.790000000000006</v>
      </c>
    </row>
    <row r="141" spans="1:12" x14ac:dyDescent="0.2">
      <c r="A141" s="2">
        <v>41387</v>
      </c>
      <c r="B141" s="8">
        <f>YEAR(Sales_data[[#This Row],[Order Date]])</f>
        <v>2013</v>
      </c>
      <c r="C141" s="8">
        <f>MONTH(Sales_data[[#This Row],[Order Date]])</f>
        <v>4</v>
      </c>
      <c r="D141" s="8" t="str">
        <f>TEXT(Sales_data[[#This Row],[Order Date]],"mmm")</f>
        <v>Apr</v>
      </c>
      <c r="E141" t="s">
        <v>14</v>
      </c>
      <c r="F141" t="s">
        <v>24</v>
      </c>
      <c r="G141" t="s">
        <v>34</v>
      </c>
      <c r="H141" t="s">
        <v>42</v>
      </c>
      <c r="I141" t="s">
        <v>53</v>
      </c>
      <c r="J141" s="7">
        <v>1068.5</v>
      </c>
      <c r="K141" s="8">
        <v>1</v>
      </c>
      <c r="L141" s="7">
        <v>-199.62</v>
      </c>
    </row>
    <row r="142" spans="1:12" x14ac:dyDescent="0.2">
      <c r="A142" s="2">
        <v>41388</v>
      </c>
      <c r="B142" s="8">
        <f>YEAR(Sales_data[[#This Row],[Order Date]])</f>
        <v>2013</v>
      </c>
      <c r="C142" s="8">
        <f>MONTH(Sales_data[[#This Row],[Order Date]])</f>
        <v>4</v>
      </c>
      <c r="D142" s="8" t="str">
        <f>TEXT(Sales_data[[#This Row],[Order Date]],"mmm")</f>
        <v>Apr</v>
      </c>
      <c r="E142" t="s">
        <v>21</v>
      </c>
      <c r="F142" t="s">
        <v>29</v>
      </c>
      <c r="G142" t="s">
        <v>34</v>
      </c>
      <c r="H142" t="s">
        <v>39</v>
      </c>
      <c r="I142" t="s">
        <v>51</v>
      </c>
      <c r="J142" s="7">
        <v>1361.1</v>
      </c>
      <c r="K142" s="8">
        <v>6</v>
      </c>
      <c r="L142" s="7">
        <v>302.24</v>
      </c>
    </row>
    <row r="143" spans="1:12" x14ac:dyDescent="0.2">
      <c r="A143" s="2">
        <v>41389</v>
      </c>
      <c r="B143" s="8">
        <f>YEAR(Sales_data[[#This Row],[Order Date]])</f>
        <v>2013</v>
      </c>
      <c r="C143" s="8">
        <f>MONTH(Sales_data[[#This Row],[Order Date]])</f>
        <v>4</v>
      </c>
      <c r="D143" s="8" t="str">
        <f>TEXT(Sales_data[[#This Row],[Order Date]],"mmm")</f>
        <v>Apr</v>
      </c>
      <c r="E143" t="s">
        <v>21</v>
      </c>
      <c r="F143" t="s">
        <v>26</v>
      </c>
      <c r="G143" t="s">
        <v>32</v>
      </c>
      <c r="H143" t="s">
        <v>41</v>
      </c>
      <c r="I143" t="s">
        <v>48</v>
      </c>
      <c r="J143" s="7">
        <v>702</v>
      </c>
      <c r="K143" s="8">
        <v>5</v>
      </c>
      <c r="L143" s="7">
        <v>87.57</v>
      </c>
    </row>
    <row r="144" spans="1:12" x14ac:dyDescent="0.2">
      <c r="A144" s="2">
        <v>41391</v>
      </c>
      <c r="B144" s="8">
        <f>YEAR(Sales_data[[#This Row],[Order Date]])</f>
        <v>2013</v>
      </c>
      <c r="C144" s="8">
        <f>MONTH(Sales_data[[#This Row],[Order Date]])</f>
        <v>4</v>
      </c>
      <c r="D144" s="8" t="str">
        <f>TEXT(Sales_data[[#This Row],[Order Date]],"mmm")</f>
        <v>Apr</v>
      </c>
      <c r="E144" t="s">
        <v>10</v>
      </c>
      <c r="F144" t="s">
        <v>23</v>
      </c>
      <c r="G144" t="s">
        <v>33</v>
      </c>
      <c r="H144" t="s">
        <v>40</v>
      </c>
      <c r="I144" t="s">
        <v>46</v>
      </c>
      <c r="J144" s="7">
        <v>47.57</v>
      </c>
      <c r="K144" s="8">
        <v>6</v>
      </c>
      <c r="L144" s="7">
        <v>89.35</v>
      </c>
    </row>
    <row r="145" spans="1:12" x14ac:dyDescent="0.2">
      <c r="A145" s="2">
        <v>41391</v>
      </c>
      <c r="B145" s="8">
        <f>YEAR(Sales_data[[#This Row],[Order Date]])</f>
        <v>2013</v>
      </c>
      <c r="C145" s="8">
        <f>MONTH(Sales_data[[#This Row],[Order Date]])</f>
        <v>4</v>
      </c>
      <c r="D145" s="8" t="str">
        <f>TEXT(Sales_data[[#This Row],[Order Date]],"mmm")</f>
        <v>Apr</v>
      </c>
      <c r="E145" t="s">
        <v>20</v>
      </c>
      <c r="F145" t="s">
        <v>28</v>
      </c>
      <c r="G145" t="s">
        <v>33</v>
      </c>
      <c r="H145" t="s">
        <v>36</v>
      </c>
      <c r="I145" t="s">
        <v>49</v>
      </c>
      <c r="J145" s="7">
        <v>943.91</v>
      </c>
      <c r="K145" s="8">
        <v>6</v>
      </c>
      <c r="L145" s="7">
        <v>221.15</v>
      </c>
    </row>
    <row r="146" spans="1:12" x14ac:dyDescent="0.2">
      <c r="A146" s="2">
        <v>41392</v>
      </c>
      <c r="B146" s="8">
        <f>YEAR(Sales_data[[#This Row],[Order Date]])</f>
        <v>2013</v>
      </c>
      <c r="C146" s="8">
        <f>MONTH(Sales_data[[#This Row],[Order Date]])</f>
        <v>4</v>
      </c>
      <c r="D146" s="8" t="str">
        <f>TEXT(Sales_data[[#This Row],[Order Date]],"mmm")</f>
        <v>Apr</v>
      </c>
      <c r="E146" t="s">
        <v>21</v>
      </c>
      <c r="F146" t="s">
        <v>26</v>
      </c>
      <c r="G146" t="s">
        <v>34</v>
      </c>
      <c r="H146" t="s">
        <v>43</v>
      </c>
      <c r="I146" t="s">
        <v>46</v>
      </c>
      <c r="J146" s="7">
        <v>1491.76</v>
      </c>
      <c r="K146" s="8">
        <v>4</v>
      </c>
      <c r="L146" s="7">
        <v>-77.010000000000005</v>
      </c>
    </row>
    <row r="147" spans="1:12" x14ac:dyDescent="0.2">
      <c r="A147" s="2">
        <v>41392</v>
      </c>
      <c r="B147" s="8">
        <f>YEAR(Sales_data[[#This Row],[Order Date]])</f>
        <v>2013</v>
      </c>
      <c r="C147" s="8">
        <f>MONTH(Sales_data[[#This Row],[Order Date]])</f>
        <v>4</v>
      </c>
      <c r="D147" s="8" t="str">
        <f>TEXT(Sales_data[[#This Row],[Order Date]],"mmm")</f>
        <v>Apr</v>
      </c>
      <c r="E147" t="s">
        <v>21</v>
      </c>
      <c r="F147" t="s">
        <v>28</v>
      </c>
      <c r="G147" t="s">
        <v>34</v>
      </c>
      <c r="H147" t="s">
        <v>37</v>
      </c>
      <c r="I147" t="s">
        <v>45</v>
      </c>
      <c r="J147" s="7">
        <v>55.99</v>
      </c>
      <c r="K147" s="8">
        <v>5</v>
      </c>
      <c r="L147" s="7">
        <v>-190.64</v>
      </c>
    </row>
    <row r="148" spans="1:12" x14ac:dyDescent="0.2">
      <c r="A148" s="2">
        <v>41394</v>
      </c>
      <c r="B148" s="8">
        <f>YEAR(Sales_data[[#This Row],[Order Date]])</f>
        <v>2013</v>
      </c>
      <c r="C148" s="8">
        <f>MONTH(Sales_data[[#This Row],[Order Date]])</f>
        <v>4</v>
      </c>
      <c r="D148" s="8" t="str">
        <f>TEXT(Sales_data[[#This Row],[Order Date]],"mmm")</f>
        <v>Apr</v>
      </c>
      <c r="E148" t="s">
        <v>10</v>
      </c>
      <c r="F148" t="s">
        <v>28</v>
      </c>
      <c r="G148" t="s">
        <v>33</v>
      </c>
      <c r="H148" t="s">
        <v>35</v>
      </c>
      <c r="I148" t="s">
        <v>47</v>
      </c>
      <c r="J148" s="7">
        <v>774.06</v>
      </c>
      <c r="K148" s="8">
        <v>4</v>
      </c>
      <c r="L148" s="7">
        <v>125.93</v>
      </c>
    </row>
    <row r="149" spans="1:12" x14ac:dyDescent="0.2">
      <c r="A149" s="2">
        <v>41396</v>
      </c>
      <c r="B149" s="8">
        <f>YEAR(Sales_data[[#This Row],[Order Date]])</f>
        <v>2013</v>
      </c>
      <c r="C149" s="8">
        <f>MONTH(Sales_data[[#This Row],[Order Date]])</f>
        <v>5</v>
      </c>
      <c r="D149" s="8" t="str">
        <f>TEXT(Sales_data[[#This Row],[Order Date]],"mmm")</f>
        <v>May</v>
      </c>
      <c r="E149" t="s">
        <v>9</v>
      </c>
      <c r="F149" t="s">
        <v>23</v>
      </c>
      <c r="G149" t="s">
        <v>34</v>
      </c>
      <c r="H149" t="s">
        <v>41</v>
      </c>
      <c r="I149" t="s">
        <v>47</v>
      </c>
      <c r="J149" s="7">
        <v>384.24</v>
      </c>
      <c r="K149" s="8">
        <v>8</v>
      </c>
      <c r="L149" s="7">
        <v>80.75</v>
      </c>
    </row>
    <row r="150" spans="1:12" x14ac:dyDescent="0.2">
      <c r="A150" s="2">
        <v>41397</v>
      </c>
      <c r="B150" s="8">
        <f>YEAR(Sales_data[[#This Row],[Order Date]])</f>
        <v>2013</v>
      </c>
      <c r="C150" s="8">
        <f>MONTH(Sales_data[[#This Row],[Order Date]])</f>
        <v>5</v>
      </c>
      <c r="D150" s="8" t="str">
        <f>TEXT(Sales_data[[#This Row],[Order Date]],"mmm")</f>
        <v>May</v>
      </c>
      <c r="E150" t="s">
        <v>10</v>
      </c>
      <c r="F150" t="s">
        <v>23</v>
      </c>
      <c r="G150" t="s">
        <v>34</v>
      </c>
      <c r="H150" t="s">
        <v>39</v>
      </c>
      <c r="I150" t="s">
        <v>51</v>
      </c>
      <c r="J150" s="7">
        <v>1118.06</v>
      </c>
      <c r="K150" s="8">
        <v>3</v>
      </c>
      <c r="L150" s="7">
        <v>-127.5</v>
      </c>
    </row>
    <row r="151" spans="1:12" x14ac:dyDescent="0.2">
      <c r="A151" s="2">
        <v>41400</v>
      </c>
      <c r="B151" s="8">
        <f>YEAR(Sales_data[[#This Row],[Order Date]])</f>
        <v>2013</v>
      </c>
      <c r="C151" s="8">
        <f>MONTH(Sales_data[[#This Row],[Order Date]])</f>
        <v>5</v>
      </c>
      <c r="D151" s="8" t="str">
        <f>TEXT(Sales_data[[#This Row],[Order Date]],"mmm")</f>
        <v>May</v>
      </c>
      <c r="E151" t="s">
        <v>20</v>
      </c>
      <c r="F151" t="s">
        <v>26</v>
      </c>
      <c r="G151" t="s">
        <v>33</v>
      </c>
      <c r="H151" t="s">
        <v>37</v>
      </c>
      <c r="I151" t="s">
        <v>53</v>
      </c>
      <c r="J151" s="7">
        <v>416.92</v>
      </c>
      <c r="K151" s="8">
        <v>4</v>
      </c>
      <c r="L151" s="7">
        <v>366.74</v>
      </c>
    </row>
    <row r="152" spans="1:12" x14ac:dyDescent="0.2">
      <c r="A152" s="2">
        <v>41400</v>
      </c>
      <c r="B152" s="8">
        <f>YEAR(Sales_data[[#This Row],[Order Date]])</f>
        <v>2013</v>
      </c>
      <c r="C152" s="8">
        <f>MONTH(Sales_data[[#This Row],[Order Date]])</f>
        <v>5</v>
      </c>
      <c r="D152" s="8" t="str">
        <f>TEXT(Sales_data[[#This Row],[Order Date]],"mmm")</f>
        <v>May</v>
      </c>
      <c r="E152" t="s">
        <v>13</v>
      </c>
      <c r="F152" t="s">
        <v>31</v>
      </c>
      <c r="G152" t="s">
        <v>34</v>
      </c>
      <c r="H152" t="s">
        <v>42</v>
      </c>
      <c r="I152" t="s">
        <v>45</v>
      </c>
      <c r="J152" s="7">
        <v>1791.87</v>
      </c>
      <c r="K152" s="8">
        <v>5</v>
      </c>
      <c r="L152" s="7">
        <v>-106.29</v>
      </c>
    </row>
    <row r="153" spans="1:12" x14ac:dyDescent="0.2">
      <c r="A153" s="2">
        <v>41401</v>
      </c>
      <c r="B153" s="8">
        <f>YEAR(Sales_data[[#This Row],[Order Date]])</f>
        <v>2013</v>
      </c>
      <c r="C153" s="8">
        <f>MONTH(Sales_data[[#This Row],[Order Date]])</f>
        <v>5</v>
      </c>
      <c r="D153" s="8" t="str">
        <f>TEXT(Sales_data[[#This Row],[Order Date]],"mmm")</f>
        <v>May</v>
      </c>
      <c r="E153" t="s">
        <v>9</v>
      </c>
      <c r="F153" t="s">
        <v>28</v>
      </c>
      <c r="G153" t="s">
        <v>32</v>
      </c>
      <c r="H153" t="s">
        <v>41</v>
      </c>
      <c r="I153" t="s">
        <v>44</v>
      </c>
      <c r="J153" s="7">
        <v>1409.03</v>
      </c>
      <c r="K153" s="8">
        <v>1</v>
      </c>
      <c r="L153" s="7">
        <v>-191.44</v>
      </c>
    </row>
    <row r="154" spans="1:12" x14ac:dyDescent="0.2">
      <c r="A154" s="2">
        <v>41402</v>
      </c>
      <c r="B154" s="8">
        <f>YEAR(Sales_data[[#This Row],[Order Date]])</f>
        <v>2013</v>
      </c>
      <c r="C154" s="8">
        <f>MONTH(Sales_data[[#This Row],[Order Date]])</f>
        <v>5</v>
      </c>
      <c r="D154" s="8" t="str">
        <f>TEXT(Sales_data[[#This Row],[Order Date]],"mmm")</f>
        <v>May</v>
      </c>
      <c r="E154" t="s">
        <v>12</v>
      </c>
      <c r="F154" t="s">
        <v>26</v>
      </c>
      <c r="G154" t="s">
        <v>33</v>
      </c>
      <c r="H154" t="s">
        <v>38</v>
      </c>
      <c r="I154" t="s">
        <v>53</v>
      </c>
      <c r="J154" s="7">
        <v>1046.42</v>
      </c>
      <c r="K154" s="8">
        <v>6</v>
      </c>
      <c r="L154" s="7">
        <v>55.2</v>
      </c>
    </row>
    <row r="155" spans="1:12" x14ac:dyDescent="0.2">
      <c r="A155" s="2">
        <v>41402</v>
      </c>
      <c r="B155" s="8">
        <f>YEAR(Sales_data[[#This Row],[Order Date]])</f>
        <v>2013</v>
      </c>
      <c r="C155" s="8">
        <f>MONTH(Sales_data[[#This Row],[Order Date]])</f>
        <v>5</v>
      </c>
      <c r="D155" s="8" t="str">
        <f>TEXT(Sales_data[[#This Row],[Order Date]],"mmm")</f>
        <v>May</v>
      </c>
      <c r="E155" t="s">
        <v>12</v>
      </c>
      <c r="F155" t="s">
        <v>31</v>
      </c>
      <c r="G155" t="s">
        <v>32</v>
      </c>
      <c r="H155" t="s">
        <v>35</v>
      </c>
      <c r="I155" t="s">
        <v>51</v>
      </c>
      <c r="J155" s="7">
        <v>1911.69</v>
      </c>
      <c r="K155" s="8">
        <v>1</v>
      </c>
      <c r="L155" s="7">
        <v>-49.88</v>
      </c>
    </row>
    <row r="156" spans="1:12" x14ac:dyDescent="0.2">
      <c r="A156" s="2">
        <v>41402</v>
      </c>
      <c r="B156" s="8">
        <f>YEAR(Sales_data[[#This Row],[Order Date]])</f>
        <v>2013</v>
      </c>
      <c r="C156" s="8">
        <f>MONTH(Sales_data[[#This Row],[Order Date]])</f>
        <v>5</v>
      </c>
      <c r="D156" s="8" t="str">
        <f>TEXT(Sales_data[[#This Row],[Order Date]],"mmm")</f>
        <v>May</v>
      </c>
      <c r="E156" t="s">
        <v>13</v>
      </c>
      <c r="F156" t="s">
        <v>27</v>
      </c>
      <c r="G156" t="s">
        <v>32</v>
      </c>
      <c r="H156" t="s">
        <v>37</v>
      </c>
      <c r="I156" t="s">
        <v>49</v>
      </c>
      <c r="J156" s="7">
        <v>980.32</v>
      </c>
      <c r="K156" s="8">
        <v>4</v>
      </c>
      <c r="L156" s="7">
        <v>53.21</v>
      </c>
    </row>
    <row r="157" spans="1:12" x14ac:dyDescent="0.2">
      <c r="A157" s="2">
        <v>41404</v>
      </c>
      <c r="B157" s="8">
        <f>YEAR(Sales_data[[#This Row],[Order Date]])</f>
        <v>2013</v>
      </c>
      <c r="C157" s="8">
        <f>MONTH(Sales_data[[#This Row],[Order Date]])</f>
        <v>5</v>
      </c>
      <c r="D157" s="8" t="str">
        <f>TEXT(Sales_data[[#This Row],[Order Date]],"mmm")</f>
        <v>May</v>
      </c>
      <c r="E157" t="s">
        <v>17</v>
      </c>
      <c r="F157" t="s">
        <v>24</v>
      </c>
      <c r="G157" t="s">
        <v>33</v>
      </c>
      <c r="H157" t="s">
        <v>37</v>
      </c>
      <c r="I157" t="s">
        <v>46</v>
      </c>
      <c r="J157" s="7">
        <v>304.79000000000002</v>
      </c>
      <c r="K157" s="8">
        <v>3</v>
      </c>
      <c r="L157" s="7">
        <v>-114.44</v>
      </c>
    </row>
    <row r="158" spans="1:12" x14ac:dyDescent="0.2">
      <c r="A158" s="2">
        <v>41404</v>
      </c>
      <c r="B158" s="8">
        <f>YEAR(Sales_data[[#This Row],[Order Date]])</f>
        <v>2013</v>
      </c>
      <c r="C158" s="8">
        <f>MONTH(Sales_data[[#This Row],[Order Date]])</f>
        <v>5</v>
      </c>
      <c r="D158" s="8" t="str">
        <f>TEXT(Sales_data[[#This Row],[Order Date]],"mmm")</f>
        <v>May</v>
      </c>
      <c r="E158" t="s">
        <v>18</v>
      </c>
      <c r="F158" t="s">
        <v>30</v>
      </c>
      <c r="G158" t="s">
        <v>32</v>
      </c>
      <c r="H158" t="s">
        <v>36</v>
      </c>
      <c r="I158" t="s">
        <v>49</v>
      </c>
      <c r="J158" s="7">
        <v>1787.95</v>
      </c>
      <c r="K158" s="8">
        <v>1</v>
      </c>
      <c r="L158" s="7">
        <v>-163.95</v>
      </c>
    </row>
    <row r="159" spans="1:12" x14ac:dyDescent="0.2">
      <c r="A159" s="2">
        <v>41405</v>
      </c>
      <c r="B159" s="8">
        <f>YEAR(Sales_data[[#This Row],[Order Date]])</f>
        <v>2013</v>
      </c>
      <c r="C159" s="8">
        <f>MONTH(Sales_data[[#This Row],[Order Date]])</f>
        <v>5</v>
      </c>
      <c r="D159" s="8" t="str">
        <f>TEXT(Sales_data[[#This Row],[Order Date]],"mmm")</f>
        <v>May</v>
      </c>
      <c r="E159" t="s">
        <v>11</v>
      </c>
      <c r="F159" t="s">
        <v>26</v>
      </c>
      <c r="G159" t="s">
        <v>34</v>
      </c>
      <c r="H159" t="s">
        <v>36</v>
      </c>
      <c r="I159" t="s">
        <v>45</v>
      </c>
      <c r="J159" s="7">
        <v>1151.07</v>
      </c>
      <c r="K159" s="8">
        <v>8</v>
      </c>
      <c r="L159" s="7">
        <v>278.45</v>
      </c>
    </row>
    <row r="160" spans="1:12" x14ac:dyDescent="0.2">
      <c r="A160" s="2">
        <v>41405</v>
      </c>
      <c r="B160" s="8">
        <f>YEAR(Sales_data[[#This Row],[Order Date]])</f>
        <v>2013</v>
      </c>
      <c r="C160" s="8">
        <f>MONTH(Sales_data[[#This Row],[Order Date]])</f>
        <v>5</v>
      </c>
      <c r="D160" s="8" t="str">
        <f>TEXT(Sales_data[[#This Row],[Order Date]],"mmm")</f>
        <v>May</v>
      </c>
      <c r="E160" t="s">
        <v>9</v>
      </c>
      <c r="F160" t="s">
        <v>29</v>
      </c>
      <c r="G160" t="s">
        <v>33</v>
      </c>
      <c r="H160" t="s">
        <v>40</v>
      </c>
      <c r="I160" t="s">
        <v>48</v>
      </c>
      <c r="J160" s="7">
        <v>1945.98</v>
      </c>
      <c r="K160" s="8">
        <v>9</v>
      </c>
      <c r="L160" s="7">
        <v>-46.06</v>
      </c>
    </row>
    <row r="161" spans="1:12" x14ac:dyDescent="0.2">
      <c r="A161" s="2">
        <v>41405</v>
      </c>
      <c r="B161" s="8">
        <f>YEAR(Sales_data[[#This Row],[Order Date]])</f>
        <v>2013</v>
      </c>
      <c r="C161" s="8">
        <f>MONTH(Sales_data[[#This Row],[Order Date]])</f>
        <v>5</v>
      </c>
      <c r="D161" s="8" t="str">
        <f>TEXT(Sales_data[[#This Row],[Order Date]],"mmm")</f>
        <v>May</v>
      </c>
      <c r="E161" t="s">
        <v>21</v>
      </c>
      <c r="F161" t="s">
        <v>30</v>
      </c>
      <c r="G161" t="s">
        <v>32</v>
      </c>
      <c r="H161" t="s">
        <v>37</v>
      </c>
      <c r="I161" t="s">
        <v>46</v>
      </c>
      <c r="J161" s="7">
        <v>831.4</v>
      </c>
      <c r="K161" s="8">
        <v>5</v>
      </c>
      <c r="L161" s="7">
        <v>13.04</v>
      </c>
    </row>
    <row r="162" spans="1:12" x14ac:dyDescent="0.2">
      <c r="A162" s="2">
        <v>41406</v>
      </c>
      <c r="B162" s="8">
        <f>YEAR(Sales_data[[#This Row],[Order Date]])</f>
        <v>2013</v>
      </c>
      <c r="C162" s="8">
        <f>MONTH(Sales_data[[#This Row],[Order Date]])</f>
        <v>5</v>
      </c>
      <c r="D162" s="8" t="str">
        <f>TEXT(Sales_data[[#This Row],[Order Date]],"mmm")</f>
        <v>May</v>
      </c>
      <c r="E162" t="s">
        <v>20</v>
      </c>
      <c r="F162" t="s">
        <v>26</v>
      </c>
      <c r="G162" t="s">
        <v>34</v>
      </c>
      <c r="H162" t="s">
        <v>37</v>
      </c>
      <c r="I162" t="s">
        <v>52</v>
      </c>
      <c r="J162" s="7">
        <v>76.5</v>
      </c>
      <c r="K162" s="8">
        <v>1</v>
      </c>
      <c r="L162" s="7">
        <v>146.37</v>
      </c>
    </row>
    <row r="163" spans="1:12" x14ac:dyDescent="0.2">
      <c r="A163" s="2">
        <v>41407</v>
      </c>
      <c r="B163" s="8">
        <f>YEAR(Sales_data[[#This Row],[Order Date]])</f>
        <v>2013</v>
      </c>
      <c r="C163" s="8">
        <f>MONTH(Sales_data[[#This Row],[Order Date]])</f>
        <v>5</v>
      </c>
      <c r="D163" s="8" t="str">
        <f>TEXT(Sales_data[[#This Row],[Order Date]],"mmm")</f>
        <v>May</v>
      </c>
      <c r="E163" t="s">
        <v>11</v>
      </c>
      <c r="F163" t="s">
        <v>22</v>
      </c>
      <c r="G163" t="s">
        <v>34</v>
      </c>
      <c r="H163" t="s">
        <v>38</v>
      </c>
      <c r="I163" t="s">
        <v>45</v>
      </c>
      <c r="J163" s="7">
        <v>1720.73</v>
      </c>
      <c r="K163" s="8">
        <v>3</v>
      </c>
      <c r="L163" s="7">
        <v>32.200000000000003</v>
      </c>
    </row>
    <row r="164" spans="1:12" x14ac:dyDescent="0.2">
      <c r="A164" s="2">
        <v>41408</v>
      </c>
      <c r="B164" s="8">
        <f>YEAR(Sales_data[[#This Row],[Order Date]])</f>
        <v>2013</v>
      </c>
      <c r="C164" s="8">
        <f>MONTH(Sales_data[[#This Row],[Order Date]])</f>
        <v>5</v>
      </c>
      <c r="D164" s="8" t="str">
        <f>TEXT(Sales_data[[#This Row],[Order Date]],"mmm")</f>
        <v>May</v>
      </c>
      <c r="E164" t="s">
        <v>21</v>
      </c>
      <c r="F164" t="s">
        <v>28</v>
      </c>
      <c r="G164" t="s">
        <v>32</v>
      </c>
      <c r="H164" t="s">
        <v>42</v>
      </c>
      <c r="I164" t="s">
        <v>44</v>
      </c>
      <c r="J164" s="7">
        <v>797.02</v>
      </c>
      <c r="K164" s="8">
        <v>2</v>
      </c>
      <c r="L164" s="7">
        <v>25.3</v>
      </c>
    </row>
    <row r="165" spans="1:12" x14ac:dyDescent="0.2">
      <c r="A165" s="2">
        <v>41409</v>
      </c>
      <c r="B165" s="8">
        <f>YEAR(Sales_data[[#This Row],[Order Date]])</f>
        <v>2013</v>
      </c>
      <c r="C165" s="8">
        <f>MONTH(Sales_data[[#This Row],[Order Date]])</f>
        <v>5</v>
      </c>
      <c r="D165" s="8" t="str">
        <f>TEXT(Sales_data[[#This Row],[Order Date]],"mmm")</f>
        <v>May</v>
      </c>
      <c r="E165" t="s">
        <v>21</v>
      </c>
      <c r="F165" t="s">
        <v>23</v>
      </c>
      <c r="G165" t="s">
        <v>33</v>
      </c>
      <c r="H165" t="s">
        <v>42</v>
      </c>
      <c r="I165" t="s">
        <v>44</v>
      </c>
      <c r="J165" s="7">
        <v>610.65</v>
      </c>
      <c r="K165" s="8">
        <v>6</v>
      </c>
      <c r="L165" s="7">
        <v>120.26</v>
      </c>
    </row>
    <row r="166" spans="1:12" x14ac:dyDescent="0.2">
      <c r="A166" s="2">
        <v>41411</v>
      </c>
      <c r="B166" s="8">
        <f>YEAR(Sales_data[[#This Row],[Order Date]])</f>
        <v>2013</v>
      </c>
      <c r="C166" s="8">
        <f>MONTH(Sales_data[[#This Row],[Order Date]])</f>
        <v>5</v>
      </c>
      <c r="D166" s="8" t="str">
        <f>TEXT(Sales_data[[#This Row],[Order Date]],"mmm")</f>
        <v>May</v>
      </c>
      <c r="E166" t="s">
        <v>14</v>
      </c>
      <c r="F166" t="s">
        <v>31</v>
      </c>
      <c r="G166" t="s">
        <v>32</v>
      </c>
      <c r="H166" t="s">
        <v>40</v>
      </c>
      <c r="I166" t="s">
        <v>53</v>
      </c>
      <c r="J166" s="7">
        <v>79.78</v>
      </c>
      <c r="K166" s="8">
        <v>9</v>
      </c>
      <c r="L166" s="7">
        <v>340.79</v>
      </c>
    </row>
    <row r="167" spans="1:12" x14ac:dyDescent="0.2">
      <c r="A167" s="2">
        <v>41412</v>
      </c>
      <c r="B167" s="8">
        <f>YEAR(Sales_data[[#This Row],[Order Date]])</f>
        <v>2013</v>
      </c>
      <c r="C167" s="8">
        <f>MONTH(Sales_data[[#This Row],[Order Date]])</f>
        <v>5</v>
      </c>
      <c r="D167" s="8" t="str">
        <f>TEXT(Sales_data[[#This Row],[Order Date]],"mmm")</f>
        <v>May</v>
      </c>
      <c r="E167" t="s">
        <v>11</v>
      </c>
      <c r="F167" t="s">
        <v>24</v>
      </c>
      <c r="G167" t="s">
        <v>32</v>
      </c>
      <c r="H167" t="s">
        <v>40</v>
      </c>
      <c r="I167" t="s">
        <v>53</v>
      </c>
      <c r="J167" s="7">
        <v>966.62</v>
      </c>
      <c r="K167" s="8">
        <v>6</v>
      </c>
      <c r="L167" s="7">
        <v>325.77999999999997</v>
      </c>
    </row>
    <row r="168" spans="1:12" x14ac:dyDescent="0.2">
      <c r="A168" s="2">
        <v>41413</v>
      </c>
      <c r="B168" s="8">
        <f>YEAR(Sales_data[[#This Row],[Order Date]])</f>
        <v>2013</v>
      </c>
      <c r="C168" s="8">
        <f>MONTH(Sales_data[[#This Row],[Order Date]])</f>
        <v>5</v>
      </c>
      <c r="D168" s="8" t="str">
        <f>TEXT(Sales_data[[#This Row],[Order Date]],"mmm")</f>
        <v>May</v>
      </c>
      <c r="E168" t="s">
        <v>13</v>
      </c>
      <c r="F168" t="s">
        <v>29</v>
      </c>
      <c r="G168" t="s">
        <v>32</v>
      </c>
      <c r="H168" t="s">
        <v>41</v>
      </c>
      <c r="I168" t="s">
        <v>51</v>
      </c>
      <c r="J168" s="7">
        <v>462.62</v>
      </c>
      <c r="K168" s="8">
        <v>4</v>
      </c>
      <c r="L168" s="7">
        <v>83.57</v>
      </c>
    </row>
    <row r="169" spans="1:12" x14ac:dyDescent="0.2">
      <c r="A169" s="2">
        <v>41414</v>
      </c>
      <c r="B169" s="8">
        <f>YEAR(Sales_data[[#This Row],[Order Date]])</f>
        <v>2013</v>
      </c>
      <c r="C169" s="8">
        <f>MONTH(Sales_data[[#This Row],[Order Date]])</f>
        <v>5</v>
      </c>
      <c r="D169" s="8" t="str">
        <f>TEXT(Sales_data[[#This Row],[Order Date]],"mmm")</f>
        <v>May</v>
      </c>
      <c r="E169" t="s">
        <v>11</v>
      </c>
      <c r="F169" t="s">
        <v>31</v>
      </c>
      <c r="G169" t="s">
        <v>34</v>
      </c>
      <c r="H169" t="s">
        <v>43</v>
      </c>
      <c r="I169" t="s">
        <v>51</v>
      </c>
      <c r="J169" s="7">
        <v>192.78</v>
      </c>
      <c r="K169" s="8">
        <v>8</v>
      </c>
      <c r="L169" s="7">
        <v>80</v>
      </c>
    </row>
    <row r="170" spans="1:12" x14ac:dyDescent="0.2">
      <c r="A170" s="2">
        <v>41415</v>
      </c>
      <c r="B170" s="8">
        <f>YEAR(Sales_data[[#This Row],[Order Date]])</f>
        <v>2013</v>
      </c>
      <c r="C170" s="8">
        <f>MONTH(Sales_data[[#This Row],[Order Date]])</f>
        <v>5</v>
      </c>
      <c r="D170" s="8" t="str">
        <f>TEXT(Sales_data[[#This Row],[Order Date]],"mmm")</f>
        <v>May</v>
      </c>
      <c r="E170" t="s">
        <v>19</v>
      </c>
      <c r="F170" t="s">
        <v>24</v>
      </c>
      <c r="G170" t="s">
        <v>34</v>
      </c>
      <c r="H170" t="s">
        <v>38</v>
      </c>
      <c r="I170" t="s">
        <v>47</v>
      </c>
      <c r="J170" s="7">
        <v>839.33</v>
      </c>
      <c r="K170" s="8">
        <v>3</v>
      </c>
      <c r="L170" s="7">
        <v>353.14</v>
      </c>
    </row>
    <row r="171" spans="1:12" x14ac:dyDescent="0.2">
      <c r="A171" s="2">
        <v>41417</v>
      </c>
      <c r="B171" s="8">
        <f>YEAR(Sales_data[[#This Row],[Order Date]])</f>
        <v>2013</v>
      </c>
      <c r="C171" s="8">
        <f>MONTH(Sales_data[[#This Row],[Order Date]])</f>
        <v>5</v>
      </c>
      <c r="D171" s="8" t="str">
        <f>TEXT(Sales_data[[#This Row],[Order Date]],"mmm")</f>
        <v>May</v>
      </c>
      <c r="E171" t="s">
        <v>13</v>
      </c>
      <c r="F171" t="s">
        <v>23</v>
      </c>
      <c r="G171" t="s">
        <v>32</v>
      </c>
      <c r="H171" t="s">
        <v>40</v>
      </c>
      <c r="I171" t="s">
        <v>53</v>
      </c>
      <c r="J171" s="7">
        <v>958.48</v>
      </c>
      <c r="K171" s="8">
        <v>9</v>
      </c>
      <c r="L171" s="7">
        <v>93.01</v>
      </c>
    </row>
    <row r="172" spans="1:12" x14ac:dyDescent="0.2">
      <c r="A172" s="2">
        <v>41418</v>
      </c>
      <c r="B172" s="8">
        <f>YEAR(Sales_data[[#This Row],[Order Date]])</f>
        <v>2013</v>
      </c>
      <c r="C172" s="8">
        <f>MONTH(Sales_data[[#This Row],[Order Date]])</f>
        <v>5</v>
      </c>
      <c r="D172" s="8" t="str">
        <f>TEXT(Sales_data[[#This Row],[Order Date]],"mmm")</f>
        <v>May</v>
      </c>
      <c r="E172" t="s">
        <v>20</v>
      </c>
      <c r="F172" t="s">
        <v>28</v>
      </c>
      <c r="G172" t="s">
        <v>33</v>
      </c>
      <c r="H172" t="s">
        <v>42</v>
      </c>
      <c r="I172" t="s">
        <v>53</v>
      </c>
      <c r="J172" s="7">
        <v>1113.0999999999999</v>
      </c>
      <c r="K172" s="8">
        <v>4</v>
      </c>
      <c r="L172" s="7">
        <v>370.52</v>
      </c>
    </row>
    <row r="173" spans="1:12" x14ac:dyDescent="0.2">
      <c r="A173" s="2">
        <v>41418</v>
      </c>
      <c r="B173" s="8">
        <f>YEAR(Sales_data[[#This Row],[Order Date]])</f>
        <v>2013</v>
      </c>
      <c r="C173" s="8">
        <f>MONTH(Sales_data[[#This Row],[Order Date]])</f>
        <v>5</v>
      </c>
      <c r="D173" s="8" t="str">
        <f>TEXT(Sales_data[[#This Row],[Order Date]],"mmm")</f>
        <v>May</v>
      </c>
      <c r="E173" t="s">
        <v>19</v>
      </c>
      <c r="F173" t="s">
        <v>26</v>
      </c>
      <c r="G173" t="s">
        <v>32</v>
      </c>
      <c r="H173" t="s">
        <v>41</v>
      </c>
      <c r="I173" t="s">
        <v>53</v>
      </c>
      <c r="J173" s="7">
        <v>1163.28</v>
      </c>
      <c r="K173" s="8">
        <v>4</v>
      </c>
      <c r="L173" s="7">
        <v>167.82</v>
      </c>
    </row>
    <row r="174" spans="1:12" x14ac:dyDescent="0.2">
      <c r="A174" s="2">
        <v>41418</v>
      </c>
      <c r="B174" s="8">
        <f>YEAR(Sales_data[[#This Row],[Order Date]])</f>
        <v>2013</v>
      </c>
      <c r="C174" s="8">
        <f>MONTH(Sales_data[[#This Row],[Order Date]])</f>
        <v>5</v>
      </c>
      <c r="D174" s="8" t="str">
        <f>TEXT(Sales_data[[#This Row],[Order Date]],"mmm")</f>
        <v>May</v>
      </c>
      <c r="E174" t="s">
        <v>21</v>
      </c>
      <c r="F174" t="s">
        <v>25</v>
      </c>
      <c r="G174" t="s">
        <v>32</v>
      </c>
      <c r="H174" t="s">
        <v>39</v>
      </c>
      <c r="I174" t="s">
        <v>50</v>
      </c>
      <c r="J174" s="7">
        <v>1200.3800000000001</v>
      </c>
      <c r="K174" s="8">
        <v>1</v>
      </c>
      <c r="L174" s="7">
        <v>376.66</v>
      </c>
    </row>
    <row r="175" spans="1:12" x14ac:dyDescent="0.2">
      <c r="A175" s="2">
        <v>41419</v>
      </c>
      <c r="B175" s="8">
        <f>YEAR(Sales_data[[#This Row],[Order Date]])</f>
        <v>2013</v>
      </c>
      <c r="C175" s="8">
        <f>MONTH(Sales_data[[#This Row],[Order Date]])</f>
        <v>5</v>
      </c>
      <c r="D175" s="8" t="str">
        <f>TEXT(Sales_data[[#This Row],[Order Date]],"mmm")</f>
        <v>May</v>
      </c>
      <c r="E175" t="s">
        <v>20</v>
      </c>
      <c r="F175" t="s">
        <v>30</v>
      </c>
      <c r="G175" t="s">
        <v>32</v>
      </c>
      <c r="H175" t="s">
        <v>38</v>
      </c>
      <c r="I175" t="s">
        <v>46</v>
      </c>
      <c r="J175" s="7">
        <v>246.52</v>
      </c>
      <c r="K175" s="8">
        <v>3</v>
      </c>
      <c r="L175" s="7">
        <v>163.61000000000001</v>
      </c>
    </row>
    <row r="176" spans="1:12" x14ac:dyDescent="0.2">
      <c r="A176" s="2">
        <v>41419</v>
      </c>
      <c r="B176" s="8">
        <f>YEAR(Sales_data[[#This Row],[Order Date]])</f>
        <v>2013</v>
      </c>
      <c r="C176" s="8">
        <f>MONTH(Sales_data[[#This Row],[Order Date]])</f>
        <v>5</v>
      </c>
      <c r="D176" s="8" t="str">
        <f>TEXT(Sales_data[[#This Row],[Order Date]],"mmm")</f>
        <v>May</v>
      </c>
      <c r="E176" t="s">
        <v>14</v>
      </c>
      <c r="F176" t="s">
        <v>28</v>
      </c>
      <c r="G176" t="s">
        <v>33</v>
      </c>
      <c r="H176" t="s">
        <v>39</v>
      </c>
      <c r="I176" t="s">
        <v>49</v>
      </c>
      <c r="J176" s="7">
        <v>1291.3</v>
      </c>
      <c r="K176" s="8">
        <v>1</v>
      </c>
      <c r="L176" s="7">
        <v>33.22</v>
      </c>
    </row>
    <row r="177" spans="1:12" x14ac:dyDescent="0.2">
      <c r="A177" s="2">
        <v>41420</v>
      </c>
      <c r="B177" s="8">
        <f>YEAR(Sales_data[[#This Row],[Order Date]])</f>
        <v>2013</v>
      </c>
      <c r="C177" s="8">
        <f>MONTH(Sales_data[[#This Row],[Order Date]])</f>
        <v>5</v>
      </c>
      <c r="D177" s="8" t="str">
        <f>TEXT(Sales_data[[#This Row],[Order Date]],"mmm")</f>
        <v>May</v>
      </c>
      <c r="E177" t="s">
        <v>20</v>
      </c>
      <c r="F177" t="s">
        <v>31</v>
      </c>
      <c r="G177" t="s">
        <v>33</v>
      </c>
      <c r="H177" t="s">
        <v>38</v>
      </c>
      <c r="I177" t="s">
        <v>53</v>
      </c>
      <c r="J177" s="7">
        <v>1477.08</v>
      </c>
      <c r="K177" s="8">
        <v>1</v>
      </c>
      <c r="L177" s="7">
        <v>271.52</v>
      </c>
    </row>
    <row r="178" spans="1:12" x14ac:dyDescent="0.2">
      <c r="A178" s="2">
        <v>41420</v>
      </c>
      <c r="B178" s="8">
        <f>YEAR(Sales_data[[#This Row],[Order Date]])</f>
        <v>2013</v>
      </c>
      <c r="C178" s="8">
        <f>MONTH(Sales_data[[#This Row],[Order Date]])</f>
        <v>5</v>
      </c>
      <c r="D178" s="8" t="str">
        <f>TEXT(Sales_data[[#This Row],[Order Date]],"mmm")</f>
        <v>May</v>
      </c>
      <c r="E178" t="s">
        <v>9</v>
      </c>
      <c r="F178" t="s">
        <v>22</v>
      </c>
      <c r="G178" t="s">
        <v>32</v>
      </c>
      <c r="H178" t="s">
        <v>38</v>
      </c>
      <c r="I178" t="s">
        <v>48</v>
      </c>
      <c r="J178" s="7">
        <v>287.66000000000003</v>
      </c>
      <c r="K178" s="8">
        <v>8</v>
      </c>
      <c r="L178" s="7">
        <v>275.49</v>
      </c>
    </row>
    <row r="179" spans="1:12" x14ac:dyDescent="0.2">
      <c r="A179" s="2">
        <v>41421</v>
      </c>
      <c r="B179" s="8">
        <f>YEAR(Sales_data[[#This Row],[Order Date]])</f>
        <v>2013</v>
      </c>
      <c r="C179" s="8">
        <f>MONTH(Sales_data[[#This Row],[Order Date]])</f>
        <v>5</v>
      </c>
      <c r="D179" s="8" t="str">
        <f>TEXT(Sales_data[[#This Row],[Order Date]],"mmm")</f>
        <v>May</v>
      </c>
      <c r="E179" t="s">
        <v>13</v>
      </c>
      <c r="F179" t="s">
        <v>27</v>
      </c>
      <c r="G179" t="s">
        <v>32</v>
      </c>
      <c r="H179" t="s">
        <v>39</v>
      </c>
      <c r="I179" t="s">
        <v>48</v>
      </c>
      <c r="J179" s="7">
        <v>511.84</v>
      </c>
      <c r="K179" s="8">
        <v>5</v>
      </c>
      <c r="L179" s="7">
        <v>281.17</v>
      </c>
    </row>
    <row r="180" spans="1:12" x14ac:dyDescent="0.2">
      <c r="A180" s="2">
        <v>41421</v>
      </c>
      <c r="B180" s="8">
        <f>YEAR(Sales_data[[#This Row],[Order Date]])</f>
        <v>2013</v>
      </c>
      <c r="C180" s="8">
        <f>MONTH(Sales_data[[#This Row],[Order Date]])</f>
        <v>5</v>
      </c>
      <c r="D180" s="8" t="str">
        <f>TEXT(Sales_data[[#This Row],[Order Date]],"mmm")</f>
        <v>May</v>
      </c>
      <c r="E180" t="s">
        <v>15</v>
      </c>
      <c r="F180" t="s">
        <v>27</v>
      </c>
      <c r="G180" t="s">
        <v>34</v>
      </c>
      <c r="H180" t="s">
        <v>37</v>
      </c>
      <c r="I180" t="s">
        <v>51</v>
      </c>
      <c r="J180" s="7">
        <v>1851.8</v>
      </c>
      <c r="K180" s="8">
        <v>9</v>
      </c>
      <c r="L180" s="7">
        <v>-139.97</v>
      </c>
    </row>
    <row r="181" spans="1:12" x14ac:dyDescent="0.2">
      <c r="A181" s="2">
        <v>41422</v>
      </c>
      <c r="B181" s="8">
        <f>YEAR(Sales_data[[#This Row],[Order Date]])</f>
        <v>2013</v>
      </c>
      <c r="C181" s="8">
        <f>MONTH(Sales_data[[#This Row],[Order Date]])</f>
        <v>5</v>
      </c>
      <c r="D181" s="8" t="str">
        <f>TEXT(Sales_data[[#This Row],[Order Date]],"mmm")</f>
        <v>May</v>
      </c>
      <c r="E181" t="s">
        <v>17</v>
      </c>
      <c r="F181" t="s">
        <v>24</v>
      </c>
      <c r="G181" t="s">
        <v>34</v>
      </c>
      <c r="H181" t="s">
        <v>42</v>
      </c>
      <c r="I181" t="s">
        <v>46</v>
      </c>
      <c r="J181" s="7">
        <v>781.92</v>
      </c>
      <c r="K181" s="8">
        <v>2</v>
      </c>
      <c r="L181" s="7">
        <v>245.71</v>
      </c>
    </row>
    <row r="182" spans="1:12" x14ac:dyDescent="0.2">
      <c r="A182" s="2">
        <v>41423</v>
      </c>
      <c r="B182" s="8">
        <f>YEAR(Sales_data[[#This Row],[Order Date]])</f>
        <v>2013</v>
      </c>
      <c r="C182" s="8">
        <f>MONTH(Sales_data[[#This Row],[Order Date]])</f>
        <v>5</v>
      </c>
      <c r="D182" s="8" t="str">
        <f>TEXT(Sales_data[[#This Row],[Order Date]],"mmm")</f>
        <v>May</v>
      </c>
      <c r="E182" t="s">
        <v>15</v>
      </c>
      <c r="F182" t="s">
        <v>23</v>
      </c>
      <c r="G182" t="s">
        <v>32</v>
      </c>
      <c r="H182" t="s">
        <v>41</v>
      </c>
      <c r="I182" t="s">
        <v>46</v>
      </c>
      <c r="J182" s="7">
        <v>111.9</v>
      </c>
      <c r="K182" s="8">
        <v>5</v>
      </c>
      <c r="L182" s="7">
        <v>299.43</v>
      </c>
    </row>
    <row r="183" spans="1:12" x14ac:dyDescent="0.2">
      <c r="A183" s="2">
        <v>41424</v>
      </c>
      <c r="B183" s="8">
        <f>YEAR(Sales_data[[#This Row],[Order Date]])</f>
        <v>2013</v>
      </c>
      <c r="C183" s="8">
        <f>MONTH(Sales_data[[#This Row],[Order Date]])</f>
        <v>5</v>
      </c>
      <c r="D183" s="8" t="str">
        <f>TEXT(Sales_data[[#This Row],[Order Date]],"mmm")</f>
        <v>May</v>
      </c>
      <c r="E183" t="s">
        <v>20</v>
      </c>
      <c r="F183" t="s">
        <v>28</v>
      </c>
      <c r="G183" t="s">
        <v>34</v>
      </c>
      <c r="H183" t="s">
        <v>40</v>
      </c>
      <c r="I183" t="s">
        <v>51</v>
      </c>
      <c r="J183" s="7">
        <v>1630.28</v>
      </c>
      <c r="K183" s="8">
        <v>6</v>
      </c>
      <c r="L183" s="7">
        <v>-128.69999999999999</v>
      </c>
    </row>
    <row r="184" spans="1:12" x14ac:dyDescent="0.2">
      <c r="A184" s="2">
        <v>41425</v>
      </c>
      <c r="B184" s="8">
        <f>YEAR(Sales_data[[#This Row],[Order Date]])</f>
        <v>2013</v>
      </c>
      <c r="C184" s="8">
        <f>MONTH(Sales_data[[#This Row],[Order Date]])</f>
        <v>5</v>
      </c>
      <c r="D184" s="8" t="str">
        <f>TEXT(Sales_data[[#This Row],[Order Date]],"mmm")</f>
        <v>May</v>
      </c>
      <c r="E184" t="s">
        <v>17</v>
      </c>
      <c r="F184" t="s">
        <v>25</v>
      </c>
      <c r="G184" t="s">
        <v>33</v>
      </c>
      <c r="H184" t="s">
        <v>36</v>
      </c>
      <c r="I184" t="s">
        <v>50</v>
      </c>
      <c r="J184" s="7">
        <v>877.74</v>
      </c>
      <c r="K184" s="8">
        <v>7</v>
      </c>
      <c r="L184" s="7">
        <v>384.81</v>
      </c>
    </row>
    <row r="185" spans="1:12" x14ac:dyDescent="0.2">
      <c r="A185" s="2">
        <v>41425</v>
      </c>
      <c r="B185" s="8">
        <f>YEAR(Sales_data[[#This Row],[Order Date]])</f>
        <v>2013</v>
      </c>
      <c r="C185" s="8">
        <f>MONTH(Sales_data[[#This Row],[Order Date]])</f>
        <v>5</v>
      </c>
      <c r="D185" s="8" t="str">
        <f>TEXT(Sales_data[[#This Row],[Order Date]],"mmm")</f>
        <v>May</v>
      </c>
      <c r="E185" t="s">
        <v>14</v>
      </c>
      <c r="F185" t="s">
        <v>31</v>
      </c>
      <c r="G185" t="s">
        <v>33</v>
      </c>
      <c r="H185" t="s">
        <v>40</v>
      </c>
      <c r="I185" t="s">
        <v>48</v>
      </c>
      <c r="J185" s="7">
        <v>824.94</v>
      </c>
      <c r="K185" s="8">
        <v>7</v>
      </c>
      <c r="L185" s="7">
        <v>299.93</v>
      </c>
    </row>
    <row r="186" spans="1:12" x14ac:dyDescent="0.2">
      <c r="A186" s="2">
        <v>41426</v>
      </c>
      <c r="B186" s="8">
        <f>YEAR(Sales_data[[#This Row],[Order Date]])</f>
        <v>2013</v>
      </c>
      <c r="C186" s="8">
        <f>MONTH(Sales_data[[#This Row],[Order Date]])</f>
        <v>6</v>
      </c>
      <c r="D186" s="8" t="str">
        <f>TEXT(Sales_data[[#This Row],[Order Date]],"mmm")</f>
        <v>Jun</v>
      </c>
      <c r="E186" t="s">
        <v>11</v>
      </c>
      <c r="F186" t="s">
        <v>31</v>
      </c>
      <c r="G186" t="s">
        <v>33</v>
      </c>
      <c r="H186" t="s">
        <v>38</v>
      </c>
      <c r="I186" t="s">
        <v>47</v>
      </c>
      <c r="J186" s="7">
        <v>734.16</v>
      </c>
      <c r="K186" s="8">
        <v>8</v>
      </c>
      <c r="L186" s="7">
        <v>-83.32</v>
      </c>
    </row>
    <row r="187" spans="1:12" x14ac:dyDescent="0.2">
      <c r="A187" s="2">
        <v>41427</v>
      </c>
      <c r="B187" s="8">
        <f>YEAR(Sales_data[[#This Row],[Order Date]])</f>
        <v>2013</v>
      </c>
      <c r="C187" s="8">
        <f>MONTH(Sales_data[[#This Row],[Order Date]])</f>
        <v>6</v>
      </c>
      <c r="D187" s="8" t="str">
        <f>TEXT(Sales_data[[#This Row],[Order Date]],"mmm")</f>
        <v>Jun</v>
      </c>
      <c r="E187" t="s">
        <v>20</v>
      </c>
      <c r="F187" t="s">
        <v>28</v>
      </c>
      <c r="G187" t="s">
        <v>32</v>
      </c>
      <c r="H187" t="s">
        <v>37</v>
      </c>
      <c r="I187" t="s">
        <v>44</v>
      </c>
      <c r="J187" s="7">
        <v>1906.72</v>
      </c>
      <c r="K187" s="8">
        <v>6</v>
      </c>
      <c r="L187" s="7">
        <v>166.89</v>
      </c>
    </row>
    <row r="188" spans="1:12" x14ac:dyDescent="0.2">
      <c r="A188" s="2">
        <v>41428</v>
      </c>
      <c r="B188" s="8">
        <f>YEAR(Sales_data[[#This Row],[Order Date]])</f>
        <v>2013</v>
      </c>
      <c r="C188" s="8">
        <f>MONTH(Sales_data[[#This Row],[Order Date]])</f>
        <v>6</v>
      </c>
      <c r="D188" s="8" t="str">
        <f>TEXT(Sales_data[[#This Row],[Order Date]],"mmm")</f>
        <v>Jun</v>
      </c>
      <c r="E188" t="s">
        <v>10</v>
      </c>
      <c r="F188" t="s">
        <v>26</v>
      </c>
      <c r="G188" t="s">
        <v>34</v>
      </c>
      <c r="H188" t="s">
        <v>35</v>
      </c>
      <c r="I188" t="s">
        <v>50</v>
      </c>
      <c r="J188" s="7">
        <v>1623.33</v>
      </c>
      <c r="K188" s="8">
        <v>6</v>
      </c>
      <c r="L188" s="7">
        <v>-46.78</v>
      </c>
    </row>
    <row r="189" spans="1:12" x14ac:dyDescent="0.2">
      <c r="A189" s="2">
        <v>41428</v>
      </c>
      <c r="B189" s="8">
        <f>YEAR(Sales_data[[#This Row],[Order Date]])</f>
        <v>2013</v>
      </c>
      <c r="C189" s="8">
        <f>MONTH(Sales_data[[#This Row],[Order Date]])</f>
        <v>6</v>
      </c>
      <c r="D189" s="8" t="str">
        <f>TEXT(Sales_data[[#This Row],[Order Date]],"mmm")</f>
        <v>Jun</v>
      </c>
      <c r="E189" t="s">
        <v>14</v>
      </c>
      <c r="F189" t="s">
        <v>29</v>
      </c>
      <c r="G189" t="s">
        <v>34</v>
      </c>
      <c r="H189" t="s">
        <v>42</v>
      </c>
      <c r="I189" t="s">
        <v>45</v>
      </c>
      <c r="J189" s="7">
        <v>517.46</v>
      </c>
      <c r="K189" s="8">
        <v>9</v>
      </c>
      <c r="L189" s="7">
        <v>228.81</v>
      </c>
    </row>
    <row r="190" spans="1:12" x14ac:dyDescent="0.2">
      <c r="A190" s="2">
        <v>41428</v>
      </c>
      <c r="B190" s="8">
        <f>YEAR(Sales_data[[#This Row],[Order Date]])</f>
        <v>2013</v>
      </c>
      <c r="C190" s="8">
        <f>MONTH(Sales_data[[#This Row],[Order Date]])</f>
        <v>6</v>
      </c>
      <c r="D190" s="8" t="str">
        <f>TEXT(Sales_data[[#This Row],[Order Date]],"mmm")</f>
        <v>Jun</v>
      </c>
      <c r="E190" t="s">
        <v>12</v>
      </c>
      <c r="F190" t="s">
        <v>24</v>
      </c>
      <c r="G190" t="s">
        <v>32</v>
      </c>
      <c r="H190" t="s">
        <v>40</v>
      </c>
      <c r="I190" t="s">
        <v>46</v>
      </c>
      <c r="J190" s="7">
        <v>216.12</v>
      </c>
      <c r="K190" s="8">
        <v>9</v>
      </c>
      <c r="L190" s="7">
        <v>-122.86</v>
      </c>
    </row>
    <row r="191" spans="1:12" x14ac:dyDescent="0.2">
      <c r="A191" s="2">
        <v>41429</v>
      </c>
      <c r="B191" s="8">
        <f>YEAR(Sales_data[[#This Row],[Order Date]])</f>
        <v>2013</v>
      </c>
      <c r="C191" s="8">
        <f>MONTH(Sales_data[[#This Row],[Order Date]])</f>
        <v>6</v>
      </c>
      <c r="D191" s="8" t="str">
        <f>TEXT(Sales_data[[#This Row],[Order Date]],"mmm")</f>
        <v>Jun</v>
      </c>
      <c r="E191" t="s">
        <v>20</v>
      </c>
      <c r="F191" t="s">
        <v>27</v>
      </c>
      <c r="G191" t="s">
        <v>34</v>
      </c>
      <c r="H191" t="s">
        <v>42</v>
      </c>
      <c r="I191" t="s">
        <v>49</v>
      </c>
      <c r="J191" s="7">
        <v>820.26</v>
      </c>
      <c r="K191" s="8">
        <v>4</v>
      </c>
      <c r="L191" s="7">
        <v>-4.49</v>
      </c>
    </row>
    <row r="192" spans="1:12" x14ac:dyDescent="0.2">
      <c r="A192" s="2">
        <v>41430</v>
      </c>
      <c r="B192" s="8">
        <f>YEAR(Sales_data[[#This Row],[Order Date]])</f>
        <v>2013</v>
      </c>
      <c r="C192" s="8">
        <f>MONTH(Sales_data[[#This Row],[Order Date]])</f>
        <v>6</v>
      </c>
      <c r="D192" s="8" t="str">
        <f>TEXT(Sales_data[[#This Row],[Order Date]],"mmm")</f>
        <v>Jun</v>
      </c>
      <c r="E192" t="s">
        <v>10</v>
      </c>
      <c r="F192" t="s">
        <v>24</v>
      </c>
      <c r="G192" t="s">
        <v>32</v>
      </c>
      <c r="H192" t="s">
        <v>36</v>
      </c>
      <c r="I192" t="s">
        <v>48</v>
      </c>
      <c r="J192" s="7">
        <v>376.82</v>
      </c>
      <c r="K192" s="8">
        <v>2</v>
      </c>
      <c r="L192" s="7">
        <v>171.82</v>
      </c>
    </row>
    <row r="193" spans="1:12" x14ac:dyDescent="0.2">
      <c r="A193" s="2">
        <v>41431</v>
      </c>
      <c r="B193" s="8">
        <f>YEAR(Sales_data[[#This Row],[Order Date]])</f>
        <v>2013</v>
      </c>
      <c r="C193" s="8">
        <f>MONTH(Sales_data[[#This Row],[Order Date]])</f>
        <v>6</v>
      </c>
      <c r="D193" s="8" t="str">
        <f>TEXT(Sales_data[[#This Row],[Order Date]],"mmm")</f>
        <v>Jun</v>
      </c>
      <c r="E193" t="s">
        <v>12</v>
      </c>
      <c r="F193" t="s">
        <v>24</v>
      </c>
      <c r="G193" t="s">
        <v>32</v>
      </c>
      <c r="H193" t="s">
        <v>38</v>
      </c>
      <c r="I193" t="s">
        <v>48</v>
      </c>
      <c r="J193" s="7">
        <v>1969.89</v>
      </c>
      <c r="K193" s="8">
        <v>1</v>
      </c>
      <c r="L193" s="7">
        <v>-124.84</v>
      </c>
    </row>
    <row r="194" spans="1:12" x14ac:dyDescent="0.2">
      <c r="A194" s="2">
        <v>41432</v>
      </c>
      <c r="B194" s="8">
        <f>YEAR(Sales_data[[#This Row],[Order Date]])</f>
        <v>2013</v>
      </c>
      <c r="C194" s="8">
        <f>MONTH(Sales_data[[#This Row],[Order Date]])</f>
        <v>6</v>
      </c>
      <c r="D194" s="8" t="str">
        <f>TEXT(Sales_data[[#This Row],[Order Date]],"mmm")</f>
        <v>Jun</v>
      </c>
      <c r="E194" t="s">
        <v>9</v>
      </c>
      <c r="F194" t="s">
        <v>31</v>
      </c>
      <c r="G194" t="s">
        <v>32</v>
      </c>
      <c r="H194" t="s">
        <v>38</v>
      </c>
      <c r="I194" t="s">
        <v>48</v>
      </c>
      <c r="J194" s="7">
        <v>1624.35</v>
      </c>
      <c r="K194" s="8">
        <v>5</v>
      </c>
      <c r="L194" s="7">
        <v>55.3</v>
      </c>
    </row>
    <row r="195" spans="1:12" x14ac:dyDescent="0.2">
      <c r="A195" s="2">
        <v>41434</v>
      </c>
      <c r="B195" s="8">
        <f>YEAR(Sales_data[[#This Row],[Order Date]])</f>
        <v>2013</v>
      </c>
      <c r="C195" s="8">
        <f>MONTH(Sales_data[[#This Row],[Order Date]])</f>
        <v>6</v>
      </c>
      <c r="D195" s="8" t="str">
        <f>TEXT(Sales_data[[#This Row],[Order Date]],"mmm")</f>
        <v>Jun</v>
      </c>
      <c r="E195" t="s">
        <v>12</v>
      </c>
      <c r="F195" t="s">
        <v>28</v>
      </c>
      <c r="G195" t="s">
        <v>32</v>
      </c>
      <c r="H195" t="s">
        <v>36</v>
      </c>
      <c r="I195" t="s">
        <v>49</v>
      </c>
      <c r="J195" s="7">
        <v>208.86</v>
      </c>
      <c r="K195" s="8">
        <v>1</v>
      </c>
      <c r="L195" s="7">
        <v>215.62</v>
      </c>
    </row>
    <row r="196" spans="1:12" x14ac:dyDescent="0.2">
      <c r="A196" s="2">
        <v>41434</v>
      </c>
      <c r="B196" s="8">
        <f>YEAR(Sales_data[[#This Row],[Order Date]])</f>
        <v>2013</v>
      </c>
      <c r="C196" s="8">
        <f>MONTH(Sales_data[[#This Row],[Order Date]])</f>
        <v>6</v>
      </c>
      <c r="D196" s="8" t="str">
        <f>TEXT(Sales_data[[#This Row],[Order Date]],"mmm")</f>
        <v>Jun</v>
      </c>
      <c r="E196" t="s">
        <v>20</v>
      </c>
      <c r="F196" t="s">
        <v>26</v>
      </c>
      <c r="G196" t="s">
        <v>34</v>
      </c>
      <c r="H196" t="s">
        <v>41</v>
      </c>
      <c r="I196" t="s">
        <v>49</v>
      </c>
      <c r="J196" s="7">
        <v>869.91</v>
      </c>
      <c r="K196" s="8">
        <v>9</v>
      </c>
      <c r="L196" s="7">
        <v>179.17</v>
      </c>
    </row>
    <row r="197" spans="1:12" x14ac:dyDescent="0.2">
      <c r="A197" s="2">
        <v>41435</v>
      </c>
      <c r="B197" s="8">
        <f>YEAR(Sales_data[[#This Row],[Order Date]])</f>
        <v>2013</v>
      </c>
      <c r="C197" s="8">
        <f>MONTH(Sales_data[[#This Row],[Order Date]])</f>
        <v>6</v>
      </c>
      <c r="D197" s="8" t="str">
        <f>TEXT(Sales_data[[#This Row],[Order Date]],"mmm")</f>
        <v>Jun</v>
      </c>
      <c r="E197" t="s">
        <v>16</v>
      </c>
      <c r="F197" t="s">
        <v>23</v>
      </c>
      <c r="G197" t="s">
        <v>32</v>
      </c>
      <c r="H197" t="s">
        <v>37</v>
      </c>
      <c r="I197" t="s">
        <v>46</v>
      </c>
      <c r="J197" s="7">
        <v>448.02</v>
      </c>
      <c r="K197" s="8">
        <v>4</v>
      </c>
      <c r="L197" s="7">
        <v>168.4</v>
      </c>
    </row>
    <row r="198" spans="1:12" x14ac:dyDescent="0.2">
      <c r="A198" s="2">
        <v>41436</v>
      </c>
      <c r="B198" s="8">
        <f>YEAR(Sales_data[[#This Row],[Order Date]])</f>
        <v>2013</v>
      </c>
      <c r="C198" s="8">
        <f>MONTH(Sales_data[[#This Row],[Order Date]])</f>
        <v>6</v>
      </c>
      <c r="D198" s="8" t="str">
        <f>TEXT(Sales_data[[#This Row],[Order Date]],"mmm")</f>
        <v>Jun</v>
      </c>
      <c r="E198" t="s">
        <v>11</v>
      </c>
      <c r="F198" t="s">
        <v>24</v>
      </c>
      <c r="G198" t="s">
        <v>34</v>
      </c>
      <c r="H198" t="s">
        <v>39</v>
      </c>
      <c r="I198" t="s">
        <v>52</v>
      </c>
      <c r="J198" s="7">
        <v>1947.65</v>
      </c>
      <c r="K198" s="8">
        <v>3</v>
      </c>
      <c r="L198" s="7">
        <v>-170.31</v>
      </c>
    </row>
    <row r="199" spans="1:12" x14ac:dyDescent="0.2">
      <c r="A199" s="2">
        <v>41436</v>
      </c>
      <c r="B199" s="8">
        <f>YEAR(Sales_data[[#This Row],[Order Date]])</f>
        <v>2013</v>
      </c>
      <c r="C199" s="8">
        <f>MONTH(Sales_data[[#This Row],[Order Date]])</f>
        <v>6</v>
      </c>
      <c r="D199" s="8" t="str">
        <f>TEXT(Sales_data[[#This Row],[Order Date]],"mmm")</f>
        <v>Jun</v>
      </c>
      <c r="E199" t="s">
        <v>12</v>
      </c>
      <c r="F199" t="s">
        <v>29</v>
      </c>
      <c r="G199" t="s">
        <v>32</v>
      </c>
      <c r="H199" t="s">
        <v>40</v>
      </c>
      <c r="I199" t="s">
        <v>45</v>
      </c>
      <c r="J199" s="7">
        <v>952.78</v>
      </c>
      <c r="K199" s="8">
        <v>9</v>
      </c>
      <c r="L199" s="7">
        <v>-183.68</v>
      </c>
    </row>
    <row r="200" spans="1:12" x14ac:dyDescent="0.2">
      <c r="A200" s="2">
        <v>41439</v>
      </c>
      <c r="B200" s="8">
        <f>YEAR(Sales_data[[#This Row],[Order Date]])</f>
        <v>2013</v>
      </c>
      <c r="C200" s="8">
        <f>MONTH(Sales_data[[#This Row],[Order Date]])</f>
        <v>6</v>
      </c>
      <c r="D200" s="8" t="str">
        <f>TEXT(Sales_data[[#This Row],[Order Date]],"mmm")</f>
        <v>Jun</v>
      </c>
      <c r="E200" t="s">
        <v>14</v>
      </c>
      <c r="F200" t="s">
        <v>31</v>
      </c>
      <c r="G200" t="s">
        <v>33</v>
      </c>
      <c r="H200" t="s">
        <v>39</v>
      </c>
      <c r="I200" t="s">
        <v>48</v>
      </c>
      <c r="J200" s="7">
        <v>908.16</v>
      </c>
      <c r="K200" s="8">
        <v>3</v>
      </c>
      <c r="L200" s="7">
        <v>-153.49</v>
      </c>
    </row>
    <row r="201" spans="1:12" x14ac:dyDescent="0.2">
      <c r="A201" s="2">
        <v>41440</v>
      </c>
      <c r="B201" s="8">
        <f>YEAR(Sales_data[[#This Row],[Order Date]])</f>
        <v>2013</v>
      </c>
      <c r="C201" s="8">
        <f>MONTH(Sales_data[[#This Row],[Order Date]])</f>
        <v>6</v>
      </c>
      <c r="D201" s="8" t="str">
        <f>TEXT(Sales_data[[#This Row],[Order Date]],"mmm")</f>
        <v>Jun</v>
      </c>
      <c r="E201" t="s">
        <v>16</v>
      </c>
      <c r="F201" t="s">
        <v>30</v>
      </c>
      <c r="G201" t="s">
        <v>34</v>
      </c>
      <c r="H201" t="s">
        <v>38</v>
      </c>
      <c r="I201" t="s">
        <v>52</v>
      </c>
      <c r="J201" s="7">
        <v>437.86</v>
      </c>
      <c r="K201" s="8">
        <v>7</v>
      </c>
      <c r="L201" s="7">
        <v>-6.87</v>
      </c>
    </row>
    <row r="202" spans="1:12" x14ac:dyDescent="0.2">
      <c r="A202" s="2">
        <v>41441</v>
      </c>
      <c r="B202" s="8">
        <f>YEAR(Sales_data[[#This Row],[Order Date]])</f>
        <v>2013</v>
      </c>
      <c r="C202" s="8">
        <f>MONTH(Sales_data[[#This Row],[Order Date]])</f>
        <v>6</v>
      </c>
      <c r="D202" s="8" t="str">
        <f>TEXT(Sales_data[[#This Row],[Order Date]],"mmm")</f>
        <v>Jun</v>
      </c>
      <c r="E202" t="s">
        <v>10</v>
      </c>
      <c r="F202" t="s">
        <v>30</v>
      </c>
      <c r="G202" t="s">
        <v>34</v>
      </c>
      <c r="H202" t="s">
        <v>38</v>
      </c>
      <c r="I202" t="s">
        <v>48</v>
      </c>
      <c r="J202" s="7">
        <v>843.33</v>
      </c>
      <c r="K202" s="8">
        <v>2</v>
      </c>
      <c r="L202" s="7">
        <v>223.25</v>
      </c>
    </row>
    <row r="203" spans="1:12" x14ac:dyDescent="0.2">
      <c r="A203" s="2">
        <v>41441</v>
      </c>
      <c r="B203" s="8">
        <f>YEAR(Sales_data[[#This Row],[Order Date]])</f>
        <v>2013</v>
      </c>
      <c r="C203" s="8">
        <f>MONTH(Sales_data[[#This Row],[Order Date]])</f>
        <v>6</v>
      </c>
      <c r="D203" s="8" t="str">
        <f>TEXT(Sales_data[[#This Row],[Order Date]],"mmm")</f>
        <v>Jun</v>
      </c>
      <c r="E203" t="s">
        <v>15</v>
      </c>
      <c r="F203" t="s">
        <v>31</v>
      </c>
      <c r="G203" t="s">
        <v>32</v>
      </c>
      <c r="H203" t="s">
        <v>35</v>
      </c>
      <c r="I203" t="s">
        <v>50</v>
      </c>
      <c r="J203" s="7">
        <v>380.77</v>
      </c>
      <c r="K203" s="8">
        <v>4</v>
      </c>
      <c r="L203" s="7">
        <v>104.59</v>
      </c>
    </row>
    <row r="204" spans="1:12" x14ac:dyDescent="0.2">
      <c r="A204" s="2">
        <v>41442</v>
      </c>
      <c r="B204" s="8">
        <f>YEAR(Sales_data[[#This Row],[Order Date]])</f>
        <v>2013</v>
      </c>
      <c r="C204" s="8">
        <f>MONTH(Sales_data[[#This Row],[Order Date]])</f>
        <v>6</v>
      </c>
      <c r="D204" s="8" t="str">
        <f>TEXT(Sales_data[[#This Row],[Order Date]],"mmm")</f>
        <v>Jun</v>
      </c>
      <c r="E204" t="s">
        <v>20</v>
      </c>
      <c r="F204" t="s">
        <v>24</v>
      </c>
      <c r="G204" t="s">
        <v>34</v>
      </c>
      <c r="H204" t="s">
        <v>36</v>
      </c>
      <c r="I204" t="s">
        <v>49</v>
      </c>
      <c r="J204" s="7">
        <v>1207.08</v>
      </c>
      <c r="K204" s="8">
        <v>5</v>
      </c>
      <c r="L204" s="7">
        <v>112.66</v>
      </c>
    </row>
    <row r="205" spans="1:12" x14ac:dyDescent="0.2">
      <c r="A205" s="2">
        <v>41444</v>
      </c>
      <c r="B205" s="8">
        <f>YEAR(Sales_data[[#This Row],[Order Date]])</f>
        <v>2013</v>
      </c>
      <c r="C205" s="8">
        <f>MONTH(Sales_data[[#This Row],[Order Date]])</f>
        <v>6</v>
      </c>
      <c r="D205" s="8" t="str">
        <f>TEXT(Sales_data[[#This Row],[Order Date]],"mmm")</f>
        <v>Jun</v>
      </c>
      <c r="E205" t="s">
        <v>20</v>
      </c>
      <c r="F205" t="s">
        <v>25</v>
      </c>
      <c r="G205" t="s">
        <v>33</v>
      </c>
      <c r="H205" t="s">
        <v>39</v>
      </c>
      <c r="I205" t="s">
        <v>47</v>
      </c>
      <c r="J205" s="7">
        <v>1329.66</v>
      </c>
      <c r="K205" s="8">
        <v>8</v>
      </c>
      <c r="L205" s="7">
        <v>-56.64</v>
      </c>
    </row>
    <row r="206" spans="1:12" x14ac:dyDescent="0.2">
      <c r="A206" s="2">
        <v>41444</v>
      </c>
      <c r="B206" s="8">
        <f>YEAR(Sales_data[[#This Row],[Order Date]])</f>
        <v>2013</v>
      </c>
      <c r="C206" s="8">
        <f>MONTH(Sales_data[[#This Row],[Order Date]])</f>
        <v>6</v>
      </c>
      <c r="D206" s="8" t="str">
        <f>TEXT(Sales_data[[#This Row],[Order Date]],"mmm")</f>
        <v>Jun</v>
      </c>
      <c r="E206" t="s">
        <v>10</v>
      </c>
      <c r="F206" t="s">
        <v>24</v>
      </c>
      <c r="G206" t="s">
        <v>32</v>
      </c>
      <c r="H206" t="s">
        <v>40</v>
      </c>
      <c r="I206" t="s">
        <v>50</v>
      </c>
      <c r="J206" s="7">
        <v>384.52</v>
      </c>
      <c r="K206" s="8">
        <v>4</v>
      </c>
      <c r="L206" s="7">
        <v>331.8</v>
      </c>
    </row>
    <row r="207" spans="1:12" x14ac:dyDescent="0.2">
      <c r="A207" s="2">
        <v>41446</v>
      </c>
      <c r="B207" s="8">
        <f>YEAR(Sales_data[[#This Row],[Order Date]])</f>
        <v>2013</v>
      </c>
      <c r="C207" s="8">
        <f>MONTH(Sales_data[[#This Row],[Order Date]])</f>
        <v>6</v>
      </c>
      <c r="D207" s="8" t="str">
        <f>TEXT(Sales_data[[#This Row],[Order Date]],"mmm")</f>
        <v>Jun</v>
      </c>
      <c r="E207" t="s">
        <v>17</v>
      </c>
      <c r="F207" t="s">
        <v>22</v>
      </c>
      <c r="G207" t="s">
        <v>33</v>
      </c>
      <c r="H207" t="s">
        <v>37</v>
      </c>
      <c r="I207" t="s">
        <v>44</v>
      </c>
      <c r="J207" s="7">
        <v>34.24</v>
      </c>
      <c r="K207" s="8">
        <v>8</v>
      </c>
      <c r="L207" s="7">
        <v>254.49</v>
      </c>
    </row>
    <row r="208" spans="1:12" x14ac:dyDescent="0.2">
      <c r="A208" s="2">
        <v>41446</v>
      </c>
      <c r="B208" s="8">
        <f>YEAR(Sales_data[[#This Row],[Order Date]])</f>
        <v>2013</v>
      </c>
      <c r="C208" s="8">
        <f>MONTH(Sales_data[[#This Row],[Order Date]])</f>
        <v>6</v>
      </c>
      <c r="D208" s="8" t="str">
        <f>TEXT(Sales_data[[#This Row],[Order Date]],"mmm")</f>
        <v>Jun</v>
      </c>
      <c r="E208" t="s">
        <v>15</v>
      </c>
      <c r="F208" t="s">
        <v>29</v>
      </c>
      <c r="G208" t="s">
        <v>34</v>
      </c>
      <c r="H208" t="s">
        <v>35</v>
      </c>
      <c r="I208" t="s">
        <v>51</v>
      </c>
      <c r="J208" s="7">
        <v>1357.39</v>
      </c>
      <c r="K208" s="8">
        <v>1</v>
      </c>
      <c r="L208" s="7">
        <v>-176.72</v>
      </c>
    </row>
    <row r="209" spans="1:12" x14ac:dyDescent="0.2">
      <c r="A209" s="2">
        <v>41447</v>
      </c>
      <c r="B209" s="8">
        <f>YEAR(Sales_data[[#This Row],[Order Date]])</f>
        <v>2013</v>
      </c>
      <c r="C209" s="8">
        <f>MONTH(Sales_data[[#This Row],[Order Date]])</f>
        <v>6</v>
      </c>
      <c r="D209" s="8" t="str">
        <f>TEXT(Sales_data[[#This Row],[Order Date]],"mmm")</f>
        <v>Jun</v>
      </c>
      <c r="E209" t="s">
        <v>18</v>
      </c>
      <c r="F209" t="s">
        <v>25</v>
      </c>
      <c r="G209" t="s">
        <v>33</v>
      </c>
      <c r="H209" t="s">
        <v>39</v>
      </c>
      <c r="I209" t="s">
        <v>44</v>
      </c>
      <c r="J209" s="7">
        <v>1297.67</v>
      </c>
      <c r="K209" s="8">
        <v>8</v>
      </c>
      <c r="L209" s="7">
        <v>-171.86</v>
      </c>
    </row>
    <row r="210" spans="1:12" x14ac:dyDescent="0.2">
      <c r="A210" s="2">
        <v>41447</v>
      </c>
      <c r="B210" s="8">
        <f>YEAR(Sales_data[[#This Row],[Order Date]])</f>
        <v>2013</v>
      </c>
      <c r="C210" s="8">
        <f>MONTH(Sales_data[[#This Row],[Order Date]])</f>
        <v>6</v>
      </c>
      <c r="D210" s="8" t="str">
        <f>TEXT(Sales_data[[#This Row],[Order Date]],"mmm")</f>
        <v>Jun</v>
      </c>
      <c r="E210" t="s">
        <v>11</v>
      </c>
      <c r="F210" t="s">
        <v>29</v>
      </c>
      <c r="G210" t="s">
        <v>34</v>
      </c>
      <c r="H210" t="s">
        <v>40</v>
      </c>
      <c r="I210" t="s">
        <v>48</v>
      </c>
      <c r="J210" s="7">
        <v>158.74</v>
      </c>
      <c r="K210" s="8">
        <v>3</v>
      </c>
      <c r="L210" s="7">
        <v>-186.72</v>
      </c>
    </row>
    <row r="211" spans="1:12" x14ac:dyDescent="0.2">
      <c r="A211" s="2">
        <v>41447</v>
      </c>
      <c r="B211" s="8">
        <f>YEAR(Sales_data[[#This Row],[Order Date]])</f>
        <v>2013</v>
      </c>
      <c r="C211" s="8">
        <f>MONTH(Sales_data[[#This Row],[Order Date]])</f>
        <v>6</v>
      </c>
      <c r="D211" s="8" t="str">
        <f>TEXT(Sales_data[[#This Row],[Order Date]],"mmm")</f>
        <v>Jun</v>
      </c>
      <c r="E211" t="s">
        <v>21</v>
      </c>
      <c r="F211" t="s">
        <v>29</v>
      </c>
      <c r="G211" t="s">
        <v>33</v>
      </c>
      <c r="H211" t="s">
        <v>43</v>
      </c>
      <c r="I211" t="s">
        <v>50</v>
      </c>
      <c r="J211" s="7">
        <v>1216.76</v>
      </c>
      <c r="K211" s="8">
        <v>9</v>
      </c>
      <c r="L211" s="7">
        <v>-122.87</v>
      </c>
    </row>
    <row r="212" spans="1:12" x14ac:dyDescent="0.2">
      <c r="A212" s="2">
        <v>41451</v>
      </c>
      <c r="B212" s="8">
        <f>YEAR(Sales_data[[#This Row],[Order Date]])</f>
        <v>2013</v>
      </c>
      <c r="C212" s="8">
        <f>MONTH(Sales_data[[#This Row],[Order Date]])</f>
        <v>6</v>
      </c>
      <c r="D212" s="8" t="str">
        <f>TEXT(Sales_data[[#This Row],[Order Date]],"mmm")</f>
        <v>Jun</v>
      </c>
      <c r="E212" t="s">
        <v>21</v>
      </c>
      <c r="F212" t="s">
        <v>28</v>
      </c>
      <c r="G212" t="s">
        <v>34</v>
      </c>
      <c r="H212" t="s">
        <v>36</v>
      </c>
      <c r="I212" t="s">
        <v>53</v>
      </c>
      <c r="J212" s="7">
        <v>1376.99</v>
      </c>
      <c r="K212" s="8">
        <v>3</v>
      </c>
      <c r="L212" s="7">
        <v>-76.64</v>
      </c>
    </row>
    <row r="213" spans="1:12" x14ac:dyDescent="0.2">
      <c r="A213" s="2">
        <v>41451</v>
      </c>
      <c r="B213" s="8">
        <f>YEAR(Sales_data[[#This Row],[Order Date]])</f>
        <v>2013</v>
      </c>
      <c r="C213" s="8">
        <f>MONTH(Sales_data[[#This Row],[Order Date]])</f>
        <v>6</v>
      </c>
      <c r="D213" s="8" t="str">
        <f>TEXT(Sales_data[[#This Row],[Order Date]],"mmm")</f>
        <v>Jun</v>
      </c>
      <c r="E213" t="s">
        <v>10</v>
      </c>
      <c r="F213" t="s">
        <v>26</v>
      </c>
      <c r="G213" t="s">
        <v>34</v>
      </c>
      <c r="H213" t="s">
        <v>41</v>
      </c>
      <c r="I213" t="s">
        <v>45</v>
      </c>
      <c r="J213" s="7">
        <v>1807.78</v>
      </c>
      <c r="K213" s="8">
        <v>2</v>
      </c>
      <c r="L213" s="7">
        <v>-60.42</v>
      </c>
    </row>
    <row r="214" spans="1:12" x14ac:dyDescent="0.2">
      <c r="A214" s="2">
        <v>41451</v>
      </c>
      <c r="B214" s="8">
        <f>YEAR(Sales_data[[#This Row],[Order Date]])</f>
        <v>2013</v>
      </c>
      <c r="C214" s="8">
        <f>MONTH(Sales_data[[#This Row],[Order Date]])</f>
        <v>6</v>
      </c>
      <c r="D214" s="8" t="str">
        <f>TEXT(Sales_data[[#This Row],[Order Date]],"mmm")</f>
        <v>Jun</v>
      </c>
      <c r="E214" t="s">
        <v>10</v>
      </c>
      <c r="F214" t="s">
        <v>27</v>
      </c>
      <c r="G214" t="s">
        <v>33</v>
      </c>
      <c r="H214" t="s">
        <v>41</v>
      </c>
      <c r="I214" t="s">
        <v>47</v>
      </c>
      <c r="J214" s="7">
        <v>1001.32</v>
      </c>
      <c r="K214" s="8">
        <v>5</v>
      </c>
      <c r="L214" s="7">
        <v>190.19</v>
      </c>
    </row>
    <row r="215" spans="1:12" x14ac:dyDescent="0.2">
      <c r="A215" s="2">
        <v>41455</v>
      </c>
      <c r="B215" s="8">
        <f>YEAR(Sales_data[[#This Row],[Order Date]])</f>
        <v>2013</v>
      </c>
      <c r="C215" s="8">
        <f>MONTH(Sales_data[[#This Row],[Order Date]])</f>
        <v>6</v>
      </c>
      <c r="D215" s="8" t="str">
        <f>TEXT(Sales_data[[#This Row],[Order Date]],"mmm")</f>
        <v>Jun</v>
      </c>
      <c r="E215" t="s">
        <v>10</v>
      </c>
      <c r="F215" t="s">
        <v>28</v>
      </c>
      <c r="G215" t="s">
        <v>34</v>
      </c>
      <c r="H215" t="s">
        <v>35</v>
      </c>
      <c r="I215" t="s">
        <v>44</v>
      </c>
      <c r="J215" s="7">
        <v>1725.68</v>
      </c>
      <c r="K215" s="8">
        <v>3</v>
      </c>
      <c r="L215" s="7">
        <v>319.95999999999998</v>
      </c>
    </row>
    <row r="216" spans="1:12" x14ac:dyDescent="0.2">
      <c r="A216" s="2">
        <v>41456</v>
      </c>
      <c r="B216" s="8">
        <f>YEAR(Sales_data[[#This Row],[Order Date]])</f>
        <v>2013</v>
      </c>
      <c r="C216" s="8">
        <f>MONTH(Sales_data[[#This Row],[Order Date]])</f>
        <v>7</v>
      </c>
      <c r="D216" s="8" t="str">
        <f>TEXT(Sales_data[[#This Row],[Order Date]],"mmm")</f>
        <v>Jul</v>
      </c>
      <c r="E216" t="s">
        <v>10</v>
      </c>
      <c r="F216" t="s">
        <v>30</v>
      </c>
      <c r="G216" t="s">
        <v>34</v>
      </c>
      <c r="H216" t="s">
        <v>39</v>
      </c>
      <c r="I216" t="s">
        <v>47</v>
      </c>
      <c r="J216" s="7">
        <v>774.55</v>
      </c>
      <c r="K216" s="8">
        <v>2</v>
      </c>
      <c r="L216" s="7">
        <v>-85.54</v>
      </c>
    </row>
    <row r="217" spans="1:12" x14ac:dyDescent="0.2">
      <c r="A217" s="2">
        <v>41457</v>
      </c>
      <c r="B217" s="8">
        <f>YEAR(Sales_data[[#This Row],[Order Date]])</f>
        <v>2013</v>
      </c>
      <c r="C217" s="8">
        <f>MONTH(Sales_data[[#This Row],[Order Date]])</f>
        <v>7</v>
      </c>
      <c r="D217" s="8" t="str">
        <f>TEXT(Sales_data[[#This Row],[Order Date]],"mmm")</f>
        <v>Jul</v>
      </c>
      <c r="E217" t="s">
        <v>10</v>
      </c>
      <c r="F217" t="s">
        <v>24</v>
      </c>
      <c r="G217" t="s">
        <v>32</v>
      </c>
      <c r="H217" t="s">
        <v>36</v>
      </c>
      <c r="I217" t="s">
        <v>50</v>
      </c>
      <c r="J217" s="7">
        <v>71.260000000000005</v>
      </c>
      <c r="K217" s="8">
        <v>7</v>
      </c>
      <c r="L217" s="7">
        <v>-58.45</v>
      </c>
    </row>
    <row r="218" spans="1:12" x14ac:dyDescent="0.2">
      <c r="A218" s="2">
        <v>41458</v>
      </c>
      <c r="B218" s="8">
        <f>YEAR(Sales_data[[#This Row],[Order Date]])</f>
        <v>2013</v>
      </c>
      <c r="C218" s="8">
        <f>MONTH(Sales_data[[#This Row],[Order Date]])</f>
        <v>7</v>
      </c>
      <c r="D218" s="8" t="str">
        <f>TEXT(Sales_data[[#This Row],[Order Date]],"mmm")</f>
        <v>Jul</v>
      </c>
      <c r="E218" t="s">
        <v>17</v>
      </c>
      <c r="F218" t="s">
        <v>26</v>
      </c>
      <c r="G218" t="s">
        <v>33</v>
      </c>
      <c r="H218" t="s">
        <v>35</v>
      </c>
      <c r="I218" t="s">
        <v>50</v>
      </c>
      <c r="J218" s="7">
        <v>1002.71</v>
      </c>
      <c r="K218" s="8">
        <v>5</v>
      </c>
      <c r="L218" s="7">
        <v>143.36000000000001</v>
      </c>
    </row>
    <row r="219" spans="1:12" x14ac:dyDescent="0.2">
      <c r="A219" s="2">
        <v>41461</v>
      </c>
      <c r="B219" s="8">
        <f>YEAR(Sales_data[[#This Row],[Order Date]])</f>
        <v>2013</v>
      </c>
      <c r="C219" s="8">
        <f>MONTH(Sales_data[[#This Row],[Order Date]])</f>
        <v>7</v>
      </c>
      <c r="D219" s="8" t="str">
        <f>TEXT(Sales_data[[#This Row],[Order Date]],"mmm")</f>
        <v>Jul</v>
      </c>
      <c r="E219" t="s">
        <v>20</v>
      </c>
      <c r="F219" t="s">
        <v>28</v>
      </c>
      <c r="G219" t="s">
        <v>34</v>
      </c>
      <c r="H219" t="s">
        <v>37</v>
      </c>
      <c r="I219" t="s">
        <v>51</v>
      </c>
      <c r="J219" s="7">
        <v>672.31</v>
      </c>
      <c r="K219" s="8">
        <v>2</v>
      </c>
      <c r="L219" s="7">
        <v>138.01</v>
      </c>
    </row>
    <row r="220" spans="1:12" x14ac:dyDescent="0.2">
      <c r="A220" s="2">
        <v>41461</v>
      </c>
      <c r="B220" s="8">
        <f>YEAR(Sales_data[[#This Row],[Order Date]])</f>
        <v>2013</v>
      </c>
      <c r="C220" s="8">
        <f>MONTH(Sales_data[[#This Row],[Order Date]])</f>
        <v>7</v>
      </c>
      <c r="D220" s="8" t="str">
        <f>TEXT(Sales_data[[#This Row],[Order Date]],"mmm")</f>
        <v>Jul</v>
      </c>
      <c r="E220" t="s">
        <v>21</v>
      </c>
      <c r="F220" t="s">
        <v>28</v>
      </c>
      <c r="G220" t="s">
        <v>32</v>
      </c>
      <c r="H220" t="s">
        <v>39</v>
      </c>
      <c r="I220" t="s">
        <v>48</v>
      </c>
      <c r="J220" s="7">
        <v>564.64</v>
      </c>
      <c r="K220" s="8">
        <v>2</v>
      </c>
      <c r="L220" s="7">
        <v>338.44</v>
      </c>
    </row>
    <row r="221" spans="1:12" x14ac:dyDescent="0.2">
      <c r="A221" s="2">
        <v>41461</v>
      </c>
      <c r="B221" s="8">
        <f>YEAR(Sales_data[[#This Row],[Order Date]])</f>
        <v>2013</v>
      </c>
      <c r="C221" s="8">
        <f>MONTH(Sales_data[[#This Row],[Order Date]])</f>
        <v>7</v>
      </c>
      <c r="D221" s="8" t="str">
        <f>TEXT(Sales_data[[#This Row],[Order Date]],"mmm")</f>
        <v>Jul</v>
      </c>
      <c r="E221" t="s">
        <v>16</v>
      </c>
      <c r="F221" t="s">
        <v>27</v>
      </c>
      <c r="G221" t="s">
        <v>33</v>
      </c>
      <c r="H221" t="s">
        <v>41</v>
      </c>
      <c r="I221" t="s">
        <v>48</v>
      </c>
      <c r="J221" s="7">
        <v>424.68</v>
      </c>
      <c r="K221" s="8">
        <v>1</v>
      </c>
      <c r="L221" s="7">
        <v>366.61</v>
      </c>
    </row>
    <row r="222" spans="1:12" x14ac:dyDescent="0.2">
      <c r="A222" s="2">
        <v>41462</v>
      </c>
      <c r="B222" s="8">
        <f>YEAR(Sales_data[[#This Row],[Order Date]])</f>
        <v>2013</v>
      </c>
      <c r="C222" s="8">
        <f>MONTH(Sales_data[[#This Row],[Order Date]])</f>
        <v>7</v>
      </c>
      <c r="D222" s="8" t="str">
        <f>TEXT(Sales_data[[#This Row],[Order Date]],"mmm")</f>
        <v>Jul</v>
      </c>
      <c r="E222" t="s">
        <v>17</v>
      </c>
      <c r="F222" t="s">
        <v>27</v>
      </c>
      <c r="G222" t="s">
        <v>34</v>
      </c>
      <c r="H222" t="s">
        <v>38</v>
      </c>
      <c r="I222" t="s">
        <v>50</v>
      </c>
      <c r="J222" s="7">
        <v>261.83</v>
      </c>
      <c r="K222" s="8">
        <v>5</v>
      </c>
      <c r="L222" s="7">
        <v>29.5</v>
      </c>
    </row>
    <row r="223" spans="1:12" x14ac:dyDescent="0.2">
      <c r="A223" s="2">
        <v>41462</v>
      </c>
      <c r="B223" s="8">
        <f>YEAR(Sales_data[[#This Row],[Order Date]])</f>
        <v>2013</v>
      </c>
      <c r="C223" s="8">
        <f>MONTH(Sales_data[[#This Row],[Order Date]])</f>
        <v>7</v>
      </c>
      <c r="D223" s="8" t="str">
        <f>TEXT(Sales_data[[#This Row],[Order Date]],"mmm")</f>
        <v>Jul</v>
      </c>
      <c r="E223" t="s">
        <v>9</v>
      </c>
      <c r="F223" t="s">
        <v>31</v>
      </c>
      <c r="G223" t="s">
        <v>32</v>
      </c>
      <c r="H223" t="s">
        <v>37</v>
      </c>
      <c r="I223" t="s">
        <v>44</v>
      </c>
      <c r="J223" s="7">
        <v>1748.38</v>
      </c>
      <c r="K223" s="8">
        <v>7</v>
      </c>
      <c r="L223" s="7">
        <v>242.7</v>
      </c>
    </row>
    <row r="224" spans="1:12" x14ac:dyDescent="0.2">
      <c r="A224" s="2">
        <v>41464</v>
      </c>
      <c r="B224" s="8">
        <f>YEAR(Sales_data[[#This Row],[Order Date]])</f>
        <v>2013</v>
      </c>
      <c r="C224" s="8">
        <f>MONTH(Sales_data[[#This Row],[Order Date]])</f>
        <v>7</v>
      </c>
      <c r="D224" s="8" t="str">
        <f>TEXT(Sales_data[[#This Row],[Order Date]],"mmm")</f>
        <v>Jul</v>
      </c>
      <c r="E224" t="s">
        <v>12</v>
      </c>
      <c r="F224" t="s">
        <v>30</v>
      </c>
      <c r="G224" t="s">
        <v>34</v>
      </c>
      <c r="H224" t="s">
        <v>42</v>
      </c>
      <c r="I224" t="s">
        <v>46</v>
      </c>
      <c r="J224" s="7">
        <v>437.34</v>
      </c>
      <c r="K224" s="8">
        <v>2</v>
      </c>
      <c r="L224" s="7">
        <v>-5.94</v>
      </c>
    </row>
    <row r="225" spans="1:12" x14ac:dyDescent="0.2">
      <c r="A225" s="2">
        <v>41464</v>
      </c>
      <c r="B225" s="8">
        <f>YEAR(Sales_data[[#This Row],[Order Date]])</f>
        <v>2013</v>
      </c>
      <c r="C225" s="8">
        <f>MONTH(Sales_data[[#This Row],[Order Date]])</f>
        <v>7</v>
      </c>
      <c r="D225" s="8" t="str">
        <f>TEXT(Sales_data[[#This Row],[Order Date]],"mmm")</f>
        <v>Jul</v>
      </c>
      <c r="E225" t="s">
        <v>9</v>
      </c>
      <c r="F225" t="s">
        <v>26</v>
      </c>
      <c r="G225" t="s">
        <v>32</v>
      </c>
      <c r="H225" t="s">
        <v>36</v>
      </c>
      <c r="I225" t="s">
        <v>46</v>
      </c>
      <c r="J225" s="7">
        <v>736.52</v>
      </c>
      <c r="K225" s="8">
        <v>5</v>
      </c>
      <c r="L225" s="7">
        <v>61.05</v>
      </c>
    </row>
    <row r="226" spans="1:12" x14ac:dyDescent="0.2">
      <c r="A226" s="2">
        <v>41464</v>
      </c>
      <c r="B226" s="8">
        <f>YEAR(Sales_data[[#This Row],[Order Date]])</f>
        <v>2013</v>
      </c>
      <c r="C226" s="8">
        <f>MONTH(Sales_data[[#This Row],[Order Date]])</f>
        <v>7</v>
      </c>
      <c r="D226" s="8" t="str">
        <f>TEXT(Sales_data[[#This Row],[Order Date]],"mmm")</f>
        <v>Jul</v>
      </c>
      <c r="E226" t="s">
        <v>16</v>
      </c>
      <c r="F226" t="s">
        <v>30</v>
      </c>
      <c r="G226" t="s">
        <v>32</v>
      </c>
      <c r="H226" t="s">
        <v>37</v>
      </c>
      <c r="I226" t="s">
        <v>48</v>
      </c>
      <c r="J226" s="7">
        <v>329.01</v>
      </c>
      <c r="K226" s="8">
        <v>4</v>
      </c>
      <c r="L226" s="7">
        <v>381.62</v>
      </c>
    </row>
    <row r="227" spans="1:12" x14ac:dyDescent="0.2">
      <c r="A227" s="2">
        <v>41465</v>
      </c>
      <c r="B227" s="8">
        <f>YEAR(Sales_data[[#This Row],[Order Date]])</f>
        <v>2013</v>
      </c>
      <c r="C227" s="8">
        <f>MONTH(Sales_data[[#This Row],[Order Date]])</f>
        <v>7</v>
      </c>
      <c r="D227" s="8" t="str">
        <f>TEXT(Sales_data[[#This Row],[Order Date]],"mmm")</f>
        <v>Jul</v>
      </c>
      <c r="E227" t="s">
        <v>14</v>
      </c>
      <c r="F227" t="s">
        <v>27</v>
      </c>
      <c r="G227" t="s">
        <v>32</v>
      </c>
      <c r="H227" t="s">
        <v>37</v>
      </c>
      <c r="I227" t="s">
        <v>50</v>
      </c>
      <c r="J227" s="7">
        <v>1923.91</v>
      </c>
      <c r="K227" s="8">
        <v>3</v>
      </c>
      <c r="L227" s="7">
        <v>250.65</v>
      </c>
    </row>
    <row r="228" spans="1:12" x14ac:dyDescent="0.2">
      <c r="A228" s="2">
        <v>41466</v>
      </c>
      <c r="B228" s="8">
        <f>YEAR(Sales_data[[#This Row],[Order Date]])</f>
        <v>2013</v>
      </c>
      <c r="C228" s="8">
        <f>MONTH(Sales_data[[#This Row],[Order Date]])</f>
        <v>7</v>
      </c>
      <c r="D228" s="8" t="str">
        <f>TEXT(Sales_data[[#This Row],[Order Date]],"mmm")</f>
        <v>Jul</v>
      </c>
      <c r="E228" t="s">
        <v>16</v>
      </c>
      <c r="F228" t="s">
        <v>22</v>
      </c>
      <c r="G228" t="s">
        <v>33</v>
      </c>
      <c r="H228" t="s">
        <v>38</v>
      </c>
      <c r="I228" t="s">
        <v>53</v>
      </c>
      <c r="J228" s="7">
        <v>1563.76</v>
      </c>
      <c r="K228" s="8">
        <v>2</v>
      </c>
      <c r="L228" s="7">
        <v>-183.7</v>
      </c>
    </row>
    <row r="229" spans="1:12" x14ac:dyDescent="0.2">
      <c r="A229" s="2">
        <v>41468</v>
      </c>
      <c r="B229" s="8">
        <f>YEAR(Sales_data[[#This Row],[Order Date]])</f>
        <v>2013</v>
      </c>
      <c r="C229" s="8">
        <f>MONTH(Sales_data[[#This Row],[Order Date]])</f>
        <v>7</v>
      </c>
      <c r="D229" s="8" t="str">
        <f>TEXT(Sales_data[[#This Row],[Order Date]],"mmm")</f>
        <v>Jul</v>
      </c>
      <c r="E229" t="s">
        <v>17</v>
      </c>
      <c r="F229" t="s">
        <v>26</v>
      </c>
      <c r="G229" t="s">
        <v>33</v>
      </c>
      <c r="H229" t="s">
        <v>43</v>
      </c>
      <c r="I229" t="s">
        <v>53</v>
      </c>
      <c r="J229" s="7">
        <v>10.48</v>
      </c>
      <c r="K229" s="8">
        <v>4</v>
      </c>
      <c r="L229" s="7">
        <v>254.79</v>
      </c>
    </row>
    <row r="230" spans="1:12" x14ac:dyDescent="0.2">
      <c r="A230" s="2">
        <v>41468</v>
      </c>
      <c r="B230" s="8">
        <f>YEAR(Sales_data[[#This Row],[Order Date]])</f>
        <v>2013</v>
      </c>
      <c r="C230" s="8">
        <f>MONTH(Sales_data[[#This Row],[Order Date]])</f>
        <v>7</v>
      </c>
      <c r="D230" s="8" t="str">
        <f>TEXT(Sales_data[[#This Row],[Order Date]],"mmm")</f>
        <v>Jul</v>
      </c>
      <c r="E230" t="s">
        <v>16</v>
      </c>
      <c r="F230" t="s">
        <v>26</v>
      </c>
      <c r="G230" t="s">
        <v>33</v>
      </c>
      <c r="H230" t="s">
        <v>40</v>
      </c>
      <c r="I230" t="s">
        <v>45</v>
      </c>
      <c r="J230" s="7">
        <v>1248.81</v>
      </c>
      <c r="K230" s="8">
        <v>8</v>
      </c>
      <c r="L230" s="7">
        <v>257.14</v>
      </c>
    </row>
    <row r="231" spans="1:12" x14ac:dyDescent="0.2">
      <c r="A231" s="2">
        <v>41470</v>
      </c>
      <c r="B231" s="8">
        <f>YEAR(Sales_data[[#This Row],[Order Date]])</f>
        <v>2013</v>
      </c>
      <c r="C231" s="8">
        <f>MONTH(Sales_data[[#This Row],[Order Date]])</f>
        <v>7</v>
      </c>
      <c r="D231" s="8" t="str">
        <f>TEXT(Sales_data[[#This Row],[Order Date]],"mmm")</f>
        <v>Jul</v>
      </c>
      <c r="E231" t="s">
        <v>20</v>
      </c>
      <c r="F231" t="s">
        <v>23</v>
      </c>
      <c r="G231" t="s">
        <v>34</v>
      </c>
      <c r="H231" t="s">
        <v>41</v>
      </c>
      <c r="I231" t="s">
        <v>44</v>
      </c>
      <c r="J231" s="7">
        <v>290.13</v>
      </c>
      <c r="K231" s="8">
        <v>3</v>
      </c>
      <c r="L231" s="7">
        <v>158.03</v>
      </c>
    </row>
    <row r="232" spans="1:12" x14ac:dyDescent="0.2">
      <c r="A232" s="2">
        <v>41472</v>
      </c>
      <c r="B232" s="8">
        <f>YEAR(Sales_data[[#This Row],[Order Date]])</f>
        <v>2013</v>
      </c>
      <c r="C232" s="8">
        <f>MONTH(Sales_data[[#This Row],[Order Date]])</f>
        <v>7</v>
      </c>
      <c r="D232" s="8" t="str">
        <f>TEXT(Sales_data[[#This Row],[Order Date]],"mmm")</f>
        <v>Jul</v>
      </c>
      <c r="E232" t="s">
        <v>9</v>
      </c>
      <c r="F232" t="s">
        <v>27</v>
      </c>
      <c r="G232" t="s">
        <v>32</v>
      </c>
      <c r="H232" t="s">
        <v>40</v>
      </c>
      <c r="I232" t="s">
        <v>47</v>
      </c>
      <c r="J232" s="7">
        <v>1196.98</v>
      </c>
      <c r="K232" s="8">
        <v>7</v>
      </c>
      <c r="L232" s="7">
        <v>378.27</v>
      </c>
    </row>
    <row r="233" spans="1:12" x14ac:dyDescent="0.2">
      <c r="A233" s="2">
        <v>41472</v>
      </c>
      <c r="B233" s="8">
        <f>YEAR(Sales_data[[#This Row],[Order Date]])</f>
        <v>2013</v>
      </c>
      <c r="C233" s="8">
        <f>MONTH(Sales_data[[#This Row],[Order Date]])</f>
        <v>7</v>
      </c>
      <c r="D233" s="8" t="str">
        <f>TEXT(Sales_data[[#This Row],[Order Date]],"mmm")</f>
        <v>Jul</v>
      </c>
      <c r="E233" t="s">
        <v>16</v>
      </c>
      <c r="F233" t="s">
        <v>30</v>
      </c>
      <c r="G233" t="s">
        <v>32</v>
      </c>
      <c r="H233" t="s">
        <v>35</v>
      </c>
      <c r="I233" t="s">
        <v>49</v>
      </c>
      <c r="J233" s="7">
        <v>38.020000000000003</v>
      </c>
      <c r="K233" s="8">
        <v>7</v>
      </c>
      <c r="L233" s="7">
        <v>218.33</v>
      </c>
    </row>
    <row r="234" spans="1:12" x14ac:dyDescent="0.2">
      <c r="A234" s="2">
        <v>41475</v>
      </c>
      <c r="B234" s="8">
        <f>YEAR(Sales_data[[#This Row],[Order Date]])</f>
        <v>2013</v>
      </c>
      <c r="C234" s="8">
        <f>MONTH(Sales_data[[#This Row],[Order Date]])</f>
        <v>7</v>
      </c>
      <c r="D234" s="8" t="str">
        <f>TEXT(Sales_data[[#This Row],[Order Date]],"mmm")</f>
        <v>Jul</v>
      </c>
      <c r="E234" t="s">
        <v>17</v>
      </c>
      <c r="F234" t="s">
        <v>29</v>
      </c>
      <c r="G234" t="s">
        <v>34</v>
      </c>
      <c r="H234" t="s">
        <v>35</v>
      </c>
      <c r="I234" t="s">
        <v>48</v>
      </c>
      <c r="J234" s="7">
        <v>1304.0899999999999</v>
      </c>
      <c r="K234" s="8">
        <v>5</v>
      </c>
      <c r="L234" s="7">
        <v>200.19</v>
      </c>
    </row>
    <row r="235" spans="1:12" x14ac:dyDescent="0.2">
      <c r="A235" s="2">
        <v>41475</v>
      </c>
      <c r="B235" s="8">
        <f>YEAR(Sales_data[[#This Row],[Order Date]])</f>
        <v>2013</v>
      </c>
      <c r="C235" s="8">
        <f>MONTH(Sales_data[[#This Row],[Order Date]])</f>
        <v>7</v>
      </c>
      <c r="D235" s="8" t="str">
        <f>TEXT(Sales_data[[#This Row],[Order Date]],"mmm")</f>
        <v>Jul</v>
      </c>
      <c r="E235" t="s">
        <v>21</v>
      </c>
      <c r="F235" t="s">
        <v>23</v>
      </c>
      <c r="G235" t="s">
        <v>34</v>
      </c>
      <c r="H235" t="s">
        <v>40</v>
      </c>
      <c r="I235" t="s">
        <v>50</v>
      </c>
      <c r="J235" s="7">
        <v>1678.93</v>
      </c>
      <c r="K235" s="8">
        <v>9</v>
      </c>
      <c r="L235" s="7">
        <v>-189.08</v>
      </c>
    </row>
    <row r="236" spans="1:12" x14ac:dyDescent="0.2">
      <c r="A236" s="2">
        <v>41476</v>
      </c>
      <c r="B236" s="8">
        <f>YEAR(Sales_data[[#This Row],[Order Date]])</f>
        <v>2013</v>
      </c>
      <c r="C236" s="8">
        <f>MONTH(Sales_data[[#This Row],[Order Date]])</f>
        <v>7</v>
      </c>
      <c r="D236" s="8" t="str">
        <f>TEXT(Sales_data[[#This Row],[Order Date]],"mmm")</f>
        <v>Jul</v>
      </c>
      <c r="E236" t="s">
        <v>17</v>
      </c>
      <c r="F236" t="s">
        <v>29</v>
      </c>
      <c r="G236" t="s">
        <v>32</v>
      </c>
      <c r="H236" t="s">
        <v>42</v>
      </c>
      <c r="I236" t="s">
        <v>50</v>
      </c>
      <c r="J236" s="7">
        <v>468.97</v>
      </c>
      <c r="K236" s="8">
        <v>7</v>
      </c>
      <c r="L236" s="7">
        <v>333.54</v>
      </c>
    </row>
    <row r="237" spans="1:12" x14ac:dyDescent="0.2">
      <c r="A237" s="2">
        <v>41476</v>
      </c>
      <c r="B237" s="8">
        <f>YEAR(Sales_data[[#This Row],[Order Date]])</f>
        <v>2013</v>
      </c>
      <c r="C237" s="8">
        <f>MONTH(Sales_data[[#This Row],[Order Date]])</f>
        <v>7</v>
      </c>
      <c r="D237" s="8" t="str">
        <f>TEXT(Sales_data[[#This Row],[Order Date]],"mmm")</f>
        <v>Jul</v>
      </c>
      <c r="E237" t="s">
        <v>13</v>
      </c>
      <c r="F237" t="s">
        <v>25</v>
      </c>
      <c r="G237" t="s">
        <v>33</v>
      </c>
      <c r="H237" t="s">
        <v>35</v>
      </c>
      <c r="I237" t="s">
        <v>53</v>
      </c>
      <c r="J237" s="7">
        <v>1138.6500000000001</v>
      </c>
      <c r="K237" s="8">
        <v>8</v>
      </c>
      <c r="L237" s="7">
        <v>-141.38</v>
      </c>
    </row>
    <row r="238" spans="1:12" x14ac:dyDescent="0.2">
      <c r="A238" s="2">
        <v>41477</v>
      </c>
      <c r="B238" s="8">
        <f>YEAR(Sales_data[[#This Row],[Order Date]])</f>
        <v>2013</v>
      </c>
      <c r="C238" s="8">
        <f>MONTH(Sales_data[[#This Row],[Order Date]])</f>
        <v>7</v>
      </c>
      <c r="D238" s="8" t="str">
        <f>TEXT(Sales_data[[#This Row],[Order Date]],"mmm")</f>
        <v>Jul</v>
      </c>
      <c r="E238" t="s">
        <v>12</v>
      </c>
      <c r="F238" t="s">
        <v>29</v>
      </c>
      <c r="G238" t="s">
        <v>32</v>
      </c>
      <c r="H238" t="s">
        <v>43</v>
      </c>
      <c r="I238" t="s">
        <v>47</v>
      </c>
      <c r="J238" s="7">
        <v>906.57</v>
      </c>
      <c r="K238" s="8">
        <v>6</v>
      </c>
      <c r="L238" s="7">
        <v>104.42</v>
      </c>
    </row>
    <row r="239" spans="1:12" x14ac:dyDescent="0.2">
      <c r="A239" s="2">
        <v>41477</v>
      </c>
      <c r="B239" s="8">
        <f>YEAR(Sales_data[[#This Row],[Order Date]])</f>
        <v>2013</v>
      </c>
      <c r="C239" s="8">
        <f>MONTH(Sales_data[[#This Row],[Order Date]])</f>
        <v>7</v>
      </c>
      <c r="D239" s="8" t="str">
        <f>TEXT(Sales_data[[#This Row],[Order Date]],"mmm")</f>
        <v>Jul</v>
      </c>
      <c r="E239" t="s">
        <v>10</v>
      </c>
      <c r="F239" t="s">
        <v>29</v>
      </c>
      <c r="G239" t="s">
        <v>34</v>
      </c>
      <c r="H239" t="s">
        <v>43</v>
      </c>
      <c r="I239" t="s">
        <v>51</v>
      </c>
      <c r="J239" s="7">
        <v>165.77</v>
      </c>
      <c r="K239" s="8">
        <v>8</v>
      </c>
      <c r="L239" s="7">
        <v>182.89</v>
      </c>
    </row>
    <row r="240" spans="1:12" x14ac:dyDescent="0.2">
      <c r="A240" s="2">
        <v>41479</v>
      </c>
      <c r="B240" s="8">
        <f>YEAR(Sales_data[[#This Row],[Order Date]])</f>
        <v>2013</v>
      </c>
      <c r="C240" s="8">
        <f>MONTH(Sales_data[[#This Row],[Order Date]])</f>
        <v>7</v>
      </c>
      <c r="D240" s="8" t="str">
        <f>TEXT(Sales_data[[#This Row],[Order Date]],"mmm")</f>
        <v>Jul</v>
      </c>
      <c r="E240" t="s">
        <v>16</v>
      </c>
      <c r="F240" t="s">
        <v>22</v>
      </c>
      <c r="G240" t="s">
        <v>32</v>
      </c>
      <c r="H240" t="s">
        <v>37</v>
      </c>
      <c r="I240" t="s">
        <v>48</v>
      </c>
      <c r="J240" s="7">
        <v>1643.85</v>
      </c>
      <c r="K240" s="8">
        <v>9</v>
      </c>
      <c r="L240" s="7">
        <v>98.51</v>
      </c>
    </row>
    <row r="241" spans="1:12" x14ac:dyDescent="0.2">
      <c r="A241" s="2">
        <v>41480</v>
      </c>
      <c r="B241" s="8">
        <f>YEAR(Sales_data[[#This Row],[Order Date]])</f>
        <v>2013</v>
      </c>
      <c r="C241" s="8">
        <f>MONTH(Sales_data[[#This Row],[Order Date]])</f>
        <v>7</v>
      </c>
      <c r="D241" s="8" t="str">
        <f>TEXT(Sales_data[[#This Row],[Order Date]],"mmm")</f>
        <v>Jul</v>
      </c>
      <c r="E241" t="s">
        <v>18</v>
      </c>
      <c r="F241" t="s">
        <v>22</v>
      </c>
      <c r="G241" t="s">
        <v>34</v>
      </c>
      <c r="H241" t="s">
        <v>35</v>
      </c>
      <c r="I241" t="s">
        <v>44</v>
      </c>
      <c r="J241" s="7">
        <v>1346.02</v>
      </c>
      <c r="K241" s="8">
        <v>6</v>
      </c>
      <c r="L241" s="7">
        <v>-36.46</v>
      </c>
    </row>
    <row r="242" spans="1:12" x14ac:dyDescent="0.2">
      <c r="A242" s="2">
        <v>41481</v>
      </c>
      <c r="B242" s="8">
        <f>YEAR(Sales_data[[#This Row],[Order Date]])</f>
        <v>2013</v>
      </c>
      <c r="C242" s="8">
        <f>MONTH(Sales_data[[#This Row],[Order Date]])</f>
        <v>7</v>
      </c>
      <c r="D242" s="8" t="str">
        <f>TEXT(Sales_data[[#This Row],[Order Date]],"mmm")</f>
        <v>Jul</v>
      </c>
      <c r="E242" t="s">
        <v>15</v>
      </c>
      <c r="F242" t="s">
        <v>28</v>
      </c>
      <c r="G242" t="s">
        <v>32</v>
      </c>
      <c r="H242" t="s">
        <v>38</v>
      </c>
      <c r="I242" t="s">
        <v>45</v>
      </c>
      <c r="J242" s="7">
        <v>968.86</v>
      </c>
      <c r="K242" s="8">
        <v>7</v>
      </c>
      <c r="L242" s="7">
        <v>295.85000000000002</v>
      </c>
    </row>
    <row r="243" spans="1:12" x14ac:dyDescent="0.2">
      <c r="A243" s="2">
        <v>41482</v>
      </c>
      <c r="B243" s="8">
        <f>YEAR(Sales_data[[#This Row],[Order Date]])</f>
        <v>2013</v>
      </c>
      <c r="C243" s="8">
        <f>MONTH(Sales_data[[#This Row],[Order Date]])</f>
        <v>7</v>
      </c>
      <c r="D243" s="8" t="str">
        <f>TEXT(Sales_data[[#This Row],[Order Date]],"mmm")</f>
        <v>Jul</v>
      </c>
      <c r="E243" t="s">
        <v>21</v>
      </c>
      <c r="F243" t="s">
        <v>24</v>
      </c>
      <c r="G243" t="s">
        <v>33</v>
      </c>
      <c r="H243" t="s">
        <v>39</v>
      </c>
      <c r="I243" t="s">
        <v>49</v>
      </c>
      <c r="J243" s="7">
        <v>856.86</v>
      </c>
      <c r="K243" s="8">
        <v>9</v>
      </c>
      <c r="L243" s="7">
        <v>-102.52</v>
      </c>
    </row>
    <row r="244" spans="1:12" x14ac:dyDescent="0.2">
      <c r="A244" s="2">
        <v>41488</v>
      </c>
      <c r="B244" s="8">
        <f>YEAR(Sales_data[[#This Row],[Order Date]])</f>
        <v>2013</v>
      </c>
      <c r="C244" s="8">
        <f>MONTH(Sales_data[[#This Row],[Order Date]])</f>
        <v>8</v>
      </c>
      <c r="D244" s="8" t="str">
        <f>TEXT(Sales_data[[#This Row],[Order Date]],"mmm")</f>
        <v>Aug</v>
      </c>
      <c r="E244" t="s">
        <v>11</v>
      </c>
      <c r="F244" t="s">
        <v>29</v>
      </c>
      <c r="G244" t="s">
        <v>32</v>
      </c>
      <c r="H244" t="s">
        <v>42</v>
      </c>
      <c r="I244" t="s">
        <v>48</v>
      </c>
      <c r="J244" s="7">
        <v>935.05</v>
      </c>
      <c r="K244" s="8">
        <v>9</v>
      </c>
      <c r="L244" s="7">
        <v>28.82</v>
      </c>
    </row>
    <row r="245" spans="1:12" x14ac:dyDescent="0.2">
      <c r="A245" s="2">
        <v>41489</v>
      </c>
      <c r="B245" s="8">
        <f>YEAR(Sales_data[[#This Row],[Order Date]])</f>
        <v>2013</v>
      </c>
      <c r="C245" s="8">
        <f>MONTH(Sales_data[[#This Row],[Order Date]])</f>
        <v>8</v>
      </c>
      <c r="D245" s="8" t="str">
        <f>TEXT(Sales_data[[#This Row],[Order Date]],"mmm")</f>
        <v>Aug</v>
      </c>
      <c r="E245" t="s">
        <v>13</v>
      </c>
      <c r="F245" t="s">
        <v>31</v>
      </c>
      <c r="G245" t="s">
        <v>33</v>
      </c>
      <c r="H245" t="s">
        <v>37</v>
      </c>
      <c r="I245" t="s">
        <v>47</v>
      </c>
      <c r="J245" s="7">
        <v>1859.27</v>
      </c>
      <c r="K245" s="8">
        <v>3</v>
      </c>
      <c r="L245" s="7">
        <v>1.3</v>
      </c>
    </row>
    <row r="246" spans="1:12" x14ac:dyDescent="0.2">
      <c r="A246" s="2">
        <v>41490</v>
      </c>
      <c r="B246" s="8">
        <f>YEAR(Sales_data[[#This Row],[Order Date]])</f>
        <v>2013</v>
      </c>
      <c r="C246" s="8">
        <f>MONTH(Sales_data[[#This Row],[Order Date]])</f>
        <v>8</v>
      </c>
      <c r="D246" s="8" t="str">
        <f>TEXT(Sales_data[[#This Row],[Order Date]],"mmm")</f>
        <v>Aug</v>
      </c>
      <c r="E246" t="s">
        <v>17</v>
      </c>
      <c r="F246" t="s">
        <v>27</v>
      </c>
      <c r="G246" t="s">
        <v>34</v>
      </c>
      <c r="H246" t="s">
        <v>41</v>
      </c>
      <c r="I246" t="s">
        <v>46</v>
      </c>
      <c r="J246" s="7">
        <v>1808.5</v>
      </c>
      <c r="K246" s="8">
        <v>2</v>
      </c>
      <c r="L246" s="7">
        <v>-12.81</v>
      </c>
    </row>
    <row r="247" spans="1:12" x14ac:dyDescent="0.2">
      <c r="A247" s="2">
        <v>41490</v>
      </c>
      <c r="B247" s="8">
        <f>YEAR(Sales_data[[#This Row],[Order Date]])</f>
        <v>2013</v>
      </c>
      <c r="C247" s="8">
        <f>MONTH(Sales_data[[#This Row],[Order Date]])</f>
        <v>8</v>
      </c>
      <c r="D247" s="8" t="str">
        <f>TEXT(Sales_data[[#This Row],[Order Date]],"mmm")</f>
        <v>Aug</v>
      </c>
      <c r="E247" t="s">
        <v>19</v>
      </c>
      <c r="F247" t="s">
        <v>30</v>
      </c>
      <c r="G247" t="s">
        <v>32</v>
      </c>
      <c r="H247" t="s">
        <v>39</v>
      </c>
      <c r="I247" t="s">
        <v>47</v>
      </c>
      <c r="J247" s="7">
        <v>744.08</v>
      </c>
      <c r="K247" s="8">
        <v>1</v>
      </c>
      <c r="L247" s="7">
        <v>212.9</v>
      </c>
    </row>
    <row r="248" spans="1:12" x14ac:dyDescent="0.2">
      <c r="A248" s="2">
        <v>41490</v>
      </c>
      <c r="B248" s="8">
        <f>YEAR(Sales_data[[#This Row],[Order Date]])</f>
        <v>2013</v>
      </c>
      <c r="C248" s="8">
        <f>MONTH(Sales_data[[#This Row],[Order Date]])</f>
        <v>8</v>
      </c>
      <c r="D248" s="8" t="str">
        <f>TEXT(Sales_data[[#This Row],[Order Date]],"mmm")</f>
        <v>Aug</v>
      </c>
      <c r="E248" t="s">
        <v>21</v>
      </c>
      <c r="F248" t="s">
        <v>27</v>
      </c>
      <c r="G248" t="s">
        <v>33</v>
      </c>
      <c r="H248" t="s">
        <v>39</v>
      </c>
      <c r="I248" t="s">
        <v>45</v>
      </c>
      <c r="J248" s="7">
        <v>770.91</v>
      </c>
      <c r="K248" s="8">
        <v>9</v>
      </c>
      <c r="L248" s="7">
        <v>-150.32</v>
      </c>
    </row>
    <row r="249" spans="1:12" x14ac:dyDescent="0.2">
      <c r="A249" s="2">
        <v>41491</v>
      </c>
      <c r="B249" s="8">
        <f>YEAR(Sales_data[[#This Row],[Order Date]])</f>
        <v>2013</v>
      </c>
      <c r="C249" s="8">
        <f>MONTH(Sales_data[[#This Row],[Order Date]])</f>
        <v>8</v>
      </c>
      <c r="D249" s="8" t="str">
        <f>TEXT(Sales_data[[#This Row],[Order Date]],"mmm")</f>
        <v>Aug</v>
      </c>
      <c r="E249" t="s">
        <v>13</v>
      </c>
      <c r="F249" t="s">
        <v>25</v>
      </c>
      <c r="G249" t="s">
        <v>33</v>
      </c>
      <c r="H249" t="s">
        <v>40</v>
      </c>
      <c r="I249" t="s">
        <v>45</v>
      </c>
      <c r="J249" s="7">
        <v>282.56</v>
      </c>
      <c r="K249" s="8">
        <v>9</v>
      </c>
      <c r="L249" s="7">
        <v>-23.7</v>
      </c>
    </row>
    <row r="250" spans="1:12" x14ac:dyDescent="0.2">
      <c r="A250" s="2">
        <v>41491</v>
      </c>
      <c r="B250" s="8">
        <f>YEAR(Sales_data[[#This Row],[Order Date]])</f>
        <v>2013</v>
      </c>
      <c r="C250" s="8">
        <f>MONTH(Sales_data[[#This Row],[Order Date]])</f>
        <v>8</v>
      </c>
      <c r="D250" s="8" t="str">
        <f>TEXT(Sales_data[[#This Row],[Order Date]],"mmm")</f>
        <v>Aug</v>
      </c>
      <c r="E250" t="s">
        <v>9</v>
      </c>
      <c r="F250" t="s">
        <v>30</v>
      </c>
      <c r="G250" t="s">
        <v>34</v>
      </c>
      <c r="H250" t="s">
        <v>39</v>
      </c>
      <c r="I250" t="s">
        <v>47</v>
      </c>
      <c r="J250" s="7">
        <v>929.66</v>
      </c>
      <c r="K250" s="8">
        <v>1</v>
      </c>
      <c r="L250" s="7">
        <v>289.88</v>
      </c>
    </row>
    <row r="251" spans="1:12" x14ac:dyDescent="0.2">
      <c r="A251" s="2">
        <v>41491</v>
      </c>
      <c r="B251" s="8">
        <f>YEAR(Sales_data[[#This Row],[Order Date]])</f>
        <v>2013</v>
      </c>
      <c r="C251" s="8">
        <f>MONTH(Sales_data[[#This Row],[Order Date]])</f>
        <v>8</v>
      </c>
      <c r="D251" s="8" t="str">
        <f>TEXT(Sales_data[[#This Row],[Order Date]],"mmm")</f>
        <v>Aug</v>
      </c>
      <c r="E251" t="s">
        <v>9</v>
      </c>
      <c r="F251" t="s">
        <v>30</v>
      </c>
      <c r="G251" t="s">
        <v>32</v>
      </c>
      <c r="H251" t="s">
        <v>36</v>
      </c>
      <c r="I251" t="s">
        <v>46</v>
      </c>
      <c r="J251" s="7">
        <v>1761.7</v>
      </c>
      <c r="K251" s="8">
        <v>2</v>
      </c>
      <c r="L251" s="7">
        <v>362.75</v>
      </c>
    </row>
    <row r="252" spans="1:12" x14ac:dyDescent="0.2">
      <c r="A252" s="2">
        <v>41492</v>
      </c>
      <c r="B252" s="8">
        <f>YEAR(Sales_data[[#This Row],[Order Date]])</f>
        <v>2013</v>
      </c>
      <c r="C252" s="8">
        <f>MONTH(Sales_data[[#This Row],[Order Date]])</f>
        <v>8</v>
      </c>
      <c r="D252" s="8" t="str">
        <f>TEXT(Sales_data[[#This Row],[Order Date]],"mmm")</f>
        <v>Aug</v>
      </c>
      <c r="E252" t="s">
        <v>12</v>
      </c>
      <c r="F252" t="s">
        <v>28</v>
      </c>
      <c r="G252" t="s">
        <v>34</v>
      </c>
      <c r="H252" t="s">
        <v>37</v>
      </c>
      <c r="I252" t="s">
        <v>53</v>
      </c>
      <c r="J252" s="7">
        <v>1445.81</v>
      </c>
      <c r="K252" s="8">
        <v>8</v>
      </c>
      <c r="L252" s="7">
        <v>347.08</v>
      </c>
    </row>
    <row r="253" spans="1:12" x14ac:dyDescent="0.2">
      <c r="A253" s="2">
        <v>41492</v>
      </c>
      <c r="B253" s="8">
        <f>YEAR(Sales_data[[#This Row],[Order Date]])</f>
        <v>2013</v>
      </c>
      <c r="C253" s="8">
        <f>MONTH(Sales_data[[#This Row],[Order Date]])</f>
        <v>8</v>
      </c>
      <c r="D253" s="8" t="str">
        <f>TEXT(Sales_data[[#This Row],[Order Date]],"mmm")</f>
        <v>Aug</v>
      </c>
      <c r="E253" t="s">
        <v>13</v>
      </c>
      <c r="F253" t="s">
        <v>30</v>
      </c>
      <c r="G253" t="s">
        <v>33</v>
      </c>
      <c r="H253" t="s">
        <v>37</v>
      </c>
      <c r="I253" t="s">
        <v>52</v>
      </c>
      <c r="J253" s="7">
        <v>1435.19</v>
      </c>
      <c r="K253" s="8">
        <v>2</v>
      </c>
      <c r="L253" s="7">
        <v>293.33</v>
      </c>
    </row>
    <row r="254" spans="1:12" x14ac:dyDescent="0.2">
      <c r="A254" s="2">
        <v>41492</v>
      </c>
      <c r="B254" s="8">
        <f>YEAR(Sales_data[[#This Row],[Order Date]])</f>
        <v>2013</v>
      </c>
      <c r="C254" s="8">
        <f>MONTH(Sales_data[[#This Row],[Order Date]])</f>
        <v>8</v>
      </c>
      <c r="D254" s="8" t="str">
        <f>TEXT(Sales_data[[#This Row],[Order Date]],"mmm")</f>
        <v>Aug</v>
      </c>
      <c r="E254" t="s">
        <v>9</v>
      </c>
      <c r="F254" t="s">
        <v>24</v>
      </c>
      <c r="G254" t="s">
        <v>33</v>
      </c>
      <c r="H254" t="s">
        <v>40</v>
      </c>
      <c r="I254" t="s">
        <v>53</v>
      </c>
      <c r="J254" s="7">
        <v>1487.49</v>
      </c>
      <c r="K254" s="8">
        <v>1</v>
      </c>
      <c r="L254" s="7">
        <v>257.01</v>
      </c>
    </row>
    <row r="255" spans="1:12" x14ac:dyDescent="0.2">
      <c r="A255" s="2">
        <v>41494</v>
      </c>
      <c r="B255" s="8">
        <f>YEAR(Sales_data[[#This Row],[Order Date]])</f>
        <v>2013</v>
      </c>
      <c r="C255" s="8">
        <f>MONTH(Sales_data[[#This Row],[Order Date]])</f>
        <v>8</v>
      </c>
      <c r="D255" s="8" t="str">
        <f>TEXT(Sales_data[[#This Row],[Order Date]],"mmm")</f>
        <v>Aug</v>
      </c>
      <c r="E255" t="s">
        <v>16</v>
      </c>
      <c r="F255" t="s">
        <v>22</v>
      </c>
      <c r="G255" t="s">
        <v>32</v>
      </c>
      <c r="H255" t="s">
        <v>38</v>
      </c>
      <c r="I255" t="s">
        <v>50</v>
      </c>
      <c r="J255" s="7">
        <v>613.87</v>
      </c>
      <c r="K255" s="8">
        <v>5</v>
      </c>
      <c r="L255" s="7">
        <v>85.8</v>
      </c>
    </row>
    <row r="256" spans="1:12" x14ac:dyDescent="0.2">
      <c r="A256" s="2">
        <v>41498</v>
      </c>
      <c r="B256" s="8">
        <f>YEAR(Sales_data[[#This Row],[Order Date]])</f>
        <v>2013</v>
      </c>
      <c r="C256" s="8">
        <f>MONTH(Sales_data[[#This Row],[Order Date]])</f>
        <v>8</v>
      </c>
      <c r="D256" s="8" t="str">
        <f>TEXT(Sales_data[[#This Row],[Order Date]],"mmm")</f>
        <v>Aug</v>
      </c>
      <c r="E256" t="s">
        <v>19</v>
      </c>
      <c r="F256" t="s">
        <v>23</v>
      </c>
      <c r="G256" t="s">
        <v>32</v>
      </c>
      <c r="H256" t="s">
        <v>42</v>
      </c>
      <c r="I256" t="s">
        <v>46</v>
      </c>
      <c r="J256" s="7">
        <v>1402.43</v>
      </c>
      <c r="K256" s="8">
        <v>4</v>
      </c>
      <c r="L256" s="7">
        <v>133.52000000000001</v>
      </c>
    </row>
    <row r="257" spans="1:12" x14ac:dyDescent="0.2">
      <c r="A257" s="2">
        <v>41499</v>
      </c>
      <c r="B257" s="8">
        <f>YEAR(Sales_data[[#This Row],[Order Date]])</f>
        <v>2013</v>
      </c>
      <c r="C257" s="8">
        <f>MONTH(Sales_data[[#This Row],[Order Date]])</f>
        <v>8</v>
      </c>
      <c r="D257" s="8" t="str">
        <f>TEXT(Sales_data[[#This Row],[Order Date]],"mmm")</f>
        <v>Aug</v>
      </c>
      <c r="E257" t="s">
        <v>9</v>
      </c>
      <c r="F257" t="s">
        <v>26</v>
      </c>
      <c r="G257" t="s">
        <v>33</v>
      </c>
      <c r="H257" t="s">
        <v>38</v>
      </c>
      <c r="I257" t="s">
        <v>50</v>
      </c>
      <c r="J257" s="7">
        <v>1213.83</v>
      </c>
      <c r="K257" s="8">
        <v>4</v>
      </c>
      <c r="L257" s="7">
        <v>-29.02</v>
      </c>
    </row>
    <row r="258" spans="1:12" x14ac:dyDescent="0.2">
      <c r="A258" s="2">
        <v>41500</v>
      </c>
      <c r="B258" s="8">
        <f>YEAR(Sales_data[[#This Row],[Order Date]])</f>
        <v>2013</v>
      </c>
      <c r="C258" s="8">
        <f>MONTH(Sales_data[[#This Row],[Order Date]])</f>
        <v>8</v>
      </c>
      <c r="D258" s="8" t="str">
        <f>TEXT(Sales_data[[#This Row],[Order Date]],"mmm")</f>
        <v>Aug</v>
      </c>
      <c r="E258" t="s">
        <v>17</v>
      </c>
      <c r="F258" t="s">
        <v>30</v>
      </c>
      <c r="G258" t="s">
        <v>33</v>
      </c>
      <c r="H258" t="s">
        <v>42</v>
      </c>
      <c r="I258" t="s">
        <v>45</v>
      </c>
      <c r="J258" s="7">
        <v>1960.03</v>
      </c>
      <c r="K258" s="8">
        <v>1</v>
      </c>
      <c r="L258" s="7">
        <v>95.15</v>
      </c>
    </row>
    <row r="259" spans="1:12" x14ac:dyDescent="0.2">
      <c r="A259" s="2">
        <v>41500</v>
      </c>
      <c r="B259" s="8">
        <f>YEAR(Sales_data[[#This Row],[Order Date]])</f>
        <v>2013</v>
      </c>
      <c r="C259" s="8">
        <f>MONTH(Sales_data[[#This Row],[Order Date]])</f>
        <v>8</v>
      </c>
      <c r="D259" s="8" t="str">
        <f>TEXT(Sales_data[[#This Row],[Order Date]],"mmm")</f>
        <v>Aug</v>
      </c>
      <c r="E259" t="s">
        <v>18</v>
      </c>
      <c r="F259" t="s">
        <v>23</v>
      </c>
      <c r="G259" t="s">
        <v>33</v>
      </c>
      <c r="H259" t="s">
        <v>42</v>
      </c>
      <c r="I259" t="s">
        <v>44</v>
      </c>
      <c r="J259" s="7">
        <v>703.07</v>
      </c>
      <c r="K259" s="8">
        <v>8</v>
      </c>
      <c r="L259" s="7">
        <v>-142.72</v>
      </c>
    </row>
    <row r="260" spans="1:12" x14ac:dyDescent="0.2">
      <c r="A260" s="2">
        <v>41500</v>
      </c>
      <c r="B260" s="8">
        <f>YEAR(Sales_data[[#This Row],[Order Date]])</f>
        <v>2013</v>
      </c>
      <c r="C260" s="8">
        <f>MONTH(Sales_data[[#This Row],[Order Date]])</f>
        <v>8</v>
      </c>
      <c r="D260" s="8" t="str">
        <f>TEXT(Sales_data[[#This Row],[Order Date]],"mmm")</f>
        <v>Aug</v>
      </c>
      <c r="E260" t="s">
        <v>17</v>
      </c>
      <c r="F260" t="s">
        <v>25</v>
      </c>
      <c r="G260" t="s">
        <v>32</v>
      </c>
      <c r="H260" t="s">
        <v>36</v>
      </c>
      <c r="I260" t="s">
        <v>49</v>
      </c>
      <c r="J260" s="7">
        <v>1054.1300000000001</v>
      </c>
      <c r="K260" s="8">
        <v>5</v>
      </c>
      <c r="L260" s="7">
        <v>142.46</v>
      </c>
    </row>
    <row r="261" spans="1:12" x14ac:dyDescent="0.2">
      <c r="A261" s="2">
        <v>41502</v>
      </c>
      <c r="B261" s="8">
        <f>YEAR(Sales_data[[#This Row],[Order Date]])</f>
        <v>2013</v>
      </c>
      <c r="C261" s="8">
        <f>MONTH(Sales_data[[#This Row],[Order Date]])</f>
        <v>8</v>
      </c>
      <c r="D261" s="8" t="str">
        <f>TEXT(Sales_data[[#This Row],[Order Date]],"mmm")</f>
        <v>Aug</v>
      </c>
      <c r="E261" t="s">
        <v>16</v>
      </c>
      <c r="F261" t="s">
        <v>27</v>
      </c>
      <c r="G261" t="s">
        <v>33</v>
      </c>
      <c r="H261" t="s">
        <v>41</v>
      </c>
      <c r="I261" t="s">
        <v>46</v>
      </c>
      <c r="J261" s="7">
        <v>819.55</v>
      </c>
      <c r="K261" s="8">
        <v>4</v>
      </c>
      <c r="L261" s="7">
        <v>-51.89</v>
      </c>
    </row>
    <row r="262" spans="1:12" x14ac:dyDescent="0.2">
      <c r="A262" s="2">
        <v>41502</v>
      </c>
      <c r="B262" s="8">
        <f>YEAR(Sales_data[[#This Row],[Order Date]])</f>
        <v>2013</v>
      </c>
      <c r="C262" s="8">
        <f>MONTH(Sales_data[[#This Row],[Order Date]])</f>
        <v>8</v>
      </c>
      <c r="D262" s="8" t="str">
        <f>TEXT(Sales_data[[#This Row],[Order Date]],"mmm")</f>
        <v>Aug</v>
      </c>
      <c r="E262" t="s">
        <v>20</v>
      </c>
      <c r="F262" t="s">
        <v>22</v>
      </c>
      <c r="G262" t="s">
        <v>33</v>
      </c>
      <c r="H262" t="s">
        <v>42</v>
      </c>
      <c r="I262" t="s">
        <v>47</v>
      </c>
      <c r="J262" s="7">
        <v>925.81</v>
      </c>
      <c r="K262" s="8">
        <v>7</v>
      </c>
      <c r="L262" s="7">
        <v>309.85000000000002</v>
      </c>
    </row>
    <row r="263" spans="1:12" x14ac:dyDescent="0.2">
      <c r="A263" s="2">
        <v>41503</v>
      </c>
      <c r="B263" s="8">
        <f>YEAR(Sales_data[[#This Row],[Order Date]])</f>
        <v>2013</v>
      </c>
      <c r="C263" s="8">
        <f>MONTH(Sales_data[[#This Row],[Order Date]])</f>
        <v>8</v>
      </c>
      <c r="D263" s="8" t="str">
        <f>TEXT(Sales_data[[#This Row],[Order Date]],"mmm")</f>
        <v>Aug</v>
      </c>
      <c r="E263" t="s">
        <v>14</v>
      </c>
      <c r="F263" t="s">
        <v>22</v>
      </c>
      <c r="G263" t="s">
        <v>33</v>
      </c>
      <c r="H263" t="s">
        <v>42</v>
      </c>
      <c r="I263" t="s">
        <v>52</v>
      </c>
      <c r="J263" s="7">
        <v>598.89</v>
      </c>
      <c r="K263" s="8">
        <v>8</v>
      </c>
      <c r="L263" s="7">
        <v>323.81</v>
      </c>
    </row>
    <row r="264" spans="1:12" x14ac:dyDescent="0.2">
      <c r="A264" s="2">
        <v>41504</v>
      </c>
      <c r="B264" s="8">
        <f>YEAR(Sales_data[[#This Row],[Order Date]])</f>
        <v>2013</v>
      </c>
      <c r="C264" s="8">
        <f>MONTH(Sales_data[[#This Row],[Order Date]])</f>
        <v>8</v>
      </c>
      <c r="D264" s="8" t="str">
        <f>TEXT(Sales_data[[#This Row],[Order Date]],"mmm")</f>
        <v>Aug</v>
      </c>
      <c r="E264" t="s">
        <v>11</v>
      </c>
      <c r="F264" t="s">
        <v>30</v>
      </c>
      <c r="G264" t="s">
        <v>34</v>
      </c>
      <c r="H264" t="s">
        <v>35</v>
      </c>
      <c r="I264" t="s">
        <v>47</v>
      </c>
      <c r="J264" s="7">
        <v>682.56</v>
      </c>
      <c r="K264" s="8">
        <v>8</v>
      </c>
      <c r="L264" s="7">
        <v>382.7</v>
      </c>
    </row>
    <row r="265" spans="1:12" x14ac:dyDescent="0.2">
      <c r="A265" s="2">
        <v>41505</v>
      </c>
      <c r="B265" s="8">
        <f>YEAR(Sales_data[[#This Row],[Order Date]])</f>
        <v>2013</v>
      </c>
      <c r="C265" s="8">
        <f>MONTH(Sales_data[[#This Row],[Order Date]])</f>
        <v>8</v>
      </c>
      <c r="D265" s="8" t="str">
        <f>TEXT(Sales_data[[#This Row],[Order Date]],"mmm")</f>
        <v>Aug</v>
      </c>
      <c r="E265" t="s">
        <v>19</v>
      </c>
      <c r="F265" t="s">
        <v>25</v>
      </c>
      <c r="G265" t="s">
        <v>34</v>
      </c>
      <c r="H265" t="s">
        <v>36</v>
      </c>
      <c r="I265" t="s">
        <v>53</v>
      </c>
      <c r="J265" s="7">
        <v>1985.68</v>
      </c>
      <c r="K265" s="8">
        <v>5</v>
      </c>
      <c r="L265" s="7">
        <v>344.14</v>
      </c>
    </row>
    <row r="266" spans="1:12" x14ac:dyDescent="0.2">
      <c r="A266" s="2">
        <v>41505</v>
      </c>
      <c r="B266" s="8">
        <f>YEAR(Sales_data[[#This Row],[Order Date]])</f>
        <v>2013</v>
      </c>
      <c r="C266" s="8">
        <f>MONTH(Sales_data[[#This Row],[Order Date]])</f>
        <v>8</v>
      </c>
      <c r="D266" s="8" t="str">
        <f>TEXT(Sales_data[[#This Row],[Order Date]],"mmm")</f>
        <v>Aug</v>
      </c>
      <c r="E266" t="s">
        <v>11</v>
      </c>
      <c r="F266" t="s">
        <v>23</v>
      </c>
      <c r="G266" t="s">
        <v>34</v>
      </c>
      <c r="H266" t="s">
        <v>39</v>
      </c>
      <c r="I266" t="s">
        <v>49</v>
      </c>
      <c r="J266" s="7">
        <v>1835.03</v>
      </c>
      <c r="K266" s="8">
        <v>2</v>
      </c>
      <c r="L266" s="7">
        <v>-32.909999999999997</v>
      </c>
    </row>
    <row r="267" spans="1:12" x14ac:dyDescent="0.2">
      <c r="A267" s="2">
        <v>41507</v>
      </c>
      <c r="B267" s="8">
        <f>YEAR(Sales_data[[#This Row],[Order Date]])</f>
        <v>2013</v>
      </c>
      <c r="C267" s="8">
        <f>MONTH(Sales_data[[#This Row],[Order Date]])</f>
        <v>8</v>
      </c>
      <c r="D267" s="8" t="str">
        <f>TEXT(Sales_data[[#This Row],[Order Date]],"mmm")</f>
        <v>Aug</v>
      </c>
      <c r="E267" t="s">
        <v>13</v>
      </c>
      <c r="F267" t="s">
        <v>27</v>
      </c>
      <c r="G267" t="s">
        <v>32</v>
      </c>
      <c r="H267" t="s">
        <v>42</v>
      </c>
      <c r="I267" t="s">
        <v>46</v>
      </c>
      <c r="J267" s="7">
        <v>1895.48</v>
      </c>
      <c r="K267" s="8">
        <v>5</v>
      </c>
      <c r="L267" s="7">
        <v>-126.65</v>
      </c>
    </row>
    <row r="268" spans="1:12" x14ac:dyDescent="0.2">
      <c r="A268" s="2">
        <v>41507</v>
      </c>
      <c r="B268" s="8">
        <f>YEAR(Sales_data[[#This Row],[Order Date]])</f>
        <v>2013</v>
      </c>
      <c r="C268" s="8">
        <f>MONTH(Sales_data[[#This Row],[Order Date]])</f>
        <v>8</v>
      </c>
      <c r="D268" s="8" t="str">
        <f>TEXT(Sales_data[[#This Row],[Order Date]],"mmm")</f>
        <v>Aug</v>
      </c>
      <c r="E268" t="s">
        <v>11</v>
      </c>
      <c r="F268" t="s">
        <v>23</v>
      </c>
      <c r="G268" t="s">
        <v>32</v>
      </c>
      <c r="H268" t="s">
        <v>41</v>
      </c>
      <c r="I268" t="s">
        <v>47</v>
      </c>
      <c r="J268" s="7">
        <v>1983.27</v>
      </c>
      <c r="K268" s="8">
        <v>1</v>
      </c>
      <c r="L268" s="7">
        <v>-80.63</v>
      </c>
    </row>
    <row r="269" spans="1:12" x14ac:dyDescent="0.2">
      <c r="A269" s="2">
        <v>41509</v>
      </c>
      <c r="B269" s="8">
        <f>YEAR(Sales_data[[#This Row],[Order Date]])</f>
        <v>2013</v>
      </c>
      <c r="C269" s="8">
        <f>MONTH(Sales_data[[#This Row],[Order Date]])</f>
        <v>8</v>
      </c>
      <c r="D269" s="8" t="str">
        <f>TEXT(Sales_data[[#This Row],[Order Date]],"mmm")</f>
        <v>Aug</v>
      </c>
      <c r="E269" t="s">
        <v>12</v>
      </c>
      <c r="F269" t="s">
        <v>30</v>
      </c>
      <c r="G269" t="s">
        <v>34</v>
      </c>
      <c r="H269" t="s">
        <v>42</v>
      </c>
      <c r="I269" t="s">
        <v>44</v>
      </c>
      <c r="J269" s="7">
        <v>766</v>
      </c>
      <c r="K269" s="8">
        <v>6</v>
      </c>
      <c r="L269" s="7">
        <v>125.12</v>
      </c>
    </row>
    <row r="270" spans="1:12" x14ac:dyDescent="0.2">
      <c r="A270" s="2">
        <v>41510</v>
      </c>
      <c r="B270" s="8">
        <f>YEAR(Sales_data[[#This Row],[Order Date]])</f>
        <v>2013</v>
      </c>
      <c r="C270" s="8">
        <f>MONTH(Sales_data[[#This Row],[Order Date]])</f>
        <v>8</v>
      </c>
      <c r="D270" s="8" t="str">
        <f>TEXT(Sales_data[[#This Row],[Order Date]],"mmm")</f>
        <v>Aug</v>
      </c>
      <c r="E270" t="s">
        <v>14</v>
      </c>
      <c r="F270" t="s">
        <v>23</v>
      </c>
      <c r="G270" t="s">
        <v>32</v>
      </c>
      <c r="H270" t="s">
        <v>40</v>
      </c>
      <c r="I270" t="s">
        <v>44</v>
      </c>
      <c r="J270" s="7">
        <v>916.08</v>
      </c>
      <c r="K270" s="8">
        <v>7</v>
      </c>
      <c r="L270" s="7">
        <v>-34.43</v>
      </c>
    </row>
    <row r="271" spans="1:12" x14ac:dyDescent="0.2">
      <c r="A271" s="2">
        <v>41510</v>
      </c>
      <c r="B271" s="8">
        <f>YEAR(Sales_data[[#This Row],[Order Date]])</f>
        <v>2013</v>
      </c>
      <c r="C271" s="8">
        <f>MONTH(Sales_data[[#This Row],[Order Date]])</f>
        <v>8</v>
      </c>
      <c r="D271" s="8" t="str">
        <f>TEXT(Sales_data[[#This Row],[Order Date]],"mmm")</f>
        <v>Aug</v>
      </c>
      <c r="E271" t="s">
        <v>15</v>
      </c>
      <c r="F271" t="s">
        <v>28</v>
      </c>
      <c r="G271" t="s">
        <v>34</v>
      </c>
      <c r="H271" t="s">
        <v>37</v>
      </c>
      <c r="I271" t="s">
        <v>52</v>
      </c>
      <c r="J271" s="7">
        <v>1145.67</v>
      </c>
      <c r="K271" s="8">
        <v>2</v>
      </c>
      <c r="L271" s="7">
        <v>-98.44</v>
      </c>
    </row>
    <row r="272" spans="1:12" x14ac:dyDescent="0.2">
      <c r="A272" s="2">
        <v>41511</v>
      </c>
      <c r="B272" s="8">
        <f>YEAR(Sales_data[[#This Row],[Order Date]])</f>
        <v>2013</v>
      </c>
      <c r="C272" s="8">
        <f>MONTH(Sales_data[[#This Row],[Order Date]])</f>
        <v>8</v>
      </c>
      <c r="D272" s="8" t="str">
        <f>TEXT(Sales_data[[#This Row],[Order Date]],"mmm")</f>
        <v>Aug</v>
      </c>
      <c r="E272" t="s">
        <v>10</v>
      </c>
      <c r="F272" t="s">
        <v>25</v>
      </c>
      <c r="G272" t="s">
        <v>32</v>
      </c>
      <c r="H272" t="s">
        <v>37</v>
      </c>
      <c r="I272" t="s">
        <v>46</v>
      </c>
      <c r="J272" s="7">
        <v>1427.01</v>
      </c>
      <c r="K272" s="8">
        <v>7</v>
      </c>
      <c r="L272" s="7">
        <v>-9.9499999999999993</v>
      </c>
    </row>
    <row r="273" spans="1:12" x14ac:dyDescent="0.2">
      <c r="A273" s="2">
        <v>41513</v>
      </c>
      <c r="B273" s="8">
        <f>YEAR(Sales_data[[#This Row],[Order Date]])</f>
        <v>2013</v>
      </c>
      <c r="C273" s="8">
        <f>MONTH(Sales_data[[#This Row],[Order Date]])</f>
        <v>8</v>
      </c>
      <c r="D273" s="8" t="str">
        <f>TEXT(Sales_data[[#This Row],[Order Date]],"mmm")</f>
        <v>Aug</v>
      </c>
      <c r="E273" t="s">
        <v>14</v>
      </c>
      <c r="F273" t="s">
        <v>24</v>
      </c>
      <c r="G273" t="s">
        <v>33</v>
      </c>
      <c r="H273" t="s">
        <v>37</v>
      </c>
      <c r="I273" t="s">
        <v>44</v>
      </c>
      <c r="J273" s="7">
        <v>1079.67</v>
      </c>
      <c r="K273" s="8">
        <v>1</v>
      </c>
      <c r="L273" s="7">
        <v>-42.38</v>
      </c>
    </row>
    <row r="274" spans="1:12" x14ac:dyDescent="0.2">
      <c r="A274" s="2">
        <v>41516</v>
      </c>
      <c r="B274" s="8">
        <f>YEAR(Sales_data[[#This Row],[Order Date]])</f>
        <v>2013</v>
      </c>
      <c r="C274" s="8">
        <f>MONTH(Sales_data[[#This Row],[Order Date]])</f>
        <v>8</v>
      </c>
      <c r="D274" s="8" t="str">
        <f>TEXT(Sales_data[[#This Row],[Order Date]],"mmm")</f>
        <v>Aug</v>
      </c>
      <c r="E274" t="s">
        <v>11</v>
      </c>
      <c r="F274" t="s">
        <v>22</v>
      </c>
      <c r="G274" t="s">
        <v>33</v>
      </c>
      <c r="H274" t="s">
        <v>39</v>
      </c>
      <c r="I274" t="s">
        <v>47</v>
      </c>
      <c r="J274" s="7">
        <v>216.64</v>
      </c>
      <c r="K274" s="8">
        <v>3</v>
      </c>
      <c r="L274" s="7">
        <v>41.94</v>
      </c>
    </row>
    <row r="275" spans="1:12" x14ac:dyDescent="0.2">
      <c r="A275" s="2">
        <v>41517</v>
      </c>
      <c r="B275" s="8">
        <f>YEAR(Sales_data[[#This Row],[Order Date]])</f>
        <v>2013</v>
      </c>
      <c r="C275" s="8">
        <f>MONTH(Sales_data[[#This Row],[Order Date]])</f>
        <v>8</v>
      </c>
      <c r="D275" s="8" t="str">
        <f>TEXT(Sales_data[[#This Row],[Order Date]],"mmm")</f>
        <v>Aug</v>
      </c>
      <c r="E275" t="s">
        <v>12</v>
      </c>
      <c r="F275" t="s">
        <v>26</v>
      </c>
      <c r="G275" t="s">
        <v>34</v>
      </c>
      <c r="H275" t="s">
        <v>37</v>
      </c>
      <c r="I275" t="s">
        <v>45</v>
      </c>
      <c r="J275" s="7">
        <v>1783.65</v>
      </c>
      <c r="K275" s="8">
        <v>7</v>
      </c>
      <c r="L275" s="7">
        <v>204.81</v>
      </c>
    </row>
    <row r="276" spans="1:12" x14ac:dyDescent="0.2">
      <c r="A276" s="2">
        <v>41518</v>
      </c>
      <c r="B276" s="8">
        <f>YEAR(Sales_data[[#This Row],[Order Date]])</f>
        <v>2013</v>
      </c>
      <c r="C276" s="8">
        <f>MONTH(Sales_data[[#This Row],[Order Date]])</f>
        <v>9</v>
      </c>
      <c r="D276" s="8" t="str">
        <f>TEXT(Sales_data[[#This Row],[Order Date]],"mmm")</f>
        <v>Sep</v>
      </c>
      <c r="E276" t="s">
        <v>16</v>
      </c>
      <c r="F276" t="s">
        <v>29</v>
      </c>
      <c r="G276" t="s">
        <v>34</v>
      </c>
      <c r="H276" t="s">
        <v>41</v>
      </c>
      <c r="I276" t="s">
        <v>47</v>
      </c>
      <c r="J276" s="7">
        <v>1561.84</v>
      </c>
      <c r="K276" s="8">
        <v>7</v>
      </c>
      <c r="L276" s="7">
        <v>214.94</v>
      </c>
    </row>
    <row r="277" spans="1:12" x14ac:dyDescent="0.2">
      <c r="A277" s="2">
        <v>41519</v>
      </c>
      <c r="B277" s="8">
        <f>YEAR(Sales_data[[#This Row],[Order Date]])</f>
        <v>2013</v>
      </c>
      <c r="C277" s="8">
        <f>MONTH(Sales_data[[#This Row],[Order Date]])</f>
        <v>9</v>
      </c>
      <c r="D277" s="8" t="str">
        <f>TEXT(Sales_data[[#This Row],[Order Date]],"mmm")</f>
        <v>Sep</v>
      </c>
      <c r="E277" t="s">
        <v>10</v>
      </c>
      <c r="F277" t="s">
        <v>28</v>
      </c>
      <c r="G277" t="s">
        <v>32</v>
      </c>
      <c r="H277" t="s">
        <v>35</v>
      </c>
      <c r="I277" t="s">
        <v>45</v>
      </c>
      <c r="J277" s="7">
        <v>873.8</v>
      </c>
      <c r="K277" s="8">
        <v>1</v>
      </c>
      <c r="L277" s="7">
        <v>123.38</v>
      </c>
    </row>
    <row r="278" spans="1:12" x14ac:dyDescent="0.2">
      <c r="A278" s="2">
        <v>41520</v>
      </c>
      <c r="B278" s="8">
        <f>YEAR(Sales_data[[#This Row],[Order Date]])</f>
        <v>2013</v>
      </c>
      <c r="C278" s="8">
        <f>MONTH(Sales_data[[#This Row],[Order Date]])</f>
        <v>9</v>
      </c>
      <c r="D278" s="8" t="str">
        <f>TEXT(Sales_data[[#This Row],[Order Date]],"mmm")</f>
        <v>Sep</v>
      </c>
      <c r="E278" t="s">
        <v>16</v>
      </c>
      <c r="F278" t="s">
        <v>27</v>
      </c>
      <c r="G278" t="s">
        <v>33</v>
      </c>
      <c r="H278" t="s">
        <v>40</v>
      </c>
      <c r="I278" t="s">
        <v>44</v>
      </c>
      <c r="J278" s="7">
        <v>997.19</v>
      </c>
      <c r="K278" s="8">
        <v>8</v>
      </c>
      <c r="L278" s="7">
        <v>303.31</v>
      </c>
    </row>
    <row r="279" spans="1:12" x14ac:dyDescent="0.2">
      <c r="A279" s="2">
        <v>41521</v>
      </c>
      <c r="B279" s="8">
        <f>YEAR(Sales_data[[#This Row],[Order Date]])</f>
        <v>2013</v>
      </c>
      <c r="C279" s="8">
        <f>MONTH(Sales_data[[#This Row],[Order Date]])</f>
        <v>9</v>
      </c>
      <c r="D279" s="8" t="str">
        <f>TEXT(Sales_data[[#This Row],[Order Date]],"mmm")</f>
        <v>Sep</v>
      </c>
      <c r="E279" t="s">
        <v>12</v>
      </c>
      <c r="F279" t="s">
        <v>31</v>
      </c>
      <c r="G279" t="s">
        <v>32</v>
      </c>
      <c r="H279" t="s">
        <v>40</v>
      </c>
      <c r="I279" t="s">
        <v>44</v>
      </c>
      <c r="J279" s="7">
        <v>1707.81</v>
      </c>
      <c r="K279" s="8">
        <v>3</v>
      </c>
      <c r="L279" s="7">
        <v>-96.53</v>
      </c>
    </row>
    <row r="280" spans="1:12" x14ac:dyDescent="0.2">
      <c r="A280" s="2">
        <v>41521</v>
      </c>
      <c r="B280" s="8">
        <f>YEAR(Sales_data[[#This Row],[Order Date]])</f>
        <v>2013</v>
      </c>
      <c r="C280" s="8">
        <f>MONTH(Sales_data[[#This Row],[Order Date]])</f>
        <v>9</v>
      </c>
      <c r="D280" s="8" t="str">
        <f>TEXT(Sales_data[[#This Row],[Order Date]],"mmm")</f>
        <v>Sep</v>
      </c>
      <c r="E280" t="s">
        <v>15</v>
      </c>
      <c r="F280" t="s">
        <v>25</v>
      </c>
      <c r="G280" t="s">
        <v>34</v>
      </c>
      <c r="H280" t="s">
        <v>40</v>
      </c>
      <c r="I280" t="s">
        <v>52</v>
      </c>
      <c r="J280" s="7">
        <v>1377.91</v>
      </c>
      <c r="K280" s="8">
        <v>8</v>
      </c>
      <c r="L280" s="7">
        <v>-54.74</v>
      </c>
    </row>
    <row r="281" spans="1:12" x14ac:dyDescent="0.2">
      <c r="A281" s="2">
        <v>41523</v>
      </c>
      <c r="B281" s="8">
        <f>YEAR(Sales_data[[#This Row],[Order Date]])</f>
        <v>2013</v>
      </c>
      <c r="C281" s="8">
        <f>MONTH(Sales_data[[#This Row],[Order Date]])</f>
        <v>9</v>
      </c>
      <c r="D281" s="8" t="str">
        <f>TEXT(Sales_data[[#This Row],[Order Date]],"mmm")</f>
        <v>Sep</v>
      </c>
      <c r="E281" t="s">
        <v>21</v>
      </c>
      <c r="F281" t="s">
        <v>22</v>
      </c>
      <c r="G281" t="s">
        <v>33</v>
      </c>
      <c r="H281" t="s">
        <v>37</v>
      </c>
      <c r="I281" t="s">
        <v>45</v>
      </c>
      <c r="J281" s="7">
        <v>1563.66</v>
      </c>
      <c r="K281" s="8">
        <v>6</v>
      </c>
      <c r="L281" s="7">
        <v>240.32</v>
      </c>
    </row>
    <row r="282" spans="1:12" x14ac:dyDescent="0.2">
      <c r="A282" s="2">
        <v>41523</v>
      </c>
      <c r="B282" s="8">
        <f>YEAR(Sales_data[[#This Row],[Order Date]])</f>
        <v>2013</v>
      </c>
      <c r="C282" s="8">
        <f>MONTH(Sales_data[[#This Row],[Order Date]])</f>
        <v>9</v>
      </c>
      <c r="D282" s="8" t="str">
        <f>TEXT(Sales_data[[#This Row],[Order Date]],"mmm")</f>
        <v>Sep</v>
      </c>
      <c r="E282" t="s">
        <v>9</v>
      </c>
      <c r="F282" t="s">
        <v>25</v>
      </c>
      <c r="G282" t="s">
        <v>34</v>
      </c>
      <c r="H282" t="s">
        <v>35</v>
      </c>
      <c r="I282" t="s">
        <v>47</v>
      </c>
      <c r="J282" s="7">
        <v>359.5</v>
      </c>
      <c r="K282" s="8">
        <v>1</v>
      </c>
      <c r="L282" s="7">
        <v>-87.77</v>
      </c>
    </row>
    <row r="283" spans="1:12" x14ac:dyDescent="0.2">
      <c r="A283" s="2">
        <v>41524</v>
      </c>
      <c r="B283" s="8">
        <f>YEAR(Sales_data[[#This Row],[Order Date]])</f>
        <v>2013</v>
      </c>
      <c r="C283" s="8">
        <f>MONTH(Sales_data[[#This Row],[Order Date]])</f>
        <v>9</v>
      </c>
      <c r="D283" s="8" t="str">
        <f>TEXT(Sales_data[[#This Row],[Order Date]],"mmm")</f>
        <v>Sep</v>
      </c>
      <c r="E283" t="s">
        <v>18</v>
      </c>
      <c r="F283" t="s">
        <v>27</v>
      </c>
      <c r="G283" t="s">
        <v>34</v>
      </c>
      <c r="H283" t="s">
        <v>37</v>
      </c>
      <c r="I283" t="s">
        <v>50</v>
      </c>
      <c r="J283" s="7">
        <v>532.47</v>
      </c>
      <c r="K283" s="8">
        <v>3</v>
      </c>
      <c r="L283" s="7">
        <v>30.38</v>
      </c>
    </row>
    <row r="284" spans="1:12" x14ac:dyDescent="0.2">
      <c r="A284" s="2">
        <v>41524</v>
      </c>
      <c r="B284" s="8">
        <f>YEAR(Sales_data[[#This Row],[Order Date]])</f>
        <v>2013</v>
      </c>
      <c r="C284" s="8">
        <f>MONTH(Sales_data[[#This Row],[Order Date]])</f>
        <v>9</v>
      </c>
      <c r="D284" s="8" t="str">
        <f>TEXT(Sales_data[[#This Row],[Order Date]],"mmm")</f>
        <v>Sep</v>
      </c>
      <c r="E284" t="s">
        <v>15</v>
      </c>
      <c r="F284" t="s">
        <v>26</v>
      </c>
      <c r="G284" t="s">
        <v>34</v>
      </c>
      <c r="H284" t="s">
        <v>39</v>
      </c>
      <c r="I284" t="s">
        <v>48</v>
      </c>
      <c r="J284" s="7">
        <v>284.08</v>
      </c>
      <c r="K284" s="8">
        <v>4</v>
      </c>
      <c r="L284" s="7">
        <v>-26.61</v>
      </c>
    </row>
    <row r="285" spans="1:12" x14ac:dyDescent="0.2">
      <c r="A285" s="2">
        <v>41525</v>
      </c>
      <c r="B285" s="8">
        <f>YEAR(Sales_data[[#This Row],[Order Date]])</f>
        <v>2013</v>
      </c>
      <c r="C285" s="8">
        <f>MONTH(Sales_data[[#This Row],[Order Date]])</f>
        <v>9</v>
      </c>
      <c r="D285" s="8" t="str">
        <f>TEXT(Sales_data[[#This Row],[Order Date]],"mmm")</f>
        <v>Sep</v>
      </c>
      <c r="E285" t="s">
        <v>15</v>
      </c>
      <c r="F285" t="s">
        <v>28</v>
      </c>
      <c r="G285" t="s">
        <v>34</v>
      </c>
      <c r="H285" t="s">
        <v>36</v>
      </c>
      <c r="I285" t="s">
        <v>44</v>
      </c>
      <c r="J285" s="7">
        <v>1170.94</v>
      </c>
      <c r="K285" s="8">
        <v>8</v>
      </c>
      <c r="L285" s="7">
        <v>214.23</v>
      </c>
    </row>
    <row r="286" spans="1:12" x14ac:dyDescent="0.2">
      <c r="A286" s="2">
        <v>41527</v>
      </c>
      <c r="B286" s="8">
        <f>YEAR(Sales_data[[#This Row],[Order Date]])</f>
        <v>2013</v>
      </c>
      <c r="C286" s="8">
        <f>MONTH(Sales_data[[#This Row],[Order Date]])</f>
        <v>9</v>
      </c>
      <c r="D286" s="8" t="str">
        <f>TEXT(Sales_data[[#This Row],[Order Date]],"mmm")</f>
        <v>Sep</v>
      </c>
      <c r="E286" t="s">
        <v>17</v>
      </c>
      <c r="F286" t="s">
        <v>28</v>
      </c>
      <c r="G286" t="s">
        <v>34</v>
      </c>
      <c r="H286" t="s">
        <v>39</v>
      </c>
      <c r="I286" t="s">
        <v>52</v>
      </c>
      <c r="J286" s="7">
        <v>1692</v>
      </c>
      <c r="K286" s="8">
        <v>8</v>
      </c>
      <c r="L286" s="7">
        <v>-165.54</v>
      </c>
    </row>
    <row r="287" spans="1:12" x14ac:dyDescent="0.2">
      <c r="A287" s="2">
        <v>41527</v>
      </c>
      <c r="B287" s="8">
        <f>YEAR(Sales_data[[#This Row],[Order Date]])</f>
        <v>2013</v>
      </c>
      <c r="C287" s="8">
        <f>MONTH(Sales_data[[#This Row],[Order Date]])</f>
        <v>9</v>
      </c>
      <c r="D287" s="8" t="str">
        <f>TEXT(Sales_data[[#This Row],[Order Date]],"mmm")</f>
        <v>Sep</v>
      </c>
      <c r="E287" t="s">
        <v>18</v>
      </c>
      <c r="F287" t="s">
        <v>31</v>
      </c>
      <c r="G287" t="s">
        <v>34</v>
      </c>
      <c r="H287" t="s">
        <v>39</v>
      </c>
      <c r="I287" t="s">
        <v>44</v>
      </c>
      <c r="J287" s="7">
        <v>837.41</v>
      </c>
      <c r="K287" s="8">
        <v>9</v>
      </c>
      <c r="L287" s="7">
        <v>-115.5</v>
      </c>
    </row>
    <row r="288" spans="1:12" x14ac:dyDescent="0.2">
      <c r="A288" s="2">
        <v>41528</v>
      </c>
      <c r="B288" s="8">
        <f>YEAR(Sales_data[[#This Row],[Order Date]])</f>
        <v>2013</v>
      </c>
      <c r="C288" s="8">
        <f>MONTH(Sales_data[[#This Row],[Order Date]])</f>
        <v>9</v>
      </c>
      <c r="D288" s="8" t="str">
        <f>TEXT(Sales_data[[#This Row],[Order Date]],"mmm")</f>
        <v>Sep</v>
      </c>
      <c r="E288" t="s">
        <v>10</v>
      </c>
      <c r="F288" t="s">
        <v>28</v>
      </c>
      <c r="G288" t="s">
        <v>34</v>
      </c>
      <c r="H288" t="s">
        <v>35</v>
      </c>
      <c r="I288" t="s">
        <v>52</v>
      </c>
      <c r="J288" s="7">
        <v>87.36</v>
      </c>
      <c r="K288" s="8">
        <v>8</v>
      </c>
      <c r="L288" s="7">
        <v>-127.59</v>
      </c>
    </row>
    <row r="289" spans="1:12" x14ac:dyDescent="0.2">
      <c r="A289" s="2">
        <v>41528</v>
      </c>
      <c r="B289" s="8">
        <f>YEAR(Sales_data[[#This Row],[Order Date]])</f>
        <v>2013</v>
      </c>
      <c r="C289" s="8">
        <f>MONTH(Sales_data[[#This Row],[Order Date]])</f>
        <v>9</v>
      </c>
      <c r="D289" s="8" t="str">
        <f>TEXT(Sales_data[[#This Row],[Order Date]],"mmm")</f>
        <v>Sep</v>
      </c>
      <c r="E289" t="s">
        <v>14</v>
      </c>
      <c r="F289" t="s">
        <v>30</v>
      </c>
      <c r="G289" t="s">
        <v>34</v>
      </c>
      <c r="H289" t="s">
        <v>40</v>
      </c>
      <c r="I289" t="s">
        <v>47</v>
      </c>
      <c r="J289" s="7">
        <v>1952.38</v>
      </c>
      <c r="K289" s="8">
        <v>7</v>
      </c>
      <c r="L289" s="7">
        <v>-104.87</v>
      </c>
    </row>
    <row r="290" spans="1:12" x14ac:dyDescent="0.2">
      <c r="A290" s="2">
        <v>41530</v>
      </c>
      <c r="B290" s="8">
        <f>YEAR(Sales_data[[#This Row],[Order Date]])</f>
        <v>2013</v>
      </c>
      <c r="C290" s="8">
        <f>MONTH(Sales_data[[#This Row],[Order Date]])</f>
        <v>9</v>
      </c>
      <c r="D290" s="8" t="str">
        <f>TEXT(Sales_data[[#This Row],[Order Date]],"mmm")</f>
        <v>Sep</v>
      </c>
      <c r="E290" t="s">
        <v>19</v>
      </c>
      <c r="F290" t="s">
        <v>23</v>
      </c>
      <c r="G290" t="s">
        <v>33</v>
      </c>
      <c r="H290" t="s">
        <v>40</v>
      </c>
      <c r="I290" t="s">
        <v>52</v>
      </c>
      <c r="J290" s="7">
        <v>533.22</v>
      </c>
      <c r="K290" s="8">
        <v>7</v>
      </c>
      <c r="L290" s="7">
        <v>-61.54</v>
      </c>
    </row>
    <row r="291" spans="1:12" x14ac:dyDescent="0.2">
      <c r="A291" s="2">
        <v>41532</v>
      </c>
      <c r="B291" s="8">
        <f>YEAR(Sales_data[[#This Row],[Order Date]])</f>
        <v>2013</v>
      </c>
      <c r="C291" s="8">
        <f>MONTH(Sales_data[[#This Row],[Order Date]])</f>
        <v>9</v>
      </c>
      <c r="D291" s="8" t="str">
        <f>TEXT(Sales_data[[#This Row],[Order Date]],"mmm")</f>
        <v>Sep</v>
      </c>
      <c r="E291" t="s">
        <v>17</v>
      </c>
      <c r="F291" t="s">
        <v>24</v>
      </c>
      <c r="G291" t="s">
        <v>34</v>
      </c>
      <c r="H291" t="s">
        <v>35</v>
      </c>
      <c r="I291" t="s">
        <v>51</v>
      </c>
      <c r="J291" s="7">
        <v>1419.56</v>
      </c>
      <c r="K291" s="8">
        <v>7</v>
      </c>
      <c r="L291" s="7">
        <v>-36.89</v>
      </c>
    </row>
    <row r="292" spans="1:12" x14ac:dyDescent="0.2">
      <c r="A292" s="2">
        <v>41533</v>
      </c>
      <c r="B292" s="8">
        <f>YEAR(Sales_data[[#This Row],[Order Date]])</f>
        <v>2013</v>
      </c>
      <c r="C292" s="8">
        <f>MONTH(Sales_data[[#This Row],[Order Date]])</f>
        <v>9</v>
      </c>
      <c r="D292" s="8" t="str">
        <f>TEXT(Sales_data[[#This Row],[Order Date]],"mmm")</f>
        <v>Sep</v>
      </c>
      <c r="E292" t="s">
        <v>16</v>
      </c>
      <c r="F292" t="s">
        <v>24</v>
      </c>
      <c r="G292" t="s">
        <v>33</v>
      </c>
      <c r="H292" t="s">
        <v>42</v>
      </c>
      <c r="I292" t="s">
        <v>44</v>
      </c>
      <c r="J292" s="7">
        <v>226.13</v>
      </c>
      <c r="K292" s="8">
        <v>6</v>
      </c>
      <c r="L292" s="7">
        <v>4.41</v>
      </c>
    </row>
    <row r="293" spans="1:12" x14ac:dyDescent="0.2">
      <c r="A293" s="2">
        <v>41533</v>
      </c>
      <c r="B293" s="8">
        <f>YEAR(Sales_data[[#This Row],[Order Date]])</f>
        <v>2013</v>
      </c>
      <c r="C293" s="8">
        <f>MONTH(Sales_data[[#This Row],[Order Date]])</f>
        <v>9</v>
      </c>
      <c r="D293" s="8" t="str">
        <f>TEXT(Sales_data[[#This Row],[Order Date]],"mmm")</f>
        <v>Sep</v>
      </c>
      <c r="E293" t="s">
        <v>9</v>
      </c>
      <c r="F293" t="s">
        <v>31</v>
      </c>
      <c r="G293" t="s">
        <v>32</v>
      </c>
      <c r="H293" t="s">
        <v>42</v>
      </c>
      <c r="I293" t="s">
        <v>50</v>
      </c>
      <c r="J293" s="7">
        <v>1919.28</v>
      </c>
      <c r="K293" s="8">
        <v>2</v>
      </c>
      <c r="L293" s="7">
        <v>390.11</v>
      </c>
    </row>
    <row r="294" spans="1:12" x14ac:dyDescent="0.2">
      <c r="A294" s="2">
        <v>41535</v>
      </c>
      <c r="B294" s="8">
        <f>YEAR(Sales_data[[#This Row],[Order Date]])</f>
        <v>2013</v>
      </c>
      <c r="C294" s="8">
        <f>MONTH(Sales_data[[#This Row],[Order Date]])</f>
        <v>9</v>
      </c>
      <c r="D294" s="8" t="str">
        <f>TEXT(Sales_data[[#This Row],[Order Date]],"mmm")</f>
        <v>Sep</v>
      </c>
      <c r="E294" t="s">
        <v>13</v>
      </c>
      <c r="F294" t="s">
        <v>26</v>
      </c>
      <c r="G294" t="s">
        <v>33</v>
      </c>
      <c r="H294" t="s">
        <v>39</v>
      </c>
      <c r="I294" t="s">
        <v>44</v>
      </c>
      <c r="J294" s="7">
        <v>1877.79</v>
      </c>
      <c r="K294" s="8">
        <v>7</v>
      </c>
      <c r="L294" s="7">
        <v>58.12</v>
      </c>
    </row>
    <row r="295" spans="1:12" x14ac:dyDescent="0.2">
      <c r="A295" s="2">
        <v>41535</v>
      </c>
      <c r="B295" s="8">
        <f>YEAR(Sales_data[[#This Row],[Order Date]])</f>
        <v>2013</v>
      </c>
      <c r="C295" s="8">
        <f>MONTH(Sales_data[[#This Row],[Order Date]])</f>
        <v>9</v>
      </c>
      <c r="D295" s="8" t="str">
        <f>TEXT(Sales_data[[#This Row],[Order Date]],"mmm")</f>
        <v>Sep</v>
      </c>
      <c r="E295" t="s">
        <v>11</v>
      </c>
      <c r="F295" t="s">
        <v>28</v>
      </c>
      <c r="G295" t="s">
        <v>32</v>
      </c>
      <c r="H295" t="s">
        <v>42</v>
      </c>
      <c r="I295" t="s">
        <v>51</v>
      </c>
      <c r="J295" s="7">
        <v>264.62</v>
      </c>
      <c r="K295" s="8">
        <v>2</v>
      </c>
      <c r="L295" s="7">
        <v>337.95</v>
      </c>
    </row>
    <row r="296" spans="1:12" x14ac:dyDescent="0.2">
      <c r="A296" s="2">
        <v>41537</v>
      </c>
      <c r="B296" s="8">
        <f>YEAR(Sales_data[[#This Row],[Order Date]])</f>
        <v>2013</v>
      </c>
      <c r="C296" s="8">
        <f>MONTH(Sales_data[[#This Row],[Order Date]])</f>
        <v>9</v>
      </c>
      <c r="D296" s="8" t="str">
        <f>TEXT(Sales_data[[#This Row],[Order Date]],"mmm")</f>
        <v>Sep</v>
      </c>
      <c r="E296" t="s">
        <v>11</v>
      </c>
      <c r="F296" t="s">
        <v>22</v>
      </c>
      <c r="G296" t="s">
        <v>34</v>
      </c>
      <c r="H296" t="s">
        <v>39</v>
      </c>
      <c r="I296" t="s">
        <v>49</v>
      </c>
      <c r="J296" s="7">
        <v>1160.68</v>
      </c>
      <c r="K296" s="8">
        <v>1</v>
      </c>
      <c r="L296" s="7">
        <v>293.79000000000002</v>
      </c>
    </row>
    <row r="297" spans="1:12" x14ac:dyDescent="0.2">
      <c r="A297" s="2">
        <v>41538</v>
      </c>
      <c r="B297" s="8">
        <f>YEAR(Sales_data[[#This Row],[Order Date]])</f>
        <v>2013</v>
      </c>
      <c r="C297" s="8">
        <f>MONTH(Sales_data[[#This Row],[Order Date]])</f>
        <v>9</v>
      </c>
      <c r="D297" s="8" t="str">
        <f>TEXT(Sales_data[[#This Row],[Order Date]],"mmm")</f>
        <v>Sep</v>
      </c>
      <c r="E297" t="s">
        <v>15</v>
      </c>
      <c r="F297" t="s">
        <v>28</v>
      </c>
      <c r="G297" t="s">
        <v>32</v>
      </c>
      <c r="H297" t="s">
        <v>41</v>
      </c>
      <c r="I297" t="s">
        <v>46</v>
      </c>
      <c r="J297" s="7">
        <v>957.91</v>
      </c>
      <c r="K297" s="8">
        <v>3</v>
      </c>
      <c r="L297" s="7">
        <v>153.63</v>
      </c>
    </row>
    <row r="298" spans="1:12" x14ac:dyDescent="0.2">
      <c r="A298" s="2">
        <v>41539</v>
      </c>
      <c r="B298" s="8">
        <f>YEAR(Sales_data[[#This Row],[Order Date]])</f>
        <v>2013</v>
      </c>
      <c r="C298" s="8">
        <f>MONTH(Sales_data[[#This Row],[Order Date]])</f>
        <v>9</v>
      </c>
      <c r="D298" s="8" t="str">
        <f>TEXT(Sales_data[[#This Row],[Order Date]],"mmm")</f>
        <v>Sep</v>
      </c>
      <c r="E298" t="s">
        <v>16</v>
      </c>
      <c r="F298" t="s">
        <v>29</v>
      </c>
      <c r="G298" t="s">
        <v>32</v>
      </c>
      <c r="H298" t="s">
        <v>41</v>
      </c>
      <c r="I298" t="s">
        <v>47</v>
      </c>
      <c r="J298" s="7">
        <v>472.22</v>
      </c>
      <c r="K298" s="8">
        <v>1</v>
      </c>
      <c r="L298" s="7">
        <v>152.99</v>
      </c>
    </row>
    <row r="299" spans="1:12" x14ac:dyDescent="0.2">
      <c r="A299" s="2">
        <v>41540</v>
      </c>
      <c r="B299" s="8">
        <f>YEAR(Sales_data[[#This Row],[Order Date]])</f>
        <v>2013</v>
      </c>
      <c r="C299" s="8">
        <f>MONTH(Sales_data[[#This Row],[Order Date]])</f>
        <v>9</v>
      </c>
      <c r="D299" s="8" t="str">
        <f>TEXT(Sales_data[[#This Row],[Order Date]],"mmm")</f>
        <v>Sep</v>
      </c>
      <c r="E299" t="s">
        <v>9</v>
      </c>
      <c r="F299" t="s">
        <v>30</v>
      </c>
      <c r="G299" t="s">
        <v>33</v>
      </c>
      <c r="H299" t="s">
        <v>40</v>
      </c>
      <c r="I299" t="s">
        <v>53</v>
      </c>
      <c r="J299" s="7">
        <v>1802.92</v>
      </c>
      <c r="K299" s="8">
        <v>6</v>
      </c>
      <c r="L299" s="7">
        <v>-177.46</v>
      </c>
    </row>
    <row r="300" spans="1:12" x14ac:dyDescent="0.2">
      <c r="A300" s="2">
        <v>41542</v>
      </c>
      <c r="B300" s="8">
        <f>YEAR(Sales_data[[#This Row],[Order Date]])</f>
        <v>2013</v>
      </c>
      <c r="C300" s="8">
        <f>MONTH(Sales_data[[#This Row],[Order Date]])</f>
        <v>9</v>
      </c>
      <c r="D300" s="8" t="str">
        <f>TEXT(Sales_data[[#This Row],[Order Date]],"mmm")</f>
        <v>Sep</v>
      </c>
      <c r="E300" t="s">
        <v>11</v>
      </c>
      <c r="F300" t="s">
        <v>30</v>
      </c>
      <c r="G300" t="s">
        <v>32</v>
      </c>
      <c r="H300" t="s">
        <v>43</v>
      </c>
      <c r="I300" t="s">
        <v>46</v>
      </c>
      <c r="J300" s="7">
        <v>1415.4</v>
      </c>
      <c r="K300" s="8">
        <v>7</v>
      </c>
      <c r="L300" s="7">
        <v>-77.67</v>
      </c>
    </row>
    <row r="301" spans="1:12" x14ac:dyDescent="0.2">
      <c r="A301" s="2">
        <v>41542</v>
      </c>
      <c r="B301" s="8">
        <f>YEAR(Sales_data[[#This Row],[Order Date]])</f>
        <v>2013</v>
      </c>
      <c r="C301" s="8">
        <f>MONTH(Sales_data[[#This Row],[Order Date]])</f>
        <v>9</v>
      </c>
      <c r="D301" s="8" t="str">
        <f>TEXT(Sales_data[[#This Row],[Order Date]],"mmm")</f>
        <v>Sep</v>
      </c>
      <c r="E301" t="s">
        <v>10</v>
      </c>
      <c r="F301" t="s">
        <v>26</v>
      </c>
      <c r="G301" t="s">
        <v>34</v>
      </c>
      <c r="H301" t="s">
        <v>36</v>
      </c>
      <c r="I301" t="s">
        <v>52</v>
      </c>
      <c r="J301" s="7">
        <v>736.4</v>
      </c>
      <c r="K301" s="8">
        <v>1</v>
      </c>
      <c r="L301" s="7">
        <v>-50.96</v>
      </c>
    </row>
    <row r="302" spans="1:12" x14ac:dyDescent="0.2">
      <c r="A302" s="2">
        <v>41543</v>
      </c>
      <c r="B302" s="8">
        <f>YEAR(Sales_data[[#This Row],[Order Date]])</f>
        <v>2013</v>
      </c>
      <c r="C302" s="8">
        <f>MONTH(Sales_data[[#This Row],[Order Date]])</f>
        <v>9</v>
      </c>
      <c r="D302" s="8" t="str">
        <f>TEXT(Sales_data[[#This Row],[Order Date]],"mmm")</f>
        <v>Sep</v>
      </c>
      <c r="E302" t="s">
        <v>10</v>
      </c>
      <c r="F302" t="s">
        <v>25</v>
      </c>
      <c r="G302" t="s">
        <v>33</v>
      </c>
      <c r="H302" t="s">
        <v>43</v>
      </c>
      <c r="I302" t="s">
        <v>44</v>
      </c>
      <c r="J302" s="7">
        <v>1182.6400000000001</v>
      </c>
      <c r="K302" s="8">
        <v>1</v>
      </c>
      <c r="L302" s="7">
        <v>310.37</v>
      </c>
    </row>
    <row r="303" spans="1:12" x14ac:dyDescent="0.2">
      <c r="A303" s="2">
        <v>41544</v>
      </c>
      <c r="B303" s="8">
        <f>YEAR(Sales_data[[#This Row],[Order Date]])</f>
        <v>2013</v>
      </c>
      <c r="C303" s="8">
        <f>MONTH(Sales_data[[#This Row],[Order Date]])</f>
        <v>9</v>
      </c>
      <c r="D303" s="8" t="str">
        <f>TEXT(Sales_data[[#This Row],[Order Date]],"mmm")</f>
        <v>Sep</v>
      </c>
      <c r="E303" t="s">
        <v>20</v>
      </c>
      <c r="F303" t="s">
        <v>29</v>
      </c>
      <c r="G303" t="s">
        <v>32</v>
      </c>
      <c r="H303" t="s">
        <v>41</v>
      </c>
      <c r="I303" t="s">
        <v>49</v>
      </c>
      <c r="J303" s="7">
        <v>684.55</v>
      </c>
      <c r="K303" s="8">
        <v>1</v>
      </c>
      <c r="L303" s="7">
        <v>170.04</v>
      </c>
    </row>
    <row r="304" spans="1:12" x14ac:dyDescent="0.2">
      <c r="A304" s="2">
        <v>41544</v>
      </c>
      <c r="B304" s="8">
        <f>YEAR(Sales_data[[#This Row],[Order Date]])</f>
        <v>2013</v>
      </c>
      <c r="C304" s="8">
        <f>MONTH(Sales_data[[#This Row],[Order Date]])</f>
        <v>9</v>
      </c>
      <c r="D304" s="8" t="str">
        <f>TEXT(Sales_data[[#This Row],[Order Date]],"mmm")</f>
        <v>Sep</v>
      </c>
      <c r="E304" t="s">
        <v>11</v>
      </c>
      <c r="F304" t="s">
        <v>30</v>
      </c>
      <c r="G304" t="s">
        <v>34</v>
      </c>
      <c r="H304" t="s">
        <v>35</v>
      </c>
      <c r="I304" t="s">
        <v>53</v>
      </c>
      <c r="J304" s="7">
        <v>1662.05</v>
      </c>
      <c r="K304" s="8">
        <v>3</v>
      </c>
      <c r="L304" s="7">
        <v>194.08</v>
      </c>
    </row>
    <row r="305" spans="1:12" x14ac:dyDescent="0.2">
      <c r="A305" s="2">
        <v>41546</v>
      </c>
      <c r="B305" s="8">
        <f>YEAR(Sales_data[[#This Row],[Order Date]])</f>
        <v>2013</v>
      </c>
      <c r="C305" s="8">
        <f>MONTH(Sales_data[[#This Row],[Order Date]])</f>
        <v>9</v>
      </c>
      <c r="D305" s="8" t="str">
        <f>TEXT(Sales_data[[#This Row],[Order Date]],"mmm")</f>
        <v>Sep</v>
      </c>
      <c r="E305" t="s">
        <v>17</v>
      </c>
      <c r="F305" t="s">
        <v>24</v>
      </c>
      <c r="G305" t="s">
        <v>32</v>
      </c>
      <c r="H305" t="s">
        <v>36</v>
      </c>
      <c r="I305" t="s">
        <v>52</v>
      </c>
      <c r="J305" s="7">
        <v>1263.71</v>
      </c>
      <c r="K305" s="8">
        <v>9</v>
      </c>
      <c r="L305" s="7">
        <v>64.53</v>
      </c>
    </row>
    <row r="306" spans="1:12" x14ac:dyDescent="0.2">
      <c r="A306" s="2">
        <v>41549</v>
      </c>
      <c r="B306" s="8">
        <f>YEAR(Sales_data[[#This Row],[Order Date]])</f>
        <v>2013</v>
      </c>
      <c r="C306" s="8">
        <f>MONTH(Sales_data[[#This Row],[Order Date]])</f>
        <v>10</v>
      </c>
      <c r="D306" s="8" t="str">
        <f>TEXT(Sales_data[[#This Row],[Order Date]],"mmm")</f>
        <v>Oct</v>
      </c>
      <c r="E306" t="s">
        <v>19</v>
      </c>
      <c r="F306" t="s">
        <v>29</v>
      </c>
      <c r="G306" t="s">
        <v>34</v>
      </c>
      <c r="H306" t="s">
        <v>42</v>
      </c>
      <c r="I306" t="s">
        <v>47</v>
      </c>
      <c r="J306" s="7">
        <v>1806.77</v>
      </c>
      <c r="K306" s="8">
        <v>3</v>
      </c>
      <c r="L306" s="7">
        <v>-117.8</v>
      </c>
    </row>
    <row r="307" spans="1:12" x14ac:dyDescent="0.2">
      <c r="A307" s="2">
        <v>41551</v>
      </c>
      <c r="B307" s="8">
        <f>YEAR(Sales_data[[#This Row],[Order Date]])</f>
        <v>2013</v>
      </c>
      <c r="C307" s="8">
        <f>MONTH(Sales_data[[#This Row],[Order Date]])</f>
        <v>10</v>
      </c>
      <c r="D307" s="8" t="str">
        <f>TEXT(Sales_data[[#This Row],[Order Date]],"mmm")</f>
        <v>Oct</v>
      </c>
      <c r="E307" t="s">
        <v>9</v>
      </c>
      <c r="F307" t="s">
        <v>26</v>
      </c>
      <c r="G307" t="s">
        <v>34</v>
      </c>
      <c r="H307" t="s">
        <v>39</v>
      </c>
      <c r="I307" t="s">
        <v>50</v>
      </c>
      <c r="J307" s="7">
        <v>1613.88</v>
      </c>
      <c r="K307" s="8">
        <v>3</v>
      </c>
      <c r="L307" s="7">
        <v>315.5</v>
      </c>
    </row>
    <row r="308" spans="1:12" x14ac:dyDescent="0.2">
      <c r="A308" s="2">
        <v>41551</v>
      </c>
      <c r="B308" s="8">
        <f>YEAR(Sales_data[[#This Row],[Order Date]])</f>
        <v>2013</v>
      </c>
      <c r="C308" s="8">
        <f>MONTH(Sales_data[[#This Row],[Order Date]])</f>
        <v>10</v>
      </c>
      <c r="D308" s="8" t="str">
        <f>TEXT(Sales_data[[#This Row],[Order Date]],"mmm")</f>
        <v>Oct</v>
      </c>
      <c r="E308" t="s">
        <v>21</v>
      </c>
      <c r="F308" t="s">
        <v>22</v>
      </c>
      <c r="G308" t="s">
        <v>33</v>
      </c>
      <c r="H308" t="s">
        <v>42</v>
      </c>
      <c r="I308" t="s">
        <v>44</v>
      </c>
      <c r="J308" s="7">
        <v>579.26</v>
      </c>
      <c r="K308" s="8">
        <v>7</v>
      </c>
      <c r="L308" s="7">
        <v>361.64</v>
      </c>
    </row>
    <row r="309" spans="1:12" x14ac:dyDescent="0.2">
      <c r="A309" s="2">
        <v>41553</v>
      </c>
      <c r="B309" s="8">
        <f>YEAR(Sales_data[[#This Row],[Order Date]])</f>
        <v>2013</v>
      </c>
      <c r="C309" s="8">
        <f>MONTH(Sales_data[[#This Row],[Order Date]])</f>
        <v>10</v>
      </c>
      <c r="D309" s="8" t="str">
        <f>TEXT(Sales_data[[#This Row],[Order Date]],"mmm")</f>
        <v>Oct</v>
      </c>
      <c r="E309" t="s">
        <v>16</v>
      </c>
      <c r="F309" t="s">
        <v>24</v>
      </c>
      <c r="G309" t="s">
        <v>34</v>
      </c>
      <c r="H309" t="s">
        <v>40</v>
      </c>
      <c r="I309" t="s">
        <v>49</v>
      </c>
      <c r="J309" s="7">
        <v>539.29</v>
      </c>
      <c r="K309" s="8">
        <v>5</v>
      </c>
      <c r="L309" s="7">
        <v>354.74</v>
      </c>
    </row>
    <row r="310" spans="1:12" x14ac:dyDescent="0.2">
      <c r="A310" s="2">
        <v>41554</v>
      </c>
      <c r="B310" s="8">
        <f>YEAR(Sales_data[[#This Row],[Order Date]])</f>
        <v>2013</v>
      </c>
      <c r="C310" s="8">
        <f>MONTH(Sales_data[[#This Row],[Order Date]])</f>
        <v>10</v>
      </c>
      <c r="D310" s="8" t="str">
        <f>TEXT(Sales_data[[#This Row],[Order Date]],"mmm")</f>
        <v>Oct</v>
      </c>
      <c r="E310" t="s">
        <v>10</v>
      </c>
      <c r="F310" t="s">
        <v>26</v>
      </c>
      <c r="G310" t="s">
        <v>33</v>
      </c>
      <c r="H310" t="s">
        <v>38</v>
      </c>
      <c r="I310" t="s">
        <v>47</v>
      </c>
      <c r="J310" s="7">
        <v>1146.97</v>
      </c>
      <c r="K310" s="8">
        <v>3</v>
      </c>
      <c r="L310" s="7">
        <v>34.799999999999997</v>
      </c>
    </row>
    <row r="311" spans="1:12" x14ac:dyDescent="0.2">
      <c r="A311" s="2">
        <v>41554</v>
      </c>
      <c r="B311" s="8">
        <f>YEAR(Sales_data[[#This Row],[Order Date]])</f>
        <v>2013</v>
      </c>
      <c r="C311" s="8">
        <f>MONTH(Sales_data[[#This Row],[Order Date]])</f>
        <v>10</v>
      </c>
      <c r="D311" s="8" t="str">
        <f>TEXT(Sales_data[[#This Row],[Order Date]],"mmm")</f>
        <v>Oct</v>
      </c>
      <c r="E311" t="s">
        <v>16</v>
      </c>
      <c r="F311" t="s">
        <v>25</v>
      </c>
      <c r="G311" t="s">
        <v>33</v>
      </c>
      <c r="H311" t="s">
        <v>41</v>
      </c>
      <c r="I311" t="s">
        <v>49</v>
      </c>
      <c r="J311" s="7">
        <v>956.55</v>
      </c>
      <c r="K311" s="8">
        <v>2</v>
      </c>
      <c r="L311" s="7">
        <v>174.75</v>
      </c>
    </row>
    <row r="312" spans="1:12" x14ac:dyDescent="0.2">
      <c r="A312" s="2">
        <v>41555</v>
      </c>
      <c r="B312" s="8">
        <f>YEAR(Sales_data[[#This Row],[Order Date]])</f>
        <v>2013</v>
      </c>
      <c r="C312" s="8">
        <f>MONTH(Sales_data[[#This Row],[Order Date]])</f>
        <v>10</v>
      </c>
      <c r="D312" s="8" t="str">
        <f>TEXT(Sales_data[[#This Row],[Order Date]],"mmm")</f>
        <v>Oct</v>
      </c>
      <c r="E312" t="s">
        <v>18</v>
      </c>
      <c r="F312" t="s">
        <v>29</v>
      </c>
      <c r="G312" t="s">
        <v>34</v>
      </c>
      <c r="H312" t="s">
        <v>37</v>
      </c>
      <c r="I312" t="s">
        <v>46</v>
      </c>
      <c r="J312" s="7">
        <v>1371.21</v>
      </c>
      <c r="K312" s="8">
        <v>1</v>
      </c>
      <c r="L312" s="7">
        <v>200.1</v>
      </c>
    </row>
    <row r="313" spans="1:12" x14ac:dyDescent="0.2">
      <c r="A313" s="2">
        <v>41558</v>
      </c>
      <c r="B313" s="8">
        <f>YEAR(Sales_data[[#This Row],[Order Date]])</f>
        <v>2013</v>
      </c>
      <c r="C313" s="8">
        <f>MONTH(Sales_data[[#This Row],[Order Date]])</f>
        <v>10</v>
      </c>
      <c r="D313" s="8" t="str">
        <f>TEXT(Sales_data[[#This Row],[Order Date]],"mmm")</f>
        <v>Oct</v>
      </c>
      <c r="E313" t="s">
        <v>20</v>
      </c>
      <c r="F313" t="s">
        <v>28</v>
      </c>
      <c r="G313" t="s">
        <v>32</v>
      </c>
      <c r="H313" t="s">
        <v>35</v>
      </c>
      <c r="I313" t="s">
        <v>53</v>
      </c>
      <c r="J313" s="7">
        <v>151.34</v>
      </c>
      <c r="K313" s="8">
        <v>2</v>
      </c>
      <c r="L313" s="7">
        <v>7.87</v>
      </c>
    </row>
    <row r="314" spans="1:12" x14ac:dyDescent="0.2">
      <c r="A314" s="2">
        <v>41559</v>
      </c>
      <c r="B314" s="8">
        <f>YEAR(Sales_data[[#This Row],[Order Date]])</f>
        <v>2013</v>
      </c>
      <c r="C314" s="8">
        <f>MONTH(Sales_data[[#This Row],[Order Date]])</f>
        <v>10</v>
      </c>
      <c r="D314" s="8" t="str">
        <f>TEXT(Sales_data[[#This Row],[Order Date]],"mmm")</f>
        <v>Oct</v>
      </c>
      <c r="E314" t="s">
        <v>12</v>
      </c>
      <c r="F314" t="s">
        <v>23</v>
      </c>
      <c r="G314" t="s">
        <v>34</v>
      </c>
      <c r="H314" t="s">
        <v>42</v>
      </c>
      <c r="I314" t="s">
        <v>47</v>
      </c>
      <c r="J314" s="7">
        <v>1435.79</v>
      </c>
      <c r="K314" s="8">
        <v>7</v>
      </c>
      <c r="L314" s="7">
        <v>253.11</v>
      </c>
    </row>
    <row r="315" spans="1:12" x14ac:dyDescent="0.2">
      <c r="A315" s="2">
        <v>41559</v>
      </c>
      <c r="B315" s="8">
        <f>YEAR(Sales_data[[#This Row],[Order Date]])</f>
        <v>2013</v>
      </c>
      <c r="C315" s="8">
        <f>MONTH(Sales_data[[#This Row],[Order Date]])</f>
        <v>10</v>
      </c>
      <c r="D315" s="8" t="str">
        <f>TEXT(Sales_data[[#This Row],[Order Date]],"mmm")</f>
        <v>Oct</v>
      </c>
      <c r="E315" t="s">
        <v>18</v>
      </c>
      <c r="F315" t="s">
        <v>25</v>
      </c>
      <c r="G315" t="s">
        <v>34</v>
      </c>
      <c r="H315" t="s">
        <v>37</v>
      </c>
      <c r="I315" t="s">
        <v>48</v>
      </c>
      <c r="J315" s="7">
        <v>920.69</v>
      </c>
      <c r="K315" s="8">
        <v>6</v>
      </c>
      <c r="L315" s="7">
        <v>-73.709999999999994</v>
      </c>
    </row>
    <row r="316" spans="1:12" x14ac:dyDescent="0.2">
      <c r="A316" s="2">
        <v>41559</v>
      </c>
      <c r="B316" s="8">
        <f>YEAR(Sales_data[[#This Row],[Order Date]])</f>
        <v>2013</v>
      </c>
      <c r="C316" s="8">
        <f>MONTH(Sales_data[[#This Row],[Order Date]])</f>
        <v>10</v>
      </c>
      <c r="D316" s="8" t="str">
        <f>TEXT(Sales_data[[#This Row],[Order Date]],"mmm")</f>
        <v>Oct</v>
      </c>
      <c r="E316" t="s">
        <v>10</v>
      </c>
      <c r="F316" t="s">
        <v>28</v>
      </c>
      <c r="G316" t="s">
        <v>34</v>
      </c>
      <c r="H316" t="s">
        <v>38</v>
      </c>
      <c r="I316" t="s">
        <v>52</v>
      </c>
      <c r="J316" s="7">
        <v>617.80999999999995</v>
      </c>
      <c r="K316" s="8">
        <v>6</v>
      </c>
      <c r="L316" s="7">
        <v>67.62</v>
      </c>
    </row>
    <row r="317" spans="1:12" x14ac:dyDescent="0.2">
      <c r="A317" s="2">
        <v>41560</v>
      </c>
      <c r="B317" s="8">
        <f>YEAR(Sales_data[[#This Row],[Order Date]])</f>
        <v>2013</v>
      </c>
      <c r="C317" s="8">
        <f>MONTH(Sales_data[[#This Row],[Order Date]])</f>
        <v>10</v>
      </c>
      <c r="D317" s="8" t="str">
        <f>TEXT(Sales_data[[#This Row],[Order Date]],"mmm")</f>
        <v>Oct</v>
      </c>
      <c r="E317" t="s">
        <v>19</v>
      </c>
      <c r="F317" t="s">
        <v>26</v>
      </c>
      <c r="G317" t="s">
        <v>32</v>
      </c>
      <c r="H317" t="s">
        <v>36</v>
      </c>
      <c r="I317" t="s">
        <v>44</v>
      </c>
      <c r="J317" s="7">
        <v>1579.22</v>
      </c>
      <c r="K317" s="8">
        <v>3</v>
      </c>
      <c r="L317" s="7">
        <v>211.11</v>
      </c>
    </row>
    <row r="318" spans="1:12" x14ac:dyDescent="0.2">
      <c r="A318" s="2">
        <v>41563</v>
      </c>
      <c r="B318" s="8">
        <f>YEAR(Sales_data[[#This Row],[Order Date]])</f>
        <v>2013</v>
      </c>
      <c r="C318" s="8">
        <f>MONTH(Sales_data[[#This Row],[Order Date]])</f>
        <v>10</v>
      </c>
      <c r="D318" s="8" t="str">
        <f>TEXT(Sales_data[[#This Row],[Order Date]],"mmm")</f>
        <v>Oct</v>
      </c>
      <c r="E318" t="s">
        <v>13</v>
      </c>
      <c r="F318" t="s">
        <v>31</v>
      </c>
      <c r="G318" t="s">
        <v>33</v>
      </c>
      <c r="H318" t="s">
        <v>42</v>
      </c>
      <c r="I318" t="s">
        <v>44</v>
      </c>
      <c r="J318" s="7">
        <v>720.91</v>
      </c>
      <c r="K318" s="8">
        <v>6</v>
      </c>
      <c r="L318" s="7">
        <v>-103.79</v>
      </c>
    </row>
    <row r="319" spans="1:12" x14ac:dyDescent="0.2">
      <c r="A319" s="2">
        <v>41563</v>
      </c>
      <c r="B319" s="8">
        <f>YEAR(Sales_data[[#This Row],[Order Date]])</f>
        <v>2013</v>
      </c>
      <c r="C319" s="8">
        <f>MONTH(Sales_data[[#This Row],[Order Date]])</f>
        <v>10</v>
      </c>
      <c r="D319" s="8" t="str">
        <f>TEXT(Sales_data[[#This Row],[Order Date]],"mmm")</f>
        <v>Oct</v>
      </c>
      <c r="E319" t="s">
        <v>15</v>
      </c>
      <c r="F319" t="s">
        <v>29</v>
      </c>
      <c r="G319" t="s">
        <v>34</v>
      </c>
      <c r="H319" t="s">
        <v>42</v>
      </c>
      <c r="I319" t="s">
        <v>49</v>
      </c>
      <c r="J319" s="7">
        <v>208.46</v>
      </c>
      <c r="K319" s="8">
        <v>7</v>
      </c>
      <c r="L319" s="7">
        <v>-194.67</v>
      </c>
    </row>
    <row r="320" spans="1:12" x14ac:dyDescent="0.2">
      <c r="A320" s="2">
        <v>41567</v>
      </c>
      <c r="B320" s="8">
        <f>YEAR(Sales_data[[#This Row],[Order Date]])</f>
        <v>2013</v>
      </c>
      <c r="C320" s="8">
        <f>MONTH(Sales_data[[#This Row],[Order Date]])</f>
        <v>10</v>
      </c>
      <c r="D320" s="8" t="str">
        <f>TEXT(Sales_data[[#This Row],[Order Date]],"mmm")</f>
        <v>Oct</v>
      </c>
      <c r="E320" t="s">
        <v>18</v>
      </c>
      <c r="F320" t="s">
        <v>22</v>
      </c>
      <c r="G320" t="s">
        <v>33</v>
      </c>
      <c r="H320" t="s">
        <v>36</v>
      </c>
      <c r="I320" t="s">
        <v>53</v>
      </c>
      <c r="J320" s="7">
        <v>1555.77</v>
      </c>
      <c r="K320" s="8">
        <v>2</v>
      </c>
      <c r="L320" s="7">
        <v>-144.76</v>
      </c>
    </row>
    <row r="321" spans="1:12" x14ac:dyDescent="0.2">
      <c r="A321" s="2">
        <v>41568</v>
      </c>
      <c r="B321" s="8">
        <f>YEAR(Sales_data[[#This Row],[Order Date]])</f>
        <v>2013</v>
      </c>
      <c r="C321" s="8">
        <f>MONTH(Sales_data[[#This Row],[Order Date]])</f>
        <v>10</v>
      </c>
      <c r="D321" s="8" t="str">
        <f>TEXT(Sales_data[[#This Row],[Order Date]],"mmm")</f>
        <v>Oct</v>
      </c>
      <c r="E321" t="s">
        <v>21</v>
      </c>
      <c r="F321" t="s">
        <v>26</v>
      </c>
      <c r="G321" t="s">
        <v>32</v>
      </c>
      <c r="H321" t="s">
        <v>41</v>
      </c>
      <c r="I321" t="s">
        <v>48</v>
      </c>
      <c r="J321" s="7">
        <v>1475.2</v>
      </c>
      <c r="K321" s="8">
        <v>7</v>
      </c>
      <c r="L321" s="7">
        <v>-69.150000000000006</v>
      </c>
    </row>
    <row r="322" spans="1:12" x14ac:dyDescent="0.2">
      <c r="A322" s="2">
        <v>41570</v>
      </c>
      <c r="B322" s="8">
        <f>YEAR(Sales_data[[#This Row],[Order Date]])</f>
        <v>2013</v>
      </c>
      <c r="C322" s="8">
        <f>MONTH(Sales_data[[#This Row],[Order Date]])</f>
        <v>10</v>
      </c>
      <c r="D322" s="8" t="str">
        <f>TEXT(Sales_data[[#This Row],[Order Date]],"mmm")</f>
        <v>Oct</v>
      </c>
      <c r="E322" t="s">
        <v>18</v>
      </c>
      <c r="F322" t="s">
        <v>31</v>
      </c>
      <c r="G322" t="s">
        <v>32</v>
      </c>
      <c r="H322" t="s">
        <v>41</v>
      </c>
      <c r="I322" t="s">
        <v>53</v>
      </c>
      <c r="J322" s="7">
        <v>184.67</v>
      </c>
      <c r="K322" s="8">
        <v>3</v>
      </c>
      <c r="L322" s="7">
        <v>50.62</v>
      </c>
    </row>
    <row r="323" spans="1:12" x14ac:dyDescent="0.2">
      <c r="A323" s="2">
        <v>41570</v>
      </c>
      <c r="B323" s="8">
        <f>YEAR(Sales_data[[#This Row],[Order Date]])</f>
        <v>2013</v>
      </c>
      <c r="C323" s="8">
        <f>MONTH(Sales_data[[#This Row],[Order Date]])</f>
        <v>10</v>
      </c>
      <c r="D323" s="8" t="str">
        <f>TEXT(Sales_data[[#This Row],[Order Date]],"mmm")</f>
        <v>Oct</v>
      </c>
      <c r="E323" t="s">
        <v>19</v>
      </c>
      <c r="F323" t="s">
        <v>25</v>
      </c>
      <c r="G323" t="s">
        <v>34</v>
      </c>
      <c r="H323" t="s">
        <v>41</v>
      </c>
      <c r="I323" t="s">
        <v>45</v>
      </c>
      <c r="J323" s="7">
        <v>257.98</v>
      </c>
      <c r="K323" s="8">
        <v>4</v>
      </c>
      <c r="L323" s="7">
        <v>-154.16</v>
      </c>
    </row>
    <row r="324" spans="1:12" x14ac:dyDescent="0.2">
      <c r="A324" s="2">
        <v>41570</v>
      </c>
      <c r="B324" s="8">
        <f>YEAR(Sales_data[[#This Row],[Order Date]])</f>
        <v>2013</v>
      </c>
      <c r="C324" s="8">
        <f>MONTH(Sales_data[[#This Row],[Order Date]])</f>
        <v>10</v>
      </c>
      <c r="D324" s="8" t="str">
        <f>TEXT(Sales_data[[#This Row],[Order Date]],"mmm")</f>
        <v>Oct</v>
      </c>
      <c r="E324" t="s">
        <v>20</v>
      </c>
      <c r="F324" t="s">
        <v>28</v>
      </c>
      <c r="G324" t="s">
        <v>32</v>
      </c>
      <c r="H324" t="s">
        <v>43</v>
      </c>
      <c r="I324" t="s">
        <v>50</v>
      </c>
      <c r="J324" s="7">
        <v>949.16</v>
      </c>
      <c r="K324" s="8">
        <v>9</v>
      </c>
      <c r="L324" s="7">
        <v>186.91</v>
      </c>
    </row>
    <row r="325" spans="1:12" x14ac:dyDescent="0.2">
      <c r="A325" s="2">
        <v>41576</v>
      </c>
      <c r="B325" s="8">
        <f>YEAR(Sales_data[[#This Row],[Order Date]])</f>
        <v>2013</v>
      </c>
      <c r="C325" s="8">
        <f>MONTH(Sales_data[[#This Row],[Order Date]])</f>
        <v>10</v>
      </c>
      <c r="D325" s="8" t="str">
        <f>TEXT(Sales_data[[#This Row],[Order Date]],"mmm")</f>
        <v>Oct</v>
      </c>
      <c r="E325" t="s">
        <v>14</v>
      </c>
      <c r="F325" t="s">
        <v>26</v>
      </c>
      <c r="G325" t="s">
        <v>34</v>
      </c>
      <c r="H325" t="s">
        <v>36</v>
      </c>
      <c r="I325" t="s">
        <v>44</v>
      </c>
      <c r="J325" s="7">
        <v>1876.15</v>
      </c>
      <c r="K325" s="8">
        <v>4</v>
      </c>
      <c r="L325" s="7">
        <v>100.95</v>
      </c>
    </row>
    <row r="326" spans="1:12" x14ac:dyDescent="0.2">
      <c r="A326" s="2">
        <v>41576</v>
      </c>
      <c r="B326" s="8">
        <f>YEAR(Sales_data[[#This Row],[Order Date]])</f>
        <v>2013</v>
      </c>
      <c r="C326" s="8">
        <f>MONTH(Sales_data[[#This Row],[Order Date]])</f>
        <v>10</v>
      </c>
      <c r="D326" s="8" t="str">
        <f>TEXT(Sales_data[[#This Row],[Order Date]],"mmm")</f>
        <v>Oct</v>
      </c>
      <c r="E326" t="s">
        <v>20</v>
      </c>
      <c r="F326" t="s">
        <v>28</v>
      </c>
      <c r="G326" t="s">
        <v>33</v>
      </c>
      <c r="H326" t="s">
        <v>43</v>
      </c>
      <c r="I326" t="s">
        <v>47</v>
      </c>
      <c r="J326" s="7">
        <v>999.08</v>
      </c>
      <c r="K326" s="8">
        <v>2</v>
      </c>
      <c r="L326" s="7">
        <v>298.61</v>
      </c>
    </row>
    <row r="327" spans="1:12" x14ac:dyDescent="0.2">
      <c r="A327" s="2">
        <v>41577</v>
      </c>
      <c r="B327" s="8">
        <f>YEAR(Sales_data[[#This Row],[Order Date]])</f>
        <v>2013</v>
      </c>
      <c r="C327" s="8">
        <f>MONTH(Sales_data[[#This Row],[Order Date]])</f>
        <v>10</v>
      </c>
      <c r="D327" s="8" t="str">
        <f>TEXT(Sales_data[[#This Row],[Order Date]],"mmm")</f>
        <v>Oct</v>
      </c>
      <c r="E327" t="s">
        <v>18</v>
      </c>
      <c r="F327" t="s">
        <v>22</v>
      </c>
      <c r="G327" t="s">
        <v>32</v>
      </c>
      <c r="H327" t="s">
        <v>40</v>
      </c>
      <c r="I327" t="s">
        <v>49</v>
      </c>
      <c r="J327" s="7">
        <v>39.770000000000003</v>
      </c>
      <c r="K327" s="8">
        <v>6</v>
      </c>
      <c r="L327" s="7">
        <v>-168.41</v>
      </c>
    </row>
    <row r="328" spans="1:12" x14ac:dyDescent="0.2">
      <c r="A328" s="2">
        <v>41579</v>
      </c>
      <c r="B328" s="8">
        <f>YEAR(Sales_data[[#This Row],[Order Date]])</f>
        <v>2013</v>
      </c>
      <c r="C328" s="8">
        <f>MONTH(Sales_data[[#This Row],[Order Date]])</f>
        <v>11</v>
      </c>
      <c r="D328" s="8" t="str">
        <f>TEXT(Sales_data[[#This Row],[Order Date]],"mmm")</f>
        <v>Nov</v>
      </c>
      <c r="E328" t="s">
        <v>21</v>
      </c>
      <c r="F328" t="s">
        <v>25</v>
      </c>
      <c r="G328" t="s">
        <v>34</v>
      </c>
      <c r="H328" t="s">
        <v>42</v>
      </c>
      <c r="I328" t="s">
        <v>47</v>
      </c>
      <c r="J328" s="7">
        <v>1621.48</v>
      </c>
      <c r="K328" s="8">
        <v>8</v>
      </c>
      <c r="L328" s="7">
        <v>-128.04</v>
      </c>
    </row>
    <row r="329" spans="1:12" x14ac:dyDescent="0.2">
      <c r="A329" s="2">
        <v>41585</v>
      </c>
      <c r="B329" s="8">
        <f>YEAR(Sales_data[[#This Row],[Order Date]])</f>
        <v>2013</v>
      </c>
      <c r="C329" s="8">
        <f>MONTH(Sales_data[[#This Row],[Order Date]])</f>
        <v>11</v>
      </c>
      <c r="D329" s="8" t="str">
        <f>TEXT(Sales_data[[#This Row],[Order Date]],"mmm")</f>
        <v>Nov</v>
      </c>
      <c r="E329" t="s">
        <v>20</v>
      </c>
      <c r="F329" t="s">
        <v>23</v>
      </c>
      <c r="G329" t="s">
        <v>32</v>
      </c>
      <c r="H329" t="s">
        <v>40</v>
      </c>
      <c r="I329" t="s">
        <v>50</v>
      </c>
      <c r="J329" s="7">
        <v>600.04</v>
      </c>
      <c r="K329" s="8">
        <v>6</v>
      </c>
      <c r="L329" s="7">
        <v>291.31</v>
      </c>
    </row>
    <row r="330" spans="1:12" x14ac:dyDescent="0.2">
      <c r="A330" s="2">
        <v>41587</v>
      </c>
      <c r="B330" s="8">
        <f>YEAR(Sales_data[[#This Row],[Order Date]])</f>
        <v>2013</v>
      </c>
      <c r="C330" s="8">
        <f>MONTH(Sales_data[[#This Row],[Order Date]])</f>
        <v>11</v>
      </c>
      <c r="D330" s="8" t="str">
        <f>TEXT(Sales_data[[#This Row],[Order Date]],"mmm")</f>
        <v>Nov</v>
      </c>
      <c r="E330" t="s">
        <v>12</v>
      </c>
      <c r="F330" t="s">
        <v>24</v>
      </c>
      <c r="G330" t="s">
        <v>33</v>
      </c>
      <c r="H330" t="s">
        <v>42</v>
      </c>
      <c r="I330" t="s">
        <v>50</v>
      </c>
      <c r="J330" s="7">
        <v>73.39</v>
      </c>
      <c r="K330" s="8">
        <v>2</v>
      </c>
      <c r="L330" s="7">
        <v>232.23</v>
      </c>
    </row>
    <row r="331" spans="1:12" x14ac:dyDescent="0.2">
      <c r="A331" s="2">
        <v>41587</v>
      </c>
      <c r="B331" s="8">
        <f>YEAR(Sales_data[[#This Row],[Order Date]])</f>
        <v>2013</v>
      </c>
      <c r="C331" s="8">
        <f>MONTH(Sales_data[[#This Row],[Order Date]])</f>
        <v>11</v>
      </c>
      <c r="D331" s="8" t="str">
        <f>TEXT(Sales_data[[#This Row],[Order Date]],"mmm")</f>
        <v>Nov</v>
      </c>
      <c r="E331" t="s">
        <v>19</v>
      </c>
      <c r="F331" t="s">
        <v>25</v>
      </c>
      <c r="G331" t="s">
        <v>33</v>
      </c>
      <c r="H331" t="s">
        <v>39</v>
      </c>
      <c r="I331" t="s">
        <v>46</v>
      </c>
      <c r="J331" s="7">
        <v>540.74</v>
      </c>
      <c r="K331" s="8">
        <v>3</v>
      </c>
      <c r="L331" s="7">
        <v>370.92</v>
      </c>
    </row>
    <row r="332" spans="1:12" x14ac:dyDescent="0.2">
      <c r="A332" s="2">
        <v>41588</v>
      </c>
      <c r="B332" s="8">
        <f>YEAR(Sales_data[[#This Row],[Order Date]])</f>
        <v>2013</v>
      </c>
      <c r="C332" s="8">
        <f>MONTH(Sales_data[[#This Row],[Order Date]])</f>
        <v>11</v>
      </c>
      <c r="D332" s="8" t="str">
        <f>TEXT(Sales_data[[#This Row],[Order Date]],"mmm")</f>
        <v>Nov</v>
      </c>
      <c r="E332" t="s">
        <v>13</v>
      </c>
      <c r="F332" t="s">
        <v>31</v>
      </c>
      <c r="G332" t="s">
        <v>33</v>
      </c>
      <c r="H332" t="s">
        <v>43</v>
      </c>
      <c r="I332" t="s">
        <v>47</v>
      </c>
      <c r="J332" s="7">
        <v>1808.92</v>
      </c>
      <c r="K332" s="8">
        <v>4</v>
      </c>
      <c r="L332" s="7">
        <v>-12.87</v>
      </c>
    </row>
    <row r="333" spans="1:12" x14ac:dyDescent="0.2">
      <c r="A333" s="2">
        <v>41589</v>
      </c>
      <c r="B333" s="8">
        <f>YEAR(Sales_data[[#This Row],[Order Date]])</f>
        <v>2013</v>
      </c>
      <c r="C333" s="8">
        <f>MONTH(Sales_data[[#This Row],[Order Date]])</f>
        <v>11</v>
      </c>
      <c r="D333" s="8" t="str">
        <f>TEXT(Sales_data[[#This Row],[Order Date]],"mmm")</f>
        <v>Nov</v>
      </c>
      <c r="E333" t="s">
        <v>19</v>
      </c>
      <c r="F333" t="s">
        <v>23</v>
      </c>
      <c r="G333" t="s">
        <v>33</v>
      </c>
      <c r="H333" t="s">
        <v>41</v>
      </c>
      <c r="I333" t="s">
        <v>44</v>
      </c>
      <c r="J333" s="7">
        <v>1613.97</v>
      </c>
      <c r="K333" s="8">
        <v>1</v>
      </c>
      <c r="L333" s="7">
        <v>204.25</v>
      </c>
    </row>
    <row r="334" spans="1:12" x14ac:dyDescent="0.2">
      <c r="A334" s="2">
        <v>41590</v>
      </c>
      <c r="B334" s="8">
        <f>YEAR(Sales_data[[#This Row],[Order Date]])</f>
        <v>2013</v>
      </c>
      <c r="C334" s="8">
        <f>MONTH(Sales_data[[#This Row],[Order Date]])</f>
        <v>11</v>
      </c>
      <c r="D334" s="8" t="str">
        <f>TEXT(Sales_data[[#This Row],[Order Date]],"mmm")</f>
        <v>Nov</v>
      </c>
      <c r="E334" t="s">
        <v>16</v>
      </c>
      <c r="F334" t="s">
        <v>23</v>
      </c>
      <c r="G334" t="s">
        <v>32</v>
      </c>
      <c r="H334" t="s">
        <v>40</v>
      </c>
      <c r="I334" t="s">
        <v>44</v>
      </c>
      <c r="J334" s="7">
        <v>1014.43</v>
      </c>
      <c r="K334" s="8">
        <v>8</v>
      </c>
      <c r="L334" s="7">
        <v>-49.69</v>
      </c>
    </row>
    <row r="335" spans="1:12" x14ac:dyDescent="0.2">
      <c r="A335" s="2">
        <v>41592</v>
      </c>
      <c r="B335" s="8">
        <f>YEAR(Sales_data[[#This Row],[Order Date]])</f>
        <v>2013</v>
      </c>
      <c r="C335" s="8">
        <f>MONTH(Sales_data[[#This Row],[Order Date]])</f>
        <v>11</v>
      </c>
      <c r="D335" s="8" t="str">
        <f>TEXT(Sales_data[[#This Row],[Order Date]],"mmm")</f>
        <v>Nov</v>
      </c>
      <c r="E335" t="s">
        <v>15</v>
      </c>
      <c r="F335" t="s">
        <v>31</v>
      </c>
      <c r="G335" t="s">
        <v>32</v>
      </c>
      <c r="H335" t="s">
        <v>35</v>
      </c>
      <c r="I335" t="s">
        <v>53</v>
      </c>
      <c r="J335" s="7">
        <v>970.96</v>
      </c>
      <c r="K335" s="8">
        <v>3</v>
      </c>
      <c r="L335" s="7">
        <v>329.9</v>
      </c>
    </row>
    <row r="336" spans="1:12" x14ac:dyDescent="0.2">
      <c r="A336" s="2">
        <v>41592</v>
      </c>
      <c r="B336" s="8">
        <f>YEAR(Sales_data[[#This Row],[Order Date]])</f>
        <v>2013</v>
      </c>
      <c r="C336" s="8">
        <f>MONTH(Sales_data[[#This Row],[Order Date]])</f>
        <v>11</v>
      </c>
      <c r="D336" s="8" t="str">
        <f>TEXT(Sales_data[[#This Row],[Order Date]],"mmm")</f>
        <v>Nov</v>
      </c>
      <c r="E336" t="s">
        <v>21</v>
      </c>
      <c r="F336" t="s">
        <v>24</v>
      </c>
      <c r="G336" t="s">
        <v>32</v>
      </c>
      <c r="H336" t="s">
        <v>38</v>
      </c>
      <c r="I336" t="s">
        <v>49</v>
      </c>
      <c r="J336" s="7">
        <v>1180.29</v>
      </c>
      <c r="K336" s="8">
        <v>2</v>
      </c>
      <c r="L336" s="7">
        <v>39.36</v>
      </c>
    </row>
    <row r="337" spans="1:12" x14ac:dyDescent="0.2">
      <c r="A337" s="2">
        <v>41592</v>
      </c>
      <c r="B337" s="8">
        <f>YEAR(Sales_data[[#This Row],[Order Date]])</f>
        <v>2013</v>
      </c>
      <c r="C337" s="8">
        <f>MONTH(Sales_data[[#This Row],[Order Date]])</f>
        <v>11</v>
      </c>
      <c r="D337" s="8" t="str">
        <f>TEXT(Sales_data[[#This Row],[Order Date]],"mmm")</f>
        <v>Nov</v>
      </c>
      <c r="E337" t="s">
        <v>15</v>
      </c>
      <c r="F337" t="s">
        <v>29</v>
      </c>
      <c r="G337" t="s">
        <v>34</v>
      </c>
      <c r="H337" t="s">
        <v>37</v>
      </c>
      <c r="I337" t="s">
        <v>50</v>
      </c>
      <c r="J337" s="7">
        <v>1702.09</v>
      </c>
      <c r="K337" s="8">
        <v>8</v>
      </c>
      <c r="L337" s="7">
        <v>155.94</v>
      </c>
    </row>
    <row r="338" spans="1:12" x14ac:dyDescent="0.2">
      <c r="A338" s="2">
        <v>41594</v>
      </c>
      <c r="B338" s="8">
        <f>YEAR(Sales_data[[#This Row],[Order Date]])</f>
        <v>2013</v>
      </c>
      <c r="C338" s="8">
        <f>MONTH(Sales_data[[#This Row],[Order Date]])</f>
        <v>11</v>
      </c>
      <c r="D338" s="8" t="str">
        <f>TEXT(Sales_data[[#This Row],[Order Date]],"mmm")</f>
        <v>Nov</v>
      </c>
      <c r="E338" t="s">
        <v>19</v>
      </c>
      <c r="F338" t="s">
        <v>28</v>
      </c>
      <c r="G338" t="s">
        <v>33</v>
      </c>
      <c r="H338" t="s">
        <v>41</v>
      </c>
      <c r="I338" t="s">
        <v>44</v>
      </c>
      <c r="J338" s="7">
        <v>1648.22</v>
      </c>
      <c r="K338" s="8">
        <v>3</v>
      </c>
      <c r="L338" s="7">
        <v>396.85</v>
      </c>
    </row>
    <row r="339" spans="1:12" x14ac:dyDescent="0.2">
      <c r="A339" s="2">
        <v>41595</v>
      </c>
      <c r="B339" s="8">
        <f>YEAR(Sales_data[[#This Row],[Order Date]])</f>
        <v>2013</v>
      </c>
      <c r="C339" s="8">
        <f>MONTH(Sales_data[[#This Row],[Order Date]])</f>
        <v>11</v>
      </c>
      <c r="D339" s="8" t="str">
        <f>TEXT(Sales_data[[#This Row],[Order Date]],"mmm")</f>
        <v>Nov</v>
      </c>
      <c r="E339" t="s">
        <v>11</v>
      </c>
      <c r="F339" t="s">
        <v>26</v>
      </c>
      <c r="G339" t="s">
        <v>33</v>
      </c>
      <c r="H339" t="s">
        <v>39</v>
      </c>
      <c r="I339" t="s">
        <v>52</v>
      </c>
      <c r="J339" s="7">
        <v>578.4</v>
      </c>
      <c r="K339" s="8">
        <v>9</v>
      </c>
      <c r="L339" s="7">
        <v>274.67</v>
      </c>
    </row>
    <row r="340" spans="1:12" x14ac:dyDescent="0.2">
      <c r="A340" s="2">
        <v>41595</v>
      </c>
      <c r="B340" s="8">
        <f>YEAR(Sales_data[[#This Row],[Order Date]])</f>
        <v>2013</v>
      </c>
      <c r="C340" s="8">
        <f>MONTH(Sales_data[[#This Row],[Order Date]])</f>
        <v>11</v>
      </c>
      <c r="D340" s="8" t="str">
        <f>TEXT(Sales_data[[#This Row],[Order Date]],"mmm")</f>
        <v>Nov</v>
      </c>
      <c r="E340" t="s">
        <v>16</v>
      </c>
      <c r="F340" t="s">
        <v>23</v>
      </c>
      <c r="G340" t="s">
        <v>32</v>
      </c>
      <c r="H340" t="s">
        <v>36</v>
      </c>
      <c r="I340" t="s">
        <v>51</v>
      </c>
      <c r="J340" s="7">
        <v>1027.76</v>
      </c>
      <c r="K340" s="8">
        <v>6</v>
      </c>
      <c r="L340" s="7">
        <v>-199.32</v>
      </c>
    </row>
    <row r="341" spans="1:12" x14ac:dyDescent="0.2">
      <c r="A341" s="2">
        <v>41598</v>
      </c>
      <c r="B341" s="8">
        <f>YEAR(Sales_data[[#This Row],[Order Date]])</f>
        <v>2013</v>
      </c>
      <c r="C341" s="8">
        <f>MONTH(Sales_data[[#This Row],[Order Date]])</f>
        <v>11</v>
      </c>
      <c r="D341" s="8" t="str">
        <f>TEXT(Sales_data[[#This Row],[Order Date]],"mmm")</f>
        <v>Nov</v>
      </c>
      <c r="E341" t="s">
        <v>15</v>
      </c>
      <c r="F341" t="s">
        <v>26</v>
      </c>
      <c r="G341" t="s">
        <v>33</v>
      </c>
      <c r="H341" t="s">
        <v>39</v>
      </c>
      <c r="I341" t="s">
        <v>48</v>
      </c>
      <c r="J341" s="7">
        <v>85.12</v>
      </c>
      <c r="K341" s="8">
        <v>7</v>
      </c>
      <c r="L341" s="7">
        <v>-72.88</v>
      </c>
    </row>
    <row r="342" spans="1:12" x14ac:dyDescent="0.2">
      <c r="A342" s="2">
        <v>41598</v>
      </c>
      <c r="B342" s="8">
        <f>YEAR(Sales_data[[#This Row],[Order Date]])</f>
        <v>2013</v>
      </c>
      <c r="C342" s="8">
        <f>MONTH(Sales_data[[#This Row],[Order Date]])</f>
        <v>11</v>
      </c>
      <c r="D342" s="8" t="str">
        <f>TEXT(Sales_data[[#This Row],[Order Date]],"mmm")</f>
        <v>Nov</v>
      </c>
      <c r="E342" t="s">
        <v>20</v>
      </c>
      <c r="F342" t="s">
        <v>25</v>
      </c>
      <c r="G342" t="s">
        <v>33</v>
      </c>
      <c r="H342" t="s">
        <v>37</v>
      </c>
      <c r="I342" t="s">
        <v>53</v>
      </c>
      <c r="J342" s="7">
        <v>1607.32</v>
      </c>
      <c r="K342" s="8">
        <v>9</v>
      </c>
      <c r="L342" s="7">
        <v>262.75</v>
      </c>
    </row>
    <row r="343" spans="1:12" x14ac:dyDescent="0.2">
      <c r="A343" s="2">
        <v>41600</v>
      </c>
      <c r="B343" s="8">
        <f>YEAR(Sales_data[[#This Row],[Order Date]])</f>
        <v>2013</v>
      </c>
      <c r="C343" s="8">
        <f>MONTH(Sales_data[[#This Row],[Order Date]])</f>
        <v>11</v>
      </c>
      <c r="D343" s="8" t="str">
        <f>TEXT(Sales_data[[#This Row],[Order Date]],"mmm")</f>
        <v>Nov</v>
      </c>
      <c r="E343" t="s">
        <v>14</v>
      </c>
      <c r="F343" t="s">
        <v>28</v>
      </c>
      <c r="G343" t="s">
        <v>34</v>
      </c>
      <c r="H343" t="s">
        <v>43</v>
      </c>
      <c r="I343" t="s">
        <v>46</v>
      </c>
      <c r="J343" s="7">
        <v>253.81</v>
      </c>
      <c r="K343" s="8">
        <v>4</v>
      </c>
      <c r="L343" s="7">
        <v>331.18</v>
      </c>
    </row>
    <row r="344" spans="1:12" x14ac:dyDescent="0.2">
      <c r="A344" s="2">
        <v>41601</v>
      </c>
      <c r="B344" s="8">
        <f>YEAR(Sales_data[[#This Row],[Order Date]])</f>
        <v>2013</v>
      </c>
      <c r="C344" s="8">
        <f>MONTH(Sales_data[[#This Row],[Order Date]])</f>
        <v>11</v>
      </c>
      <c r="D344" s="8" t="str">
        <f>TEXT(Sales_data[[#This Row],[Order Date]],"mmm")</f>
        <v>Nov</v>
      </c>
      <c r="E344" t="s">
        <v>18</v>
      </c>
      <c r="F344" t="s">
        <v>25</v>
      </c>
      <c r="G344" t="s">
        <v>33</v>
      </c>
      <c r="H344" t="s">
        <v>35</v>
      </c>
      <c r="I344" t="s">
        <v>44</v>
      </c>
      <c r="J344" s="7">
        <v>1264.5</v>
      </c>
      <c r="K344" s="8">
        <v>3</v>
      </c>
      <c r="L344" s="7">
        <v>-129.77000000000001</v>
      </c>
    </row>
    <row r="345" spans="1:12" x14ac:dyDescent="0.2">
      <c r="A345" s="2">
        <v>41602</v>
      </c>
      <c r="B345" s="8">
        <f>YEAR(Sales_data[[#This Row],[Order Date]])</f>
        <v>2013</v>
      </c>
      <c r="C345" s="8">
        <f>MONTH(Sales_data[[#This Row],[Order Date]])</f>
        <v>11</v>
      </c>
      <c r="D345" s="8" t="str">
        <f>TEXT(Sales_data[[#This Row],[Order Date]],"mmm")</f>
        <v>Nov</v>
      </c>
      <c r="E345" t="s">
        <v>16</v>
      </c>
      <c r="F345" t="s">
        <v>31</v>
      </c>
      <c r="G345" t="s">
        <v>33</v>
      </c>
      <c r="H345" t="s">
        <v>42</v>
      </c>
      <c r="I345" t="s">
        <v>46</v>
      </c>
      <c r="J345" s="7">
        <v>1968.49</v>
      </c>
      <c r="K345" s="8">
        <v>5</v>
      </c>
      <c r="L345" s="7">
        <v>358.98</v>
      </c>
    </row>
    <row r="346" spans="1:12" x14ac:dyDescent="0.2">
      <c r="A346" s="2">
        <v>41603</v>
      </c>
      <c r="B346" s="8">
        <f>YEAR(Sales_data[[#This Row],[Order Date]])</f>
        <v>2013</v>
      </c>
      <c r="C346" s="8">
        <f>MONTH(Sales_data[[#This Row],[Order Date]])</f>
        <v>11</v>
      </c>
      <c r="D346" s="8" t="str">
        <f>TEXT(Sales_data[[#This Row],[Order Date]],"mmm")</f>
        <v>Nov</v>
      </c>
      <c r="E346" t="s">
        <v>14</v>
      </c>
      <c r="F346" t="s">
        <v>22</v>
      </c>
      <c r="G346" t="s">
        <v>34</v>
      </c>
      <c r="H346" t="s">
        <v>35</v>
      </c>
      <c r="I346" t="s">
        <v>49</v>
      </c>
      <c r="J346" s="7">
        <v>1348.7</v>
      </c>
      <c r="K346" s="8">
        <v>7</v>
      </c>
      <c r="L346" s="7">
        <v>-13.1</v>
      </c>
    </row>
    <row r="347" spans="1:12" x14ac:dyDescent="0.2">
      <c r="A347" s="2">
        <v>41603</v>
      </c>
      <c r="B347" s="8">
        <f>YEAR(Sales_data[[#This Row],[Order Date]])</f>
        <v>2013</v>
      </c>
      <c r="C347" s="8">
        <f>MONTH(Sales_data[[#This Row],[Order Date]])</f>
        <v>11</v>
      </c>
      <c r="D347" s="8" t="str">
        <f>TEXT(Sales_data[[#This Row],[Order Date]],"mmm")</f>
        <v>Nov</v>
      </c>
      <c r="E347" t="s">
        <v>20</v>
      </c>
      <c r="F347" t="s">
        <v>29</v>
      </c>
      <c r="G347" t="s">
        <v>34</v>
      </c>
      <c r="H347" t="s">
        <v>43</v>
      </c>
      <c r="I347" t="s">
        <v>46</v>
      </c>
      <c r="J347" s="7">
        <v>1765.28</v>
      </c>
      <c r="K347" s="8">
        <v>7</v>
      </c>
      <c r="L347" s="7">
        <v>-90.06</v>
      </c>
    </row>
    <row r="348" spans="1:12" x14ac:dyDescent="0.2">
      <c r="A348" s="2">
        <v>41604</v>
      </c>
      <c r="B348" s="8">
        <f>YEAR(Sales_data[[#This Row],[Order Date]])</f>
        <v>2013</v>
      </c>
      <c r="C348" s="8">
        <f>MONTH(Sales_data[[#This Row],[Order Date]])</f>
        <v>11</v>
      </c>
      <c r="D348" s="8" t="str">
        <f>TEXT(Sales_data[[#This Row],[Order Date]],"mmm")</f>
        <v>Nov</v>
      </c>
      <c r="E348" t="s">
        <v>9</v>
      </c>
      <c r="F348" t="s">
        <v>24</v>
      </c>
      <c r="G348" t="s">
        <v>34</v>
      </c>
      <c r="H348" t="s">
        <v>39</v>
      </c>
      <c r="I348" t="s">
        <v>50</v>
      </c>
      <c r="J348" s="7">
        <v>1662.06</v>
      </c>
      <c r="K348" s="8">
        <v>6</v>
      </c>
      <c r="L348" s="7">
        <v>69.540000000000006</v>
      </c>
    </row>
    <row r="349" spans="1:12" x14ac:dyDescent="0.2">
      <c r="A349" s="2">
        <v>41604</v>
      </c>
      <c r="B349" s="8">
        <f>YEAR(Sales_data[[#This Row],[Order Date]])</f>
        <v>2013</v>
      </c>
      <c r="C349" s="8">
        <f>MONTH(Sales_data[[#This Row],[Order Date]])</f>
        <v>11</v>
      </c>
      <c r="D349" s="8" t="str">
        <f>TEXT(Sales_data[[#This Row],[Order Date]],"mmm")</f>
        <v>Nov</v>
      </c>
      <c r="E349" t="s">
        <v>10</v>
      </c>
      <c r="F349" t="s">
        <v>30</v>
      </c>
      <c r="G349" t="s">
        <v>32</v>
      </c>
      <c r="H349" t="s">
        <v>35</v>
      </c>
      <c r="I349" t="s">
        <v>52</v>
      </c>
      <c r="J349" s="7">
        <v>1052.75</v>
      </c>
      <c r="K349" s="8">
        <v>6</v>
      </c>
      <c r="L349" s="7">
        <v>302.97000000000003</v>
      </c>
    </row>
    <row r="350" spans="1:12" x14ac:dyDescent="0.2">
      <c r="A350" s="2">
        <v>41605</v>
      </c>
      <c r="B350" s="8">
        <f>YEAR(Sales_data[[#This Row],[Order Date]])</f>
        <v>2013</v>
      </c>
      <c r="C350" s="8">
        <f>MONTH(Sales_data[[#This Row],[Order Date]])</f>
        <v>11</v>
      </c>
      <c r="D350" s="8" t="str">
        <f>TEXT(Sales_data[[#This Row],[Order Date]],"mmm")</f>
        <v>Nov</v>
      </c>
      <c r="E350" t="s">
        <v>16</v>
      </c>
      <c r="F350" t="s">
        <v>29</v>
      </c>
      <c r="G350" t="s">
        <v>33</v>
      </c>
      <c r="H350" t="s">
        <v>38</v>
      </c>
      <c r="I350" t="s">
        <v>47</v>
      </c>
      <c r="J350" s="7">
        <v>534.97</v>
      </c>
      <c r="K350" s="8">
        <v>8</v>
      </c>
      <c r="L350" s="7">
        <v>135.86000000000001</v>
      </c>
    </row>
    <row r="351" spans="1:12" x14ac:dyDescent="0.2">
      <c r="A351" s="2">
        <v>41608</v>
      </c>
      <c r="B351" s="8">
        <f>YEAR(Sales_data[[#This Row],[Order Date]])</f>
        <v>2013</v>
      </c>
      <c r="C351" s="8">
        <f>MONTH(Sales_data[[#This Row],[Order Date]])</f>
        <v>11</v>
      </c>
      <c r="D351" s="8" t="str">
        <f>TEXT(Sales_data[[#This Row],[Order Date]],"mmm")</f>
        <v>Nov</v>
      </c>
      <c r="E351" t="s">
        <v>9</v>
      </c>
      <c r="F351" t="s">
        <v>27</v>
      </c>
      <c r="G351" t="s">
        <v>34</v>
      </c>
      <c r="H351" t="s">
        <v>38</v>
      </c>
      <c r="I351" t="s">
        <v>44</v>
      </c>
      <c r="J351" s="7">
        <v>973.69</v>
      </c>
      <c r="K351" s="8">
        <v>7</v>
      </c>
      <c r="L351" s="7">
        <v>106.4</v>
      </c>
    </row>
    <row r="352" spans="1:12" x14ac:dyDescent="0.2">
      <c r="A352" s="2">
        <v>41609</v>
      </c>
      <c r="B352" s="8">
        <f>YEAR(Sales_data[[#This Row],[Order Date]])</f>
        <v>2013</v>
      </c>
      <c r="C352" s="8">
        <f>MONTH(Sales_data[[#This Row],[Order Date]])</f>
        <v>12</v>
      </c>
      <c r="D352" s="8" t="str">
        <f>TEXT(Sales_data[[#This Row],[Order Date]],"mmm")</f>
        <v>Dec</v>
      </c>
      <c r="E352" t="s">
        <v>21</v>
      </c>
      <c r="F352" t="s">
        <v>25</v>
      </c>
      <c r="G352" t="s">
        <v>33</v>
      </c>
      <c r="H352" t="s">
        <v>39</v>
      </c>
      <c r="I352" t="s">
        <v>50</v>
      </c>
      <c r="J352" s="7">
        <v>1061.97</v>
      </c>
      <c r="K352" s="8">
        <v>7</v>
      </c>
      <c r="L352" s="7">
        <v>299.12</v>
      </c>
    </row>
    <row r="353" spans="1:12" x14ac:dyDescent="0.2">
      <c r="A353" s="2">
        <v>41610</v>
      </c>
      <c r="B353" s="8">
        <f>YEAR(Sales_data[[#This Row],[Order Date]])</f>
        <v>2013</v>
      </c>
      <c r="C353" s="8">
        <f>MONTH(Sales_data[[#This Row],[Order Date]])</f>
        <v>12</v>
      </c>
      <c r="D353" s="8" t="str">
        <f>TEXT(Sales_data[[#This Row],[Order Date]],"mmm")</f>
        <v>Dec</v>
      </c>
      <c r="E353" t="s">
        <v>12</v>
      </c>
      <c r="F353" t="s">
        <v>22</v>
      </c>
      <c r="G353" t="s">
        <v>33</v>
      </c>
      <c r="H353" t="s">
        <v>37</v>
      </c>
      <c r="I353" t="s">
        <v>52</v>
      </c>
      <c r="J353" s="7">
        <v>537.08000000000004</v>
      </c>
      <c r="K353" s="8">
        <v>1</v>
      </c>
      <c r="L353" s="7">
        <v>366.66</v>
      </c>
    </row>
    <row r="354" spans="1:12" x14ac:dyDescent="0.2">
      <c r="A354" s="2">
        <v>41611</v>
      </c>
      <c r="B354" s="8">
        <f>YEAR(Sales_data[[#This Row],[Order Date]])</f>
        <v>2013</v>
      </c>
      <c r="C354" s="8">
        <f>MONTH(Sales_data[[#This Row],[Order Date]])</f>
        <v>12</v>
      </c>
      <c r="D354" s="8" t="str">
        <f>TEXT(Sales_data[[#This Row],[Order Date]],"mmm")</f>
        <v>Dec</v>
      </c>
      <c r="E354" t="s">
        <v>10</v>
      </c>
      <c r="F354" t="s">
        <v>26</v>
      </c>
      <c r="G354" t="s">
        <v>34</v>
      </c>
      <c r="H354" t="s">
        <v>38</v>
      </c>
      <c r="I354" t="s">
        <v>44</v>
      </c>
      <c r="J354" s="7">
        <v>1876.4</v>
      </c>
      <c r="K354" s="8">
        <v>2</v>
      </c>
      <c r="L354" s="7">
        <v>230.37</v>
      </c>
    </row>
    <row r="355" spans="1:12" x14ac:dyDescent="0.2">
      <c r="A355" s="2">
        <v>41612</v>
      </c>
      <c r="B355" s="8">
        <f>YEAR(Sales_data[[#This Row],[Order Date]])</f>
        <v>2013</v>
      </c>
      <c r="C355" s="8">
        <f>MONTH(Sales_data[[#This Row],[Order Date]])</f>
        <v>12</v>
      </c>
      <c r="D355" s="8" t="str">
        <f>TEXT(Sales_data[[#This Row],[Order Date]],"mmm")</f>
        <v>Dec</v>
      </c>
      <c r="E355" t="s">
        <v>15</v>
      </c>
      <c r="F355" t="s">
        <v>29</v>
      </c>
      <c r="G355" t="s">
        <v>33</v>
      </c>
      <c r="H355" t="s">
        <v>40</v>
      </c>
      <c r="I355" t="s">
        <v>52</v>
      </c>
      <c r="J355" s="7">
        <v>289.89999999999998</v>
      </c>
      <c r="K355" s="8">
        <v>3</v>
      </c>
      <c r="L355" s="7">
        <v>-18.52</v>
      </c>
    </row>
    <row r="356" spans="1:12" x14ac:dyDescent="0.2">
      <c r="A356" s="2">
        <v>41612</v>
      </c>
      <c r="B356" s="8">
        <f>YEAR(Sales_data[[#This Row],[Order Date]])</f>
        <v>2013</v>
      </c>
      <c r="C356" s="8">
        <f>MONTH(Sales_data[[#This Row],[Order Date]])</f>
        <v>12</v>
      </c>
      <c r="D356" s="8" t="str">
        <f>TEXT(Sales_data[[#This Row],[Order Date]],"mmm")</f>
        <v>Dec</v>
      </c>
      <c r="E356" t="s">
        <v>19</v>
      </c>
      <c r="F356" t="s">
        <v>31</v>
      </c>
      <c r="G356" t="s">
        <v>33</v>
      </c>
      <c r="H356" t="s">
        <v>41</v>
      </c>
      <c r="I356" t="s">
        <v>44</v>
      </c>
      <c r="J356" s="7">
        <v>224.77</v>
      </c>
      <c r="K356" s="8">
        <v>2</v>
      </c>
      <c r="L356" s="7">
        <v>238.12</v>
      </c>
    </row>
    <row r="357" spans="1:12" x14ac:dyDescent="0.2">
      <c r="A357" s="2">
        <v>41612</v>
      </c>
      <c r="B357" s="8">
        <f>YEAR(Sales_data[[#This Row],[Order Date]])</f>
        <v>2013</v>
      </c>
      <c r="C357" s="8">
        <f>MONTH(Sales_data[[#This Row],[Order Date]])</f>
        <v>12</v>
      </c>
      <c r="D357" s="8" t="str">
        <f>TEXT(Sales_data[[#This Row],[Order Date]],"mmm")</f>
        <v>Dec</v>
      </c>
      <c r="E357" t="s">
        <v>13</v>
      </c>
      <c r="F357" t="s">
        <v>29</v>
      </c>
      <c r="G357" t="s">
        <v>33</v>
      </c>
      <c r="H357" t="s">
        <v>42</v>
      </c>
      <c r="I357" t="s">
        <v>53</v>
      </c>
      <c r="J357" s="7">
        <v>1098.78</v>
      </c>
      <c r="K357" s="8">
        <v>7</v>
      </c>
      <c r="L357" s="7">
        <v>104.34</v>
      </c>
    </row>
    <row r="358" spans="1:12" x14ac:dyDescent="0.2">
      <c r="A358" s="2">
        <v>41613</v>
      </c>
      <c r="B358" s="8">
        <f>YEAR(Sales_data[[#This Row],[Order Date]])</f>
        <v>2013</v>
      </c>
      <c r="C358" s="8">
        <f>MONTH(Sales_data[[#This Row],[Order Date]])</f>
        <v>12</v>
      </c>
      <c r="D358" s="8" t="str">
        <f>TEXT(Sales_data[[#This Row],[Order Date]],"mmm")</f>
        <v>Dec</v>
      </c>
      <c r="E358" t="s">
        <v>17</v>
      </c>
      <c r="F358" t="s">
        <v>23</v>
      </c>
      <c r="G358" t="s">
        <v>32</v>
      </c>
      <c r="H358" t="s">
        <v>40</v>
      </c>
      <c r="I358" t="s">
        <v>53</v>
      </c>
      <c r="J358" s="7">
        <v>1029.22</v>
      </c>
      <c r="K358" s="8">
        <v>7</v>
      </c>
      <c r="L358" s="7">
        <v>161.91</v>
      </c>
    </row>
    <row r="359" spans="1:12" x14ac:dyDescent="0.2">
      <c r="A359" s="2">
        <v>41613</v>
      </c>
      <c r="B359" s="8">
        <f>YEAR(Sales_data[[#This Row],[Order Date]])</f>
        <v>2013</v>
      </c>
      <c r="C359" s="8">
        <f>MONTH(Sales_data[[#This Row],[Order Date]])</f>
        <v>12</v>
      </c>
      <c r="D359" s="8" t="str">
        <f>TEXT(Sales_data[[#This Row],[Order Date]],"mmm")</f>
        <v>Dec</v>
      </c>
      <c r="E359" t="s">
        <v>20</v>
      </c>
      <c r="F359" t="s">
        <v>27</v>
      </c>
      <c r="G359" t="s">
        <v>34</v>
      </c>
      <c r="H359" t="s">
        <v>35</v>
      </c>
      <c r="I359" t="s">
        <v>50</v>
      </c>
      <c r="J359" s="7">
        <v>853.67</v>
      </c>
      <c r="K359" s="8">
        <v>5</v>
      </c>
      <c r="L359" s="7">
        <v>222.87</v>
      </c>
    </row>
    <row r="360" spans="1:12" x14ac:dyDescent="0.2">
      <c r="A360" s="2">
        <v>41614</v>
      </c>
      <c r="B360" s="8">
        <f>YEAR(Sales_data[[#This Row],[Order Date]])</f>
        <v>2013</v>
      </c>
      <c r="C360" s="8">
        <f>MONTH(Sales_data[[#This Row],[Order Date]])</f>
        <v>12</v>
      </c>
      <c r="D360" s="8" t="str">
        <f>TEXT(Sales_data[[#This Row],[Order Date]],"mmm")</f>
        <v>Dec</v>
      </c>
      <c r="E360" t="s">
        <v>18</v>
      </c>
      <c r="F360" t="s">
        <v>30</v>
      </c>
      <c r="G360" t="s">
        <v>34</v>
      </c>
      <c r="H360" t="s">
        <v>37</v>
      </c>
      <c r="I360" t="s">
        <v>45</v>
      </c>
      <c r="J360" s="7">
        <v>1649.21</v>
      </c>
      <c r="K360" s="8">
        <v>4</v>
      </c>
      <c r="L360" s="7">
        <v>389.56</v>
      </c>
    </row>
    <row r="361" spans="1:12" x14ac:dyDescent="0.2">
      <c r="A361" s="2">
        <v>41615</v>
      </c>
      <c r="B361" s="8">
        <f>YEAR(Sales_data[[#This Row],[Order Date]])</f>
        <v>2013</v>
      </c>
      <c r="C361" s="8">
        <f>MONTH(Sales_data[[#This Row],[Order Date]])</f>
        <v>12</v>
      </c>
      <c r="D361" s="8" t="str">
        <f>TEXT(Sales_data[[#This Row],[Order Date]],"mmm")</f>
        <v>Dec</v>
      </c>
      <c r="E361" t="s">
        <v>16</v>
      </c>
      <c r="F361" t="s">
        <v>30</v>
      </c>
      <c r="G361" t="s">
        <v>33</v>
      </c>
      <c r="H361" t="s">
        <v>43</v>
      </c>
      <c r="I361" t="s">
        <v>49</v>
      </c>
      <c r="J361" s="7">
        <v>1467.28</v>
      </c>
      <c r="K361" s="8">
        <v>3</v>
      </c>
      <c r="L361" s="7">
        <v>-109.87</v>
      </c>
    </row>
    <row r="362" spans="1:12" x14ac:dyDescent="0.2">
      <c r="A362" s="2">
        <v>41616</v>
      </c>
      <c r="B362" s="8">
        <f>YEAR(Sales_data[[#This Row],[Order Date]])</f>
        <v>2013</v>
      </c>
      <c r="C362" s="8">
        <f>MONTH(Sales_data[[#This Row],[Order Date]])</f>
        <v>12</v>
      </c>
      <c r="D362" s="8" t="str">
        <f>TEXT(Sales_data[[#This Row],[Order Date]],"mmm")</f>
        <v>Dec</v>
      </c>
      <c r="E362" t="s">
        <v>14</v>
      </c>
      <c r="F362" t="s">
        <v>27</v>
      </c>
      <c r="G362" t="s">
        <v>32</v>
      </c>
      <c r="H362" t="s">
        <v>43</v>
      </c>
      <c r="I362" t="s">
        <v>52</v>
      </c>
      <c r="J362" s="7">
        <v>1283.7</v>
      </c>
      <c r="K362" s="8">
        <v>2</v>
      </c>
      <c r="L362" s="7">
        <v>375.38</v>
      </c>
    </row>
    <row r="363" spans="1:12" x14ac:dyDescent="0.2">
      <c r="A363" s="2">
        <v>41616</v>
      </c>
      <c r="B363" s="8">
        <f>YEAR(Sales_data[[#This Row],[Order Date]])</f>
        <v>2013</v>
      </c>
      <c r="C363" s="8">
        <f>MONTH(Sales_data[[#This Row],[Order Date]])</f>
        <v>12</v>
      </c>
      <c r="D363" s="8" t="str">
        <f>TEXT(Sales_data[[#This Row],[Order Date]],"mmm")</f>
        <v>Dec</v>
      </c>
      <c r="E363" t="s">
        <v>9</v>
      </c>
      <c r="F363" t="s">
        <v>24</v>
      </c>
      <c r="G363" t="s">
        <v>34</v>
      </c>
      <c r="H363" t="s">
        <v>35</v>
      </c>
      <c r="I363" t="s">
        <v>49</v>
      </c>
      <c r="J363" s="7">
        <v>1736.73</v>
      </c>
      <c r="K363" s="8">
        <v>8</v>
      </c>
      <c r="L363" s="7">
        <v>-45.34</v>
      </c>
    </row>
    <row r="364" spans="1:12" x14ac:dyDescent="0.2">
      <c r="A364" s="2">
        <v>41618</v>
      </c>
      <c r="B364" s="8">
        <f>YEAR(Sales_data[[#This Row],[Order Date]])</f>
        <v>2013</v>
      </c>
      <c r="C364" s="8">
        <f>MONTH(Sales_data[[#This Row],[Order Date]])</f>
        <v>12</v>
      </c>
      <c r="D364" s="8" t="str">
        <f>TEXT(Sales_data[[#This Row],[Order Date]],"mmm")</f>
        <v>Dec</v>
      </c>
      <c r="E364" t="s">
        <v>9</v>
      </c>
      <c r="F364" t="s">
        <v>24</v>
      </c>
      <c r="G364" t="s">
        <v>33</v>
      </c>
      <c r="H364" t="s">
        <v>35</v>
      </c>
      <c r="I364" t="s">
        <v>44</v>
      </c>
      <c r="J364" s="7">
        <v>482.14</v>
      </c>
      <c r="K364" s="8">
        <v>4</v>
      </c>
      <c r="L364" s="7">
        <v>156.87</v>
      </c>
    </row>
    <row r="365" spans="1:12" x14ac:dyDescent="0.2">
      <c r="A365" s="2">
        <v>41620</v>
      </c>
      <c r="B365" s="8">
        <f>YEAR(Sales_data[[#This Row],[Order Date]])</f>
        <v>2013</v>
      </c>
      <c r="C365" s="8">
        <f>MONTH(Sales_data[[#This Row],[Order Date]])</f>
        <v>12</v>
      </c>
      <c r="D365" s="8" t="str">
        <f>TEXT(Sales_data[[#This Row],[Order Date]],"mmm")</f>
        <v>Dec</v>
      </c>
      <c r="E365" t="s">
        <v>14</v>
      </c>
      <c r="F365" t="s">
        <v>25</v>
      </c>
      <c r="G365" t="s">
        <v>33</v>
      </c>
      <c r="H365" t="s">
        <v>35</v>
      </c>
      <c r="I365" t="s">
        <v>49</v>
      </c>
      <c r="J365" s="7">
        <v>580.45000000000005</v>
      </c>
      <c r="K365" s="8">
        <v>8</v>
      </c>
      <c r="L365" s="7">
        <v>292.33999999999997</v>
      </c>
    </row>
    <row r="366" spans="1:12" x14ac:dyDescent="0.2">
      <c r="A366" s="2">
        <v>41620</v>
      </c>
      <c r="B366" s="8">
        <f>YEAR(Sales_data[[#This Row],[Order Date]])</f>
        <v>2013</v>
      </c>
      <c r="C366" s="8">
        <f>MONTH(Sales_data[[#This Row],[Order Date]])</f>
        <v>12</v>
      </c>
      <c r="D366" s="8" t="str">
        <f>TEXT(Sales_data[[#This Row],[Order Date]],"mmm")</f>
        <v>Dec</v>
      </c>
      <c r="E366" t="s">
        <v>12</v>
      </c>
      <c r="F366" t="s">
        <v>31</v>
      </c>
      <c r="G366" t="s">
        <v>34</v>
      </c>
      <c r="H366" t="s">
        <v>39</v>
      </c>
      <c r="I366" t="s">
        <v>52</v>
      </c>
      <c r="J366" s="7">
        <v>436.97</v>
      </c>
      <c r="K366" s="8">
        <v>6</v>
      </c>
      <c r="L366" s="7">
        <v>-164.22</v>
      </c>
    </row>
    <row r="367" spans="1:12" x14ac:dyDescent="0.2">
      <c r="A367" s="2">
        <v>41620</v>
      </c>
      <c r="B367" s="8">
        <f>YEAR(Sales_data[[#This Row],[Order Date]])</f>
        <v>2013</v>
      </c>
      <c r="C367" s="8">
        <f>MONTH(Sales_data[[#This Row],[Order Date]])</f>
        <v>12</v>
      </c>
      <c r="D367" s="8" t="str">
        <f>TEXT(Sales_data[[#This Row],[Order Date]],"mmm")</f>
        <v>Dec</v>
      </c>
      <c r="E367" t="s">
        <v>16</v>
      </c>
      <c r="F367" t="s">
        <v>25</v>
      </c>
      <c r="G367" t="s">
        <v>34</v>
      </c>
      <c r="H367" t="s">
        <v>37</v>
      </c>
      <c r="I367" t="s">
        <v>46</v>
      </c>
      <c r="J367" s="7">
        <v>1315.03</v>
      </c>
      <c r="K367" s="8">
        <v>6</v>
      </c>
      <c r="L367" s="7">
        <v>236.36</v>
      </c>
    </row>
    <row r="368" spans="1:12" x14ac:dyDescent="0.2">
      <c r="A368" s="2">
        <v>41621</v>
      </c>
      <c r="B368" s="8">
        <f>YEAR(Sales_data[[#This Row],[Order Date]])</f>
        <v>2013</v>
      </c>
      <c r="C368" s="8">
        <f>MONTH(Sales_data[[#This Row],[Order Date]])</f>
        <v>12</v>
      </c>
      <c r="D368" s="8" t="str">
        <f>TEXT(Sales_data[[#This Row],[Order Date]],"mmm")</f>
        <v>Dec</v>
      </c>
      <c r="E368" t="s">
        <v>13</v>
      </c>
      <c r="F368" t="s">
        <v>30</v>
      </c>
      <c r="G368" t="s">
        <v>32</v>
      </c>
      <c r="H368" t="s">
        <v>39</v>
      </c>
      <c r="I368" t="s">
        <v>45</v>
      </c>
      <c r="J368" s="7">
        <v>115.71</v>
      </c>
      <c r="K368" s="8">
        <v>2</v>
      </c>
      <c r="L368" s="7">
        <v>255.05</v>
      </c>
    </row>
    <row r="369" spans="1:12" x14ac:dyDescent="0.2">
      <c r="A369" s="2">
        <v>41622</v>
      </c>
      <c r="B369" s="8">
        <f>YEAR(Sales_data[[#This Row],[Order Date]])</f>
        <v>2013</v>
      </c>
      <c r="C369" s="8">
        <f>MONTH(Sales_data[[#This Row],[Order Date]])</f>
        <v>12</v>
      </c>
      <c r="D369" s="8" t="str">
        <f>TEXT(Sales_data[[#This Row],[Order Date]],"mmm")</f>
        <v>Dec</v>
      </c>
      <c r="E369" t="s">
        <v>21</v>
      </c>
      <c r="F369" t="s">
        <v>29</v>
      </c>
      <c r="G369" t="s">
        <v>32</v>
      </c>
      <c r="H369" t="s">
        <v>43</v>
      </c>
      <c r="I369" t="s">
        <v>45</v>
      </c>
      <c r="J369" s="7">
        <v>583.54</v>
      </c>
      <c r="K369" s="8">
        <v>4</v>
      </c>
      <c r="L369" s="7">
        <v>185.12</v>
      </c>
    </row>
    <row r="370" spans="1:12" x14ac:dyDescent="0.2">
      <c r="A370" s="2">
        <v>41624</v>
      </c>
      <c r="B370" s="8">
        <f>YEAR(Sales_data[[#This Row],[Order Date]])</f>
        <v>2013</v>
      </c>
      <c r="C370" s="8">
        <f>MONTH(Sales_data[[#This Row],[Order Date]])</f>
        <v>12</v>
      </c>
      <c r="D370" s="8" t="str">
        <f>TEXT(Sales_data[[#This Row],[Order Date]],"mmm")</f>
        <v>Dec</v>
      </c>
      <c r="E370" t="s">
        <v>21</v>
      </c>
      <c r="F370" t="s">
        <v>31</v>
      </c>
      <c r="G370" t="s">
        <v>32</v>
      </c>
      <c r="H370" t="s">
        <v>39</v>
      </c>
      <c r="I370" t="s">
        <v>45</v>
      </c>
      <c r="J370" s="7">
        <v>804.23</v>
      </c>
      <c r="K370" s="8">
        <v>2</v>
      </c>
      <c r="L370" s="7">
        <v>-39.19</v>
      </c>
    </row>
    <row r="371" spans="1:12" x14ac:dyDescent="0.2">
      <c r="A371" s="2">
        <v>41624</v>
      </c>
      <c r="B371" s="8">
        <f>YEAR(Sales_data[[#This Row],[Order Date]])</f>
        <v>2013</v>
      </c>
      <c r="C371" s="8">
        <f>MONTH(Sales_data[[#This Row],[Order Date]])</f>
        <v>12</v>
      </c>
      <c r="D371" s="8" t="str">
        <f>TEXT(Sales_data[[#This Row],[Order Date]],"mmm")</f>
        <v>Dec</v>
      </c>
      <c r="E371" t="s">
        <v>9</v>
      </c>
      <c r="F371" t="s">
        <v>30</v>
      </c>
      <c r="G371" t="s">
        <v>34</v>
      </c>
      <c r="H371" t="s">
        <v>36</v>
      </c>
      <c r="I371" t="s">
        <v>52</v>
      </c>
      <c r="J371" s="7">
        <v>1114.07</v>
      </c>
      <c r="K371" s="8">
        <v>1</v>
      </c>
      <c r="L371" s="7">
        <v>72.44</v>
      </c>
    </row>
    <row r="372" spans="1:12" x14ac:dyDescent="0.2">
      <c r="A372" s="2">
        <v>41630</v>
      </c>
      <c r="B372" s="8">
        <f>YEAR(Sales_data[[#This Row],[Order Date]])</f>
        <v>2013</v>
      </c>
      <c r="C372" s="8">
        <f>MONTH(Sales_data[[#This Row],[Order Date]])</f>
        <v>12</v>
      </c>
      <c r="D372" s="8" t="str">
        <f>TEXT(Sales_data[[#This Row],[Order Date]],"mmm")</f>
        <v>Dec</v>
      </c>
      <c r="E372" t="s">
        <v>20</v>
      </c>
      <c r="F372" t="s">
        <v>28</v>
      </c>
      <c r="G372" t="s">
        <v>32</v>
      </c>
      <c r="H372" t="s">
        <v>35</v>
      </c>
      <c r="I372" t="s">
        <v>47</v>
      </c>
      <c r="J372" s="7">
        <v>344.6</v>
      </c>
      <c r="K372" s="8">
        <v>8</v>
      </c>
      <c r="L372" s="7">
        <v>348.24</v>
      </c>
    </row>
    <row r="373" spans="1:12" x14ac:dyDescent="0.2">
      <c r="A373" s="2">
        <v>41631</v>
      </c>
      <c r="B373" s="8">
        <f>YEAR(Sales_data[[#This Row],[Order Date]])</f>
        <v>2013</v>
      </c>
      <c r="C373" s="8">
        <f>MONTH(Sales_data[[#This Row],[Order Date]])</f>
        <v>12</v>
      </c>
      <c r="D373" s="8" t="str">
        <f>TEXT(Sales_data[[#This Row],[Order Date]],"mmm")</f>
        <v>Dec</v>
      </c>
      <c r="E373" t="s">
        <v>9</v>
      </c>
      <c r="F373" t="s">
        <v>27</v>
      </c>
      <c r="G373" t="s">
        <v>33</v>
      </c>
      <c r="H373" t="s">
        <v>39</v>
      </c>
      <c r="I373" t="s">
        <v>48</v>
      </c>
      <c r="J373" s="7">
        <v>1102.2</v>
      </c>
      <c r="K373" s="8">
        <v>3</v>
      </c>
      <c r="L373" s="7">
        <v>-115.81</v>
      </c>
    </row>
    <row r="374" spans="1:12" x14ac:dyDescent="0.2">
      <c r="A374" s="2">
        <v>41632</v>
      </c>
      <c r="B374" s="8">
        <f>YEAR(Sales_data[[#This Row],[Order Date]])</f>
        <v>2013</v>
      </c>
      <c r="C374" s="8">
        <f>MONTH(Sales_data[[#This Row],[Order Date]])</f>
        <v>12</v>
      </c>
      <c r="D374" s="8" t="str">
        <f>TEXT(Sales_data[[#This Row],[Order Date]],"mmm")</f>
        <v>Dec</v>
      </c>
      <c r="E374" t="s">
        <v>18</v>
      </c>
      <c r="F374" t="s">
        <v>30</v>
      </c>
      <c r="G374" t="s">
        <v>33</v>
      </c>
      <c r="H374" t="s">
        <v>37</v>
      </c>
      <c r="I374" t="s">
        <v>46</v>
      </c>
      <c r="J374" s="7">
        <v>1014.46</v>
      </c>
      <c r="K374" s="8">
        <v>4</v>
      </c>
      <c r="L374" s="7">
        <v>210.03</v>
      </c>
    </row>
    <row r="375" spans="1:12" x14ac:dyDescent="0.2">
      <c r="A375" s="2">
        <v>41634</v>
      </c>
      <c r="B375" s="8">
        <f>YEAR(Sales_data[[#This Row],[Order Date]])</f>
        <v>2013</v>
      </c>
      <c r="C375" s="8">
        <f>MONTH(Sales_data[[#This Row],[Order Date]])</f>
        <v>12</v>
      </c>
      <c r="D375" s="8" t="str">
        <f>TEXT(Sales_data[[#This Row],[Order Date]],"mmm")</f>
        <v>Dec</v>
      </c>
      <c r="E375" t="s">
        <v>11</v>
      </c>
      <c r="F375" t="s">
        <v>23</v>
      </c>
      <c r="G375" t="s">
        <v>33</v>
      </c>
      <c r="H375" t="s">
        <v>43</v>
      </c>
      <c r="I375" t="s">
        <v>49</v>
      </c>
      <c r="J375" s="7">
        <v>28.6</v>
      </c>
      <c r="K375" s="8">
        <v>9</v>
      </c>
      <c r="L375" s="7">
        <v>-180.59</v>
      </c>
    </row>
    <row r="376" spans="1:12" x14ac:dyDescent="0.2">
      <c r="A376" s="2">
        <v>41637</v>
      </c>
      <c r="B376" s="8">
        <f>YEAR(Sales_data[[#This Row],[Order Date]])</f>
        <v>2013</v>
      </c>
      <c r="C376" s="8">
        <f>MONTH(Sales_data[[#This Row],[Order Date]])</f>
        <v>12</v>
      </c>
      <c r="D376" s="8" t="str">
        <f>TEXT(Sales_data[[#This Row],[Order Date]],"mmm")</f>
        <v>Dec</v>
      </c>
      <c r="E376" t="s">
        <v>15</v>
      </c>
      <c r="F376" t="s">
        <v>25</v>
      </c>
      <c r="G376" t="s">
        <v>32</v>
      </c>
      <c r="H376" t="s">
        <v>40</v>
      </c>
      <c r="I376" t="s">
        <v>44</v>
      </c>
      <c r="J376" s="7">
        <v>1556.83</v>
      </c>
      <c r="K376" s="8">
        <v>2</v>
      </c>
      <c r="L376" s="7">
        <v>155.47</v>
      </c>
    </row>
    <row r="377" spans="1:12" x14ac:dyDescent="0.2">
      <c r="A377" s="2">
        <v>41637</v>
      </c>
      <c r="B377" s="8">
        <f>YEAR(Sales_data[[#This Row],[Order Date]])</f>
        <v>2013</v>
      </c>
      <c r="C377" s="8">
        <f>MONTH(Sales_data[[#This Row],[Order Date]])</f>
        <v>12</v>
      </c>
      <c r="D377" s="8" t="str">
        <f>TEXT(Sales_data[[#This Row],[Order Date]],"mmm")</f>
        <v>Dec</v>
      </c>
      <c r="E377" t="s">
        <v>21</v>
      </c>
      <c r="F377" t="s">
        <v>25</v>
      </c>
      <c r="G377" t="s">
        <v>34</v>
      </c>
      <c r="H377" t="s">
        <v>40</v>
      </c>
      <c r="I377" t="s">
        <v>44</v>
      </c>
      <c r="J377" s="7">
        <v>73.81</v>
      </c>
      <c r="K377" s="8">
        <v>3</v>
      </c>
      <c r="L377" s="7">
        <v>-124.99</v>
      </c>
    </row>
    <row r="378" spans="1:12" x14ac:dyDescent="0.2">
      <c r="A378" s="2">
        <v>41638</v>
      </c>
      <c r="B378" s="8">
        <f>YEAR(Sales_data[[#This Row],[Order Date]])</f>
        <v>2013</v>
      </c>
      <c r="C378" s="8">
        <f>MONTH(Sales_data[[#This Row],[Order Date]])</f>
        <v>12</v>
      </c>
      <c r="D378" s="8" t="str">
        <f>TEXT(Sales_data[[#This Row],[Order Date]],"mmm")</f>
        <v>Dec</v>
      </c>
      <c r="E378" t="s">
        <v>16</v>
      </c>
      <c r="F378" t="s">
        <v>27</v>
      </c>
      <c r="G378" t="s">
        <v>34</v>
      </c>
      <c r="H378" t="s">
        <v>36</v>
      </c>
      <c r="I378" t="s">
        <v>48</v>
      </c>
      <c r="J378" s="7">
        <v>1520</v>
      </c>
      <c r="K378" s="8">
        <v>9</v>
      </c>
      <c r="L378" s="7">
        <v>-90.44</v>
      </c>
    </row>
    <row r="379" spans="1:12" x14ac:dyDescent="0.2">
      <c r="A379" s="2">
        <v>41639</v>
      </c>
      <c r="B379" s="8">
        <f>YEAR(Sales_data[[#This Row],[Order Date]])</f>
        <v>2013</v>
      </c>
      <c r="C379" s="8">
        <f>MONTH(Sales_data[[#This Row],[Order Date]])</f>
        <v>12</v>
      </c>
      <c r="D379" s="8" t="str">
        <f>TEXT(Sales_data[[#This Row],[Order Date]],"mmm")</f>
        <v>Dec</v>
      </c>
      <c r="E379" t="s">
        <v>21</v>
      </c>
      <c r="F379" t="s">
        <v>24</v>
      </c>
      <c r="G379" t="s">
        <v>34</v>
      </c>
      <c r="H379" t="s">
        <v>38</v>
      </c>
      <c r="I379" t="s">
        <v>50</v>
      </c>
      <c r="J379" s="7">
        <v>270.38</v>
      </c>
      <c r="K379" s="8">
        <v>7</v>
      </c>
      <c r="L379" s="7">
        <v>288.43</v>
      </c>
    </row>
    <row r="380" spans="1:12" x14ac:dyDescent="0.2">
      <c r="A380" s="2">
        <v>41639</v>
      </c>
      <c r="B380" s="8">
        <f>YEAR(Sales_data[[#This Row],[Order Date]])</f>
        <v>2013</v>
      </c>
      <c r="C380" s="8">
        <f>MONTH(Sales_data[[#This Row],[Order Date]])</f>
        <v>12</v>
      </c>
      <c r="D380" s="8" t="str">
        <f>TEXT(Sales_data[[#This Row],[Order Date]],"mmm")</f>
        <v>Dec</v>
      </c>
      <c r="E380" t="s">
        <v>12</v>
      </c>
      <c r="F380" t="s">
        <v>26</v>
      </c>
      <c r="G380" t="s">
        <v>32</v>
      </c>
      <c r="H380" t="s">
        <v>38</v>
      </c>
      <c r="I380" t="s">
        <v>47</v>
      </c>
      <c r="J380" s="7">
        <v>1682.49</v>
      </c>
      <c r="K380" s="8">
        <v>1</v>
      </c>
      <c r="L380" s="7">
        <v>357.88</v>
      </c>
    </row>
    <row r="381" spans="1:12" x14ac:dyDescent="0.2">
      <c r="A381" s="2">
        <v>41644</v>
      </c>
      <c r="B381" s="8">
        <f>YEAR(Sales_data[[#This Row],[Order Date]])</f>
        <v>2014</v>
      </c>
      <c r="C381" s="8">
        <f>MONTH(Sales_data[[#This Row],[Order Date]])</f>
        <v>1</v>
      </c>
      <c r="D381" s="8" t="str">
        <f>TEXT(Sales_data[[#This Row],[Order Date]],"mmm")</f>
        <v>Jan</v>
      </c>
      <c r="E381" t="s">
        <v>20</v>
      </c>
      <c r="F381" t="s">
        <v>30</v>
      </c>
      <c r="G381" t="s">
        <v>34</v>
      </c>
      <c r="H381" t="s">
        <v>35</v>
      </c>
      <c r="I381" t="s">
        <v>44</v>
      </c>
      <c r="J381" s="7">
        <v>1068.9100000000001</v>
      </c>
      <c r="K381" s="8">
        <v>5</v>
      </c>
      <c r="L381" s="7">
        <v>-154</v>
      </c>
    </row>
    <row r="382" spans="1:12" x14ac:dyDescent="0.2">
      <c r="A382" s="2">
        <v>41645</v>
      </c>
      <c r="B382" s="8">
        <f>YEAR(Sales_data[[#This Row],[Order Date]])</f>
        <v>2014</v>
      </c>
      <c r="C382" s="8">
        <f>MONTH(Sales_data[[#This Row],[Order Date]])</f>
        <v>1</v>
      </c>
      <c r="D382" s="8" t="str">
        <f>TEXT(Sales_data[[#This Row],[Order Date]],"mmm")</f>
        <v>Jan</v>
      </c>
      <c r="E382" t="s">
        <v>11</v>
      </c>
      <c r="F382" t="s">
        <v>22</v>
      </c>
      <c r="G382" t="s">
        <v>33</v>
      </c>
      <c r="H382" t="s">
        <v>36</v>
      </c>
      <c r="I382" t="s">
        <v>44</v>
      </c>
      <c r="J382" s="7">
        <v>472.35</v>
      </c>
      <c r="K382" s="8">
        <v>7</v>
      </c>
      <c r="L382" s="7">
        <v>337.24</v>
      </c>
    </row>
    <row r="383" spans="1:12" x14ac:dyDescent="0.2">
      <c r="A383" s="2">
        <v>41646</v>
      </c>
      <c r="B383" s="8">
        <f>YEAR(Sales_data[[#This Row],[Order Date]])</f>
        <v>2014</v>
      </c>
      <c r="C383" s="8">
        <f>MONTH(Sales_data[[#This Row],[Order Date]])</f>
        <v>1</v>
      </c>
      <c r="D383" s="8" t="str">
        <f>TEXT(Sales_data[[#This Row],[Order Date]],"mmm")</f>
        <v>Jan</v>
      </c>
      <c r="E383" t="s">
        <v>14</v>
      </c>
      <c r="F383" t="s">
        <v>23</v>
      </c>
      <c r="G383" t="s">
        <v>34</v>
      </c>
      <c r="H383" t="s">
        <v>39</v>
      </c>
      <c r="I383" t="s">
        <v>49</v>
      </c>
      <c r="J383" s="7">
        <v>554.27</v>
      </c>
      <c r="K383" s="8">
        <v>3</v>
      </c>
      <c r="L383" s="7">
        <v>262.26</v>
      </c>
    </row>
    <row r="384" spans="1:12" x14ac:dyDescent="0.2">
      <c r="A384" s="2">
        <v>41647</v>
      </c>
      <c r="B384" s="8">
        <f>YEAR(Sales_data[[#This Row],[Order Date]])</f>
        <v>2014</v>
      </c>
      <c r="C384" s="8">
        <f>MONTH(Sales_data[[#This Row],[Order Date]])</f>
        <v>1</v>
      </c>
      <c r="D384" s="8" t="str">
        <f>TEXT(Sales_data[[#This Row],[Order Date]],"mmm")</f>
        <v>Jan</v>
      </c>
      <c r="E384" t="s">
        <v>21</v>
      </c>
      <c r="F384" t="s">
        <v>22</v>
      </c>
      <c r="G384" t="s">
        <v>33</v>
      </c>
      <c r="H384" t="s">
        <v>42</v>
      </c>
      <c r="I384" t="s">
        <v>52</v>
      </c>
      <c r="J384" s="7">
        <v>153.82</v>
      </c>
      <c r="K384" s="8">
        <v>8</v>
      </c>
      <c r="L384" s="7">
        <v>8.51</v>
      </c>
    </row>
    <row r="385" spans="1:12" x14ac:dyDescent="0.2">
      <c r="A385" s="2">
        <v>41648</v>
      </c>
      <c r="B385" s="8">
        <f>YEAR(Sales_data[[#This Row],[Order Date]])</f>
        <v>2014</v>
      </c>
      <c r="C385" s="8">
        <f>MONTH(Sales_data[[#This Row],[Order Date]])</f>
        <v>1</v>
      </c>
      <c r="D385" s="8" t="str">
        <f>TEXT(Sales_data[[#This Row],[Order Date]],"mmm")</f>
        <v>Jan</v>
      </c>
      <c r="E385" t="s">
        <v>15</v>
      </c>
      <c r="F385" t="s">
        <v>22</v>
      </c>
      <c r="G385" t="s">
        <v>33</v>
      </c>
      <c r="H385" t="s">
        <v>40</v>
      </c>
      <c r="I385" t="s">
        <v>45</v>
      </c>
      <c r="J385" s="7">
        <v>992.08</v>
      </c>
      <c r="K385" s="8">
        <v>7</v>
      </c>
      <c r="L385" s="7">
        <v>153.09</v>
      </c>
    </row>
    <row r="386" spans="1:12" x14ac:dyDescent="0.2">
      <c r="A386" s="2">
        <v>41648</v>
      </c>
      <c r="B386" s="8">
        <f>YEAR(Sales_data[[#This Row],[Order Date]])</f>
        <v>2014</v>
      </c>
      <c r="C386" s="8">
        <f>MONTH(Sales_data[[#This Row],[Order Date]])</f>
        <v>1</v>
      </c>
      <c r="D386" s="8" t="str">
        <f>TEXT(Sales_data[[#This Row],[Order Date]],"mmm")</f>
        <v>Jan</v>
      </c>
      <c r="E386" t="s">
        <v>9</v>
      </c>
      <c r="F386" t="s">
        <v>30</v>
      </c>
      <c r="G386" t="s">
        <v>33</v>
      </c>
      <c r="H386" t="s">
        <v>35</v>
      </c>
      <c r="I386" t="s">
        <v>46</v>
      </c>
      <c r="J386" s="7">
        <v>1613.8</v>
      </c>
      <c r="K386" s="8">
        <v>1</v>
      </c>
      <c r="L386" s="7">
        <v>257.35000000000002</v>
      </c>
    </row>
    <row r="387" spans="1:12" x14ac:dyDescent="0.2">
      <c r="A387" s="2">
        <v>41650</v>
      </c>
      <c r="B387" s="8">
        <f>YEAR(Sales_data[[#This Row],[Order Date]])</f>
        <v>2014</v>
      </c>
      <c r="C387" s="8">
        <f>MONTH(Sales_data[[#This Row],[Order Date]])</f>
        <v>1</v>
      </c>
      <c r="D387" s="8" t="str">
        <f>TEXT(Sales_data[[#This Row],[Order Date]],"mmm")</f>
        <v>Jan</v>
      </c>
      <c r="E387" t="s">
        <v>19</v>
      </c>
      <c r="F387" t="s">
        <v>25</v>
      </c>
      <c r="G387" t="s">
        <v>32</v>
      </c>
      <c r="H387" t="s">
        <v>35</v>
      </c>
      <c r="I387" t="s">
        <v>48</v>
      </c>
      <c r="J387" s="7">
        <v>1104.46</v>
      </c>
      <c r="K387" s="8">
        <v>7</v>
      </c>
      <c r="L387" s="7">
        <v>50</v>
      </c>
    </row>
    <row r="388" spans="1:12" x14ac:dyDescent="0.2">
      <c r="A388" s="2">
        <v>41650</v>
      </c>
      <c r="B388" s="8">
        <f>YEAR(Sales_data[[#This Row],[Order Date]])</f>
        <v>2014</v>
      </c>
      <c r="C388" s="8">
        <f>MONTH(Sales_data[[#This Row],[Order Date]])</f>
        <v>1</v>
      </c>
      <c r="D388" s="8" t="str">
        <f>TEXT(Sales_data[[#This Row],[Order Date]],"mmm")</f>
        <v>Jan</v>
      </c>
      <c r="E388" t="s">
        <v>19</v>
      </c>
      <c r="F388" t="s">
        <v>23</v>
      </c>
      <c r="G388" t="s">
        <v>34</v>
      </c>
      <c r="H388" t="s">
        <v>42</v>
      </c>
      <c r="I388" t="s">
        <v>53</v>
      </c>
      <c r="J388" s="7">
        <v>159.29</v>
      </c>
      <c r="K388" s="8">
        <v>4</v>
      </c>
      <c r="L388" s="7">
        <v>307.17</v>
      </c>
    </row>
    <row r="389" spans="1:12" x14ac:dyDescent="0.2">
      <c r="A389" s="2">
        <v>41651</v>
      </c>
      <c r="B389" s="8">
        <f>YEAR(Sales_data[[#This Row],[Order Date]])</f>
        <v>2014</v>
      </c>
      <c r="C389" s="8">
        <f>MONTH(Sales_data[[#This Row],[Order Date]])</f>
        <v>1</v>
      </c>
      <c r="D389" s="8" t="str">
        <f>TEXT(Sales_data[[#This Row],[Order Date]],"mmm")</f>
        <v>Jan</v>
      </c>
      <c r="E389" t="s">
        <v>12</v>
      </c>
      <c r="F389" t="s">
        <v>30</v>
      </c>
      <c r="G389" t="s">
        <v>33</v>
      </c>
      <c r="H389" t="s">
        <v>39</v>
      </c>
      <c r="I389" t="s">
        <v>47</v>
      </c>
      <c r="J389" s="7">
        <v>1812.84</v>
      </c>
      <c r="K389" s="8">
        <v>3</v>
      </c>
      <c r="L389" s="7">
        <v>74.95</v>
      </c>
    </row>
    <row r="390" spans="1:12" x14ac:dyDescent="0.2">
      <c r="A390" s="2">
        <v>41653</v>
      </c>
      <c r="B390" s="8">
        <f>YEAR(Sales_data[[#This Row],[Order Date]])</f>
        <v>2014</v>
      </c>
      <c r="C390" s="8">
        <f>MONTH(Sales_data[[#This Row],[Order Date]])</f>
        <v>1</v>
      </c>
      <c r="D390" s="8" t="str">
        <f>TEXT(Sales_data[[#This Row],[Order Date]],"mmm")</f>
        <v>Jan</v>
      </c>
      <c r="E390" t="s">
        <v>17</v>
      </c>
      <c r="F390" t="s">
        <v>23</v>
      </c>
      <c r="G390" t="s">
        <v>32</v>
      </c>
      <c r="H390" t="s">
        <v>36</v>
      </c>
      <c r="I390" t="s">
        <v>53</v>
      </c>
      <c r="J390" s="7">
        <v>1158.3399999999999</v>
      </c>
      <c r="K390" s="8">
        <v>3</v>
      </c>
      <c r="L390" s="7">
        <v>-148.72</v>
      </c>
    </row>
    <row r="391" spans="1:12" x14ac:dyDescent="0.2">
      <c r="A391" s="2">
        <v>41654</v>
      </c>
      <c r="B391" s="8">
        <f>YEAR(Sales_data[[#This Row],[Order Date]])</f>
        <v>2014</v>
      </c>
      <c r="C391" s="8">
        <f>MONTH(Sales_data[[#This Row],[Order Date]])</f>
        <v>1</v>
      </c>
      <c r="D391" s="8" t="str">
        <f>TEXT(Sales_data[[#This Row],[Order Date]],"mmm")</f>
        <v>Jan</v>
      </c>
      <c r="E391" t="s">
        <v>14</v>
      </c>
      <c r="F391" t="s">
        <v>23</v>
      </c>
      <c r="G391" t="s">
        <v>34</v>
      </c>
      <c r="H391" t="s">
        <v>40</v>
      </c>
      <c r="I391" t="s">
        <v>48</v>
      </c>
      <c r="J391" s="7">
        <v>958.47</v>
      </c>
      <c r="K391" s="8">
        <v>6</v>
      </c>
      <c r="L391" s="7">
        <v>46.7</v>
      </c>
    </row>
    <row r="392" spans="1:12" x14ac:dyDescent="0.2">
      <c r="A392" s="2">
        <v>41654</v>
      </c>
      <c r="B392" s="8">
        <f>YEAR(Sales_data[[#This Row],[Order Date]])</f>
        <v>2014</v>
      </c>
      <c r="C392" s="8">
        <f>MONTH(Sales_data[[#This Row],[Order Date]])</f>
        <v>1</v>
      </c>
      <c r="D392" s="8" t="str">
        <f>TEXT(Sales_data[[#This Row],[Order Date]],"mmm")</f>
        <v>Jan</v>
      </c>
      <c r="E392" t="s">
        <v>12</v>
      </c>
      <c r="F392" t="s">
        <v>24</v>
      </c>
      <c r="G392" t="s">
        <v>32</v>
      </c>
      <c r="H392" t="s">
        <v>39</v>
      </c>
      <c r="I392" t="s">
        <v>47</v>
      </c>
      <c r="J392" s="7">
        <v>1770.5</v>
      </c>
      <c r="K392" s="8">
        <v>8</v>
      </c>
      <c r="L392" s="7">
        <v>-21.85</v>
      </c>
    </row>
    <row r="393" spans="1:12" x14ac:dyDescent="0.2">
      <c r="A393" s="2">
        <v>41659</v>
      </c>
      <c r="B393" s="8">
        <f>YEAR(Sales_data[[#This Row],[Order Date]])</f>
        <v>2014</v>
      </c>
      <c r="C393" s="8">
        <f>MONTH(Sales_data[[#This Row],[Order Date]])</f>
        <v>1</v>
      </c>
      <c r="D393" s="8" t="str">
        <f>TEXT(Sales_data[[#This Row],[Order Date]],"mmm")</f>
        <v>Jan</v>
      </c>
      <c r="E393" t="s">
        <v>21</v>
      </c>
      <c r="F393" t="s">
        <v>27</v>
      </c>
      <c r="G393" t="s">
        <v>33</v>
      </c>
      <c r="H393" t="s">
        <v>41</v>
      </c>
      <c r="I393" t="s">
        <v>47</v>
      </c>
      <c r="J393" s="7">
        <v>1158.1500000000001</v>
      </c>
      <c r="K393" s="8">
        <v>2</v>
      </c>
      <c r="L393" s="7">
        <v>184.25</v>
      </c>
    </row>
    <row r="394" spans="1:12" x14ac:dyDescent="0.2">
      <c r="A394" s="2">
        <v>41659</v>
      </c>
      <c r="B394" s="8">
        <f>YEAR(Sales_data[[#This Row],[Order Date]])</f>
        <v>2014</v>
      </c>
      <c r="C394" s="8">
        <f>MONTH(Sales_data[[#This Row],[Order Date]])</f>
        <v>1</v>
      </c>
      <c r="D394" s="8" t="str">
        <f>TEXT(Sales_data[[#This Row],[Order Date]],"mmm")</f>
        <v>Jan</v>
      </c>
      <c r="E394" t="s">
        <v>14</v>
      </c>
      <c r="F394" t="s">
        <v>27</v>
      </c>
      <c r="G394" t="s">
        <v>32</v>
      </c>
      <c r="H394" t="s">
        <v>38</v>
      </c>
      <c r="I394" t="s">
        <v>44</v>
      </c>
      <c r="J394" s="7">
        <v>1194.76</v>
      </c>
      <c r="K394" s="8">
        <v>6</v>
      </c>
      <c r="L394" s="7">
        <v>193.43</v>
      </c>
    </row>
    <row r="395" spans="1:12" x14ac:dyDescent="0.2">
      <c r="A395" s="2">
        <v>41660</v>
      </c>
      <c r="B395" s="8">
        <f>YEAR(Sales_data[[#This Row],[Order Date]])</f>
        <v>2014</v>
      </c>
      <c r="C395" s="8">
        <f>MONTH(Sales_data[[#This Row],[Order Date]])</f>
        <v>1</v>
      </c>
      <c r="D395" s="8" t="str">
        <f>TEXT(Sales_data[[#This Row],[Order Date]],"mmm")</f>
        <v>Jan</v>
      </c>
      <c r="E395" t="s">
        <v>16</v>
      </c>
      <c r="F395" t="s">
        <v>26</v>
      </c>
      <c r="G395" t="s">
        <v>32</v>
      </c>
      <c r="H395" t="s">
        <v>40</v>
      </c>
      <c r="I395" t="s">
        <v>47</v>
      </c>
      <c r="J395" s="7">
        <v>1011.41</v>
      </c>
      <c r="K395" s="8">
        <v>1</v>
      </c>
      <c r="L395" s="7">
        <v>72.36</v>
      </c>
    </row>
    <row r="396" spans="1:12" x14ac:dyDescent="0.2">
      <c r="A396" s="2">
        <v>41660</v>
      </c>
      <c r="B396" s="8">
        <f>YEAR(Sales_data[[#This Row],[Order Date]])</f>
        <v>2014</v>
      </c>
      <c r="C396" s="8">
        <f>MONTH(Sales_data[[#This Row],[Order Date]])</f>
        <v>1</v>
      </c>
      <c r="D396" s="8" t="str">
        <f>TEXT(Sales_data[[#This Row],[Order Date]],"mmm")</f>
        <v>Jan</v>
      </c>
      <c r="E396" t="s">
        <v>10</v>
      </c>
      <c r="F396" t="s">
        <v>30</v>
      </c>
      <c r="G396" t="s">
        <v>34</v>
      </c>
      <c r="H396" t="s">
        <v>37</v>
      </c>
      <c r="I396" t="s">
        <v>48</v>
      </c>
      <c r="J396" s="7">
        <v>788.84</v>
      </c>
      <c r="K396" s="8">
        <v>3</v>
      </c>
      <c r="L396" s="7">
        <v>-81.13</v>
      </c>
    </row>
    <row r="397" spans="1:12" x14ac:dyDescent="0.2">
      <c r="A397" s="2">
        <v>41661</v>
      </c>
      <c r="B397" s="8">
        <f>YEAR(Sales_data[[#This Row],[Order Date]])</f>
        <v>2014</v>
      </c>
      <c r="C397" s="8">
        <f>MONTH(Sales_data[[#This Row],[Order Date]])</f>
        <v>1</v>
      </c>
      <c r="D397" s="8" t="str">
        <f>TEXT(Sales_data[[#This Row],[Order Date]],"mmm")</f>
        <v>Jan</v>
      </c>
      <c r="E397" t="s">
        <v>10</v>
      </c>
      <c r="F397" t="s">
        <v>26</v>
      </c>
      <c r="G397" t="s">
        <v>32</v>
      </c>
      <c r="H397" t="s">
        <v>36</v>
      </c>
      <c r="I397" t="s">
        <v>46</v>
      </c>
      <c r="J397" s="7">
        <v>1221.9100000000001</v>
      </c>
      <c r="K397" s="8">
        <v>1</v>
      </c>
      <c r="L397" s="7">
        <v>59.43</v>
      </c>
    </row>
    <row r="398" spans="1:12" x14ac:dyDescent="0.2">
      <c r="A398" s="2">
        <v>41662</v>
      </c>
      <c r="B398" s="8">
        <f>YEAR(Sales_data[[#This Row],[Order Date]])</f>
        <v>2014</v>
      </c>
      <c r="C398" s="8">
        <f>MONTH(Sales_data[[#This Row],[Order Date]])</f>
        <v>1</v>
      </c>
      <c r="D398" s="8" t="str">
        <f>TEXT(Sales_data[[#This Row],[Order Date]],"mmm")</f>
        <v>Jan</v>
      </c>
      <c r="E398" t="s">
        <v>21</v>
      </c>
      <c r="F398" t="s">
        <v>31</v>
      </c>
      <c r="G398" t="s">
        <v>34</v>
      </c>
      <c r="H398" t="s">
        <v>35</v>
      </c>
      <c r="I398" t="s">
        <v>48</v>
      </c>
      <c r="J398" s="7">
        <v>117.33</v>
      </c>
      <c r="K398" s="8">
        <v>9</v>
      </c>
      <c r="L398" s="7">
        <v>-65.099999999999994</v>
      </c>
    </row>
    <row r="399" spans="1:12" x14ac:dyDescent="0.2">
      <c r="A399" s="2">
        <v>41663</v>
      </c>
      <c r="B399" s="8">
        <f>YEAR(Sales_data[[#This Row],[Order Date]])</f>
        <v>2014</v>
      </c>
      <c r="C399" s="8">
        <f>MONTH(Sales_data[[#This Row],[Order Date]])</f>
        <v>1</v>
      </c>
      <c r="D399" s="8" t="str">
        <f>TEXT(Sales_data[[#This Row],[Order Date]],"mmm")</f>
        <v>Jan</v>
      </c>
      <c r="E399" t="s">
        <v>20</v>
      </c>
      <c r="F399" t="s">
        <v>24</v>
      </c>
      <c r="G399" t="s">
        <v>33</v>
      </c>
      <c r="H399" t="s">
        <v>42</v>
      </c>
      <c r="I399" t="s">
        <v>48</v>
      </c>
      <c r="J399" s="7">
        <v>1399.17</v>
      </c>
      <c r="K399" s="8">
        <v>1</v>
      </c>
      <c r="L399" s="7">
        <v>52.64</v>
      </c>
    </row>
    <row r="400" spans="1:12" x14ac:dyDescent="0.2">
      <c r="A400" s="2">
        <v>41663</v>
      </c>
      <c r="B400" s="8">
        <f>YEAR(Sales_data[[#This Row],[Order Date]])</f>
        <v>2014</v>
      </c>
      <c r="C400" s="8">
        <f>MONTH(Sales_data[[#This Row],[Order Date]])</f>
        <v>1</v>
      </c>
      <c r="D400" s="8" t="str">
        <f>TEXT(Sales_data[[#This Row],[Order Date]],"mmm")</f>
        <v>Jan</v>
      </c>
      <c r="E400" t="s">
        <v>10</v>
      </c>
      <c r="F400" t="s">
        <v>27</v>
      </c>
      <c r="G400" t="s">
        <v>33</v>
      </c>
      <c r="H400" t="s">
        <v>35</v>
      </c>
      <c r="I400" t="s">
        <v>44</v>
      </c>
      <c r="J400" s="7">
        <v>825.58</v>
      </c>
      <c r="K400" s="8">
        <v>2</v>
      </c>
      <c r="L400" s="7">
        <v>284.61</v>
      </c>
    </row>
    <row r="401" spans="1:12" x14ac:dyDescent="0.2">
      <c r="A401" s="2">
        <v>41664</v>
      </c>
      <c r="B401" s="8">
        <f>YEAR(Sales_data[[#This Row],[Order Date]])</f>
        <v>2014</v>
      </c>
      <c r="C401" s="8">
        <f>MONTH(Sales_data[[#This Row],[Order Date]])</f>
        <v>1</v>
      </c>
      <c r="D401" s="8" t="str">
        <f>TEXT(Sales_data[[#This Row],[Order Date]],"mmm")</f>
        <v>Jan</v>
      </c>
      <c r="E401" t="s">
        <v>13</v>
      </c>
      <c r="F401" t="s">
        <v>28</v>
      </c>
      <c r="G401" t="s">
        <v>33</v>
      </c>
      <c r="H401" t="s">
        <v>37</v>
      </c>
      <c r="I401" t="s">
        <v>49</v>
      </c>
      <c r="J401" s="7">
        <v>264.42</v>
      </c>
      <c r="K401" s="8">
        <v>6</v>
      </c>
      <c r="L401" s="7">
        <v>-138.56</v>
      </c>
    </row>
    <row r="402" spans="1:12" x14ac:dyDescent="0.2">
      <c r="A402" s="2">
        <v>41665</v>
      </c>
      <c r="B402" s="8">
        <f>YEAR(Sales_data[[#This Row],[Order Date]])</f>
        <v>2014</v>
      </c>
      <c r="C402" s="8">
        <f>MONTH(Sales_data[[#This Row],[Order Date]])</f>
        <v>1</v>
      </c>
      <c r="D402" s="8" t="str">
        <f>TEXT(Sales_data[[#This Row],[Order Date]],"mmm")</f>
        <v>Jan</v>
      </c>
      <c r="E402" t="s">
        <v>20</v>
      </c>
      <c r="F402" t="s">
        <v>28</v>
      </c>
      <c r="G402" t="s">
        <v>33</v>
      </c>
      <c r="H402" t="s">
        <v>43</v>
      </c>
      <c r="I402" t="s">
        <v>49</v>
      </c>
      <c r="J402" s="7">
        <v>210.61</v>
      </c>
      <c r="K402" s="8">
        <v>1</v>
      </c>
      <c r="L402" s="7">
        <v>-70.59</v>
      </c>
    </row>
    <row r="403" spans="1:12" x14ac:dyDescent="0.2">
      <c r="A403" s="2">
        <v>41665</v>
      </c>
      <c r="B403" s="8">
        <f>YEAR(Sales_data[[#This Row],[Order Date]])</f>
        <v>2014</v>
      </c>
      <c r="C403" s="8">
        <f>MONTH(Sales_data[[#This Row],[Order Date]])</f>
        <v>1</v>
      </c>
      <c r="D403" s="8" t="str">
        <f>TEXT(Sales_data[[#This Row],[Order Date]],"mmm")</f>
        <v>Jan</v>
      </c>
      <c r="E403" t="s">
        <v>10</v>
      </c>
      <c r="F403" t="s">
        <v>31</v>
      </c>
      <c r="G403" t="s">
        <v>32</v>
      </c>
      <c r="H403" t="s">
        <v>40</v>
      </c>
      <c r="I403" t="s">
        <v>53</v>
      </c>
      <c r="J403" s="7">
        <v>1228.21</v>
      </c>
      <c r="K403" s="8">
        <v>4</v>
      </c>
      <c r="L403" s="7">
        <v>279.76</v>
      </c>
    </row>
    <row r="404" spans="1:12" x14ac:dyDescent="0.2">
      <c r="A404" s="2">
        <v>41666</v>
      </c>
      <c r="B404" s="8">
        <f>YEAR(Sales_data[[#This Row],[Order Date]])</f>
        <v>2014</v>
      </c>
      <c r="C404" s="8">
        <f>MONTH(Sales_data[[#This Row],[Order Date]])</f>
        <v>1</v>
      </c>
      <c r="D404" s="8" t="str">
        <f>TEXT(Sales_data[[#This Row],[Order Date]],"mmm")</f>
        <v>Jan</v>
      </c>
      <c r="E404" t="s">
        <v>21</v>
      </c>
      <c r="F404" t="s">
        <v>22</v>
      </c>
      <c r="G404" t="s">
        <v>33</v>
      </c>
      <c r="H404" t="s">
        <v>35</v>
      </c>
      <c r="I404" t="s">
        <v>47</v>
      </c>
      <c r="J404" s="7">
        <v>1312.7</v>
      </c>
      <c r="K404" s="8">
        <v>7</v>
      </c>
      <c r="L404" s="7">
        <v>-140.79</v>
      </c>
    </row>
    <row r="405" spans="1:12" x14ac:dyDescent="0.2">
      <c r="A405" s="2">
        <v>41667</v>
      </c>
      <c r="B405" s="8">
        <f>YEAR(Sales_data[[#This Row],[Order Date]])</f>
        <v>2014</v>
      </c>
      <c r="C405" s="8">
        <f>MONTH(Sales_data[[#This Row],[Order Date]])</f>
        <v>1</v>
      </c>
      <c r="D405" s="8" t="str">
        <f>TEXT(Sales_data[[#This Row],[Order Date]],"mmm")</f>
        <v>Jan</v>
      </c>
      <c r="E405" t="s">
        <v>14</v>
      </c>
      <c r="F405" t="s">
        <v>24</v>
      </c>
      <c r="G405" t="s">
        <v>33</v>
      </c>
      <c r="H405" t="s">
        <v>38</v>
      </c>
      <c r="I405" t="s">
        <v>46</v>
      </c>
      <c r="J405" s="7">
        <v>1382.74</v>
      </c>
      <c r="K405" s="8">
        <v>9</v>
      </c>
      <c r="L405" s="7">
        <v>113.21</v>
      </c>
    </row>
    <row r="406" spans="1:12" x14ac:dyDescent="0.2">
      <c r="A406" s="2">
        <v>41670</v>
      </c>
      <c r="B406" s="8">
        <f>YEAR(Sales_data[[#This Row],[Order Date]])</f>
        <v>2014</v>
      </c>
      <c r="C406" s="8">
        <f>MONTH(Sales_data[[#This Row],[Order Date]])</f>
        <v>1</v>
      </c>
      <c r="D406" s="8" t="str">
        <f>TEXT(Sales_data[[#This Row],[Order Date]],"mmm")</f>
        <v>Jan</v>
      </c>
      <c r="E406" t="s">
        <v>10</v>
      </c>
      <c r="F406" t="s">
        <v>29</v>
      </c>
      <c r="G406" t="s">
        <v>33</v>
      </c>
      <c r="H406" t="s">
        <v>39</v>
      </c>
      <c r="I406" t="s">
        <v>51</v>
      </c>
      <c r="J406" s="7">
        <v>1124.19</v>
      </c>
      <c r="K406" s="8">
        <v>6</v>
      </c>
      <c r="L406" s="7">
        <v>282.57</v>
      </c>
    </row>
    <row r="407" spans="1:12" x14ac:dyDescent="0.2">
      <c r="A407" s="2">
        <v>41670</v>
      </c>
      <c r="B407" s="8">
        <f>YEAR(Sales_data[[#This Row],[Order Date]])</f>
        <v>2014</v>
      </c>
      <c r="C407" s="8">
        <f>MONTH(Sales_data[[#This Row],[Order Date]])</f>
        <v>1</v>
      </c>
      <c r="D407" s="8" t="str">
        <f>TEXT(Sales_data[[#This Row],[Order Date]],"mmm")</f>
        <v>Jan</v>
      </c>
      <c r="E407" t="s">
        <v>11</v>
      </c>
      <c r="F407" t="s">
        <v>27</v>
      </c>
      <c r="G407" t="s">
        <v>34</v>
      </c>
      <c r="H407" t="s">
        <v>39</v>
      </c>
      <c r="I407" t="s">
        <v>47</v>
      </c>
      <c r="J407" s="7">
        <v>1849.47</v>
      </c>
      <c r="K407" s="8">
        <v>6</v>
      </c>
      <c r="L407" s="7">
        <v>320.77999999999997</v>
      </c>
    </row>
    <row r="408" spans="1:12" x14ac:dyDescent="0.2">
      <c r="A408" s="2">
        <v>41670</v>
      </c>
      <c r="B408" s="8">
        <f>YEAR(Sales_data[[#This Row],[Order Date]])</f>
        <v>2014</v>
      </c>
      <c r="C408" s="8">
        <f>MONTH(Sales_data[[#This Row],[Order Date]])</f>
        <v>1</v>
      </c>
      <c r="D408" s="8" t="str">
        <f>TEXT(Sales_data[[#This Row],[Order Date]],"mmm")</f>
        <v>Jan</v>
      </c>
      <c r="E408" t="s">
        <v>21</v>
      </c>
      <c r="F408" t="s">
        <v>23</v>
      </c>
      <c r="G408" t="s">
        <v>32</v>
      </c>
      <c r="H408" t="s">
        <v>35</v>
      </c>
      <c r="I408" t="s">
        <v>44</v>
      </c>
      <c r="J408" s="7">
        <v>1228.5</v>
      </c>
      <c r="K408" s="8">
        <v>5</v>
      </c>
      <c r="L408" s="7">
        <v>-118.72</v>
      </c>
    </row>
    <row r="409" spans="1:12" x14ac:dyDescent="0.2">
      <c r="A409" s="2">
        <v>41670</v>
      </c>
      <c r="B409" s="8">
        <f>YEAR(Sales_data[[#This Row],[Order Date]])</f>
        <v>2014</v>
      </c>
      <c r="C409" s="8">
        <f>MONTH(Sales_data[[#This Row],[Order Date]])</f>
        <v>1</v>
      </c>
      <c r="D409" s="8" t="str">
        <f>TEXT(Sales_data[[#This Row],[Order Date]],"mmm")</f>
        <v>Jan</v>
      </c>
      <c r="E409" t="s">
        <v>14</v>
      </c>
      <c r="F409" t="s">
        <v>29</v>
      </c>
      <c r="G409" t="s">
        <v>32</v>
      </c>
      <c r="H409" t="s">
        <v>38</v>
      </c>
      <c r="I409" t="s">
        <v>50</v>
      </c>
      <c r="J409" s="7">
        <v>1823.36</v>
      </c>
      <c r="K409" s="8">
        <v>8</v>
      </c>
      <c r="L409" s="7">
        <v>69.709999999999994</v>
      </c>
    </row>
    <row r="410" spans="1:12" x14ac:dyDescent="0.2">
      <c r="A410" s="2">
        <v>41671</v>
      </c>
      <c r="B410" s="8">
        <f>YEAR(Sales_data[[#This Row],[Order Date]])</f>
        <v>2014</v>
      </c>
      <c r="C410" s="8">
        <f>MONTH(Sales_data[[#This Row],[Order Date]])</f>
        <v>2</v>
      </c>
      <c r="D410" s="8" t="str">
        <f>TEXT(Sales_data[[#This Row],[Order Date]],"mmm")</f>
        <v>Feb</v>
      </c>
      <c r="E410" t="s">
        <v>17</v>
      </c>
      <c r="F410" t="s">
        <v>24</v>
      </c>
      <c r="G410" t="s">
        <v>33</v>
      </c>
      <c r="H410" t="s">
        <v>42</v>
      </c>
      <c r="I410" t="s">
        <v>52</v>
      </c>
      <c r="J410" s="7">
        <v>779.12</v>
      </c>
      <c r="K410" s="8">
        <v>3</v>
      </c>
      <c r="L410" s="7">
        <v>-71.28</v>
      </c>
    </row>
    <row r="411" spans="1:12" x14ac:dyDescent="0.2">
      <c r="A411" s="2">
        <v>41671</v>
      </c>
      <c r="B411" s="8">
        <f>YEAR(Sales_data[[#This Row],[Order Date]])</f>
        <v>2014</v>
      </c>
      <c r="C411" s="8">
        <f>MONTH(Sales_data[[#This Row],[Order Date]])</f>
        <v>2</v>
      </c>
      <c r="D411" s="8" t="str">
        <f>TEXT(Sales_data[[#This Row],[Order Date]],"mmm")</f>
        <v>Feb</v>
      </c>
      <c r="E411" t="s">
        <v>19</v>
      </c>
      <c r="F411" t="s">
        <v>28</v>
      </c>
      <c r="G411" t="s">
        <v>33</v>
      </c>
      <c r="H411" t="s">
        <v>40</v>
      </c>
      <c r="I411" t="s">
        <v>46</v>
      </c>
      <c r="J411" s="7">
        <v>926.53</v>
      </c>
      <c r="K411" s="8">
        <v>2</v>
      </c>
      <c r="L411" s="7">
        <v>222.03</v>
      </c>
    </row>
    <row r="412" spans="1:12" x14ac:dyDescent="0.2">
      <c r="A412" s="2">
        <v>41672</v>
      </c>
      <c r="B412" s="8">
        <f>YEAR(Sales_data[[#This Row],[Order Date]])</f>
        <v>2014</v>
      </c>
      <c r="C412" s="8">
        <f>MONTH(Sales_data[[#This Row],[Order Date]])</f>
        <v>2</v>
      </c>
      <c r="D412" s="8" t="str">
        <f>TEXT(Sales_data[[#This Row],[Order Date]],"mmm")</f>
        <v>Feb</v>
      </c>
      <c r="E412" t="s">
        <v>12</v>
      </c>
      <c r="F412" t="s">
        <v>31</v>
      </c>
      <c r="G412" t="s">
        <v>32</v>
      </c>
      <c r="H412" t="s">
        <v>40</v>
      </c>
      <c r="I412" t="s">
        <v>45</v>
      </c>
      <c r="J412" s="7">
        <v>1841.03</v>
      </c>
      <c r="K412" s="8">
        <v>5</v>
      </c>
      <c r="L412" s="7">
        <v>242.91</v>
      </c>
    </row>
    <row r="413" spans="1:12" x14ac:dyDescent="0.2">
      <c r="A413" s="2">
        <v>41672</v>
      </c>
      <c r="B413" s="8">
        <f>YEAR(Sales_data[[#This Row],[Order Date]])</f>
        <v>2014</v>
      </c>
      <c r="C413" s="8">
        <f>MONTH(Sales_data[[#This Row],[Order Date]])</f>
        <v>2</v>
      </c>
      <c r="D413" s="8" t="str">
        <f>TEXT(Sales_data[[#This Row],[Order Date]],"mmm")</f>
        <v>Feb</v>
      </c>
      <c r="E413" t="s">
        <v>16</v>
      </c>
      <c r="F413" t="s">
        <v>26</v>
      </c>
      <c r="G413" t="s">
        <v>34</v>
      </c>
      <c r="H413" t="s">
        <v>40</v>
      </c>
      <c r="I413" t="s">
        <v>52</v>
      </c>
      <c r="J413" s="7">
        <v>1706.81</v>
      </c>
      <c r="K413" s="8">
        <v>3</v>
      </c>
      <c r="L413" s="7">
        <v>312.73</v>
      </c>
    </row>
    <row r="414" spans="1:12" x14ac:dyDescent="0.2">
      <c r="A414" s="2">
        <v>41672</v>
      </c>
      <c r="B414" s="8">
        <f>YEAR(Sales_data[[#This Row],[Order Date]])</f>
        <v>2014</v>
      </c>
      <c r="C414" s="8">
        <f>MONTH(Sales_data[[#This Row],[Order Date]])</f>
        <v>2</v>
      </c>
      <c r="D414" s="8" t="str">
        <f>TEXT(Sales_data[[#This Row],[Order Date]],"mmm")</f>
        <v>Feb</v>
      </c>
      <c r="E414" t="s">
        <v>19</v>
      </c>
      <c r="F414" t="s">
        <v>31</v>
      </c>
      <c r="G414" t="s">
        <v>33</v>
      </c>
      <c r="H414" t="s">
        <v>38</v>
      </c>
      <c r="I414" t="s">
        <v>44</v>
      </c>
      <c r="J414" s="7">
        <v>1453.88</v>
      </c>
      <c r="K414" s="8">
        <v>6</v>
      </c>
      <c r="L414" s="7">
        <v>245.56</v>
      </c>
    </row>
    <row r="415" spans="1:12" x14ac:dyDescent="0.2">
      <c r="A415" s="2">
        <v>41673</v>
      </c>
      <c r="B415" s="8">
        <f>YEAR(Sales_data[[#This Row],[Order Date]])</f>
        <v>2014</v>
      </c>
      <c r="C415" s="8">
        <f>MONTH(Sales_data[[#This Row],[Order Date]])</f>
        <v>2</v>
      </c>
      <c r="D415" s="8" t="str">
        <f>TEXT(Sales_data[[#This Row],[Order Date]],"mmm")</f>
        <v>Feb</v>
      </c>
      <c r="E415" t="s">
        <v>9</v>
      </c>
      <c r="F415" t="s">
        <v>29</v>
      </c>
      <c r="G415" t="s">
        <v>33</v>
      </c>
      <c r="H415" t="s">
        <v>36</v>
      </c>
      <c r="I415" t="s">
        <v>50</v>
      </c>
      <c r="J415" s="7">
        <v>1100</v>
      </c>
      <c r="K415" s="8">
        <v>5</v>
      </c>
      <c r="L415" s="7">
        <v>-186.78</v>
      </c>
    </row>
    <row r="416" spans="1:12" x14ac:dyDescent="0.2">
      <c r="A416" s="2">
        <v>41674</v>
      </c>
      <c r="B416" s="8">
        <f>YEAR(Sales_data[[#This Row],[Order Date]])</f>
        <v>2014</v>
      </c>
      <c r="C416" s="8">
        <f>MONTH(Sales_data[[#This Row],[Order Date]])</f>
        <v>2</v>
      </c>
      <c r="D416" s="8" t="str">
        <f>TEXT(Sales_data[[#This Row],[Order Date]],"mmm")</f>
        <v>Feb</v>
      </c>
      <c r="E416" t="s">
        <v>12</v>
      </c>
      <c r="F416" t="s">
        <v>30</v>
      </c>
      <c r="G416" t="s">
        <v>33</v>
      </c>
      <c r="H416" t="s">
        <v>39</v>
      </c>
      <c r="I416" t="s">
        <v>45</v>
      </c>
      <c r="J416" s="7">
        <v>73.45</v>
      </c>
      <c r="K416" s="8">
        <v>4</v>
      </c>
      <c r="L416" s="7">
        <v>-28.46</v>
      </c>
    </row>
    <row r="417" spans="1:12" x14ac:dyDescent="0.2">
      <c r="A417" s="2">
        <v>41675</v>
      </c>
      <c r="B417" s="8">
        <f>YEAR(Sales_data[[#This Row],[Order Date]])</f>
        <v>2014</v>
      </c>
      <c r="C417" s="8">
        <f>MONTH(Sales_data[[#This Row],[Order Date]])</f>
        <v>2</v>
      </c>
      <c r="D417" s="8" t="str">
        <f>TEXT(Sales_data[[#This Row],[Order Date]],"mmm")</f>
        <v>Feb</v>
      </c>
      <c r="E417" t="s">
        <v>15</v>
      </c>
      <c r="F417" t="s">
        <v>29</v>
      </c>
      <c r="G417" t="s">
        <v>34</v>
      </c>
      <c r="H417" t="s">
        <v>40</v>
      </c>
      <c r="I417" t="s">
        <v>51</v>
      </c>
      <c r="J417" s="7">
        <v>1326.43</v>
      </c>
      <c r="K417" s="8">
        <v>4</v>
      </c>
      <c r="L417" s="7">
        <v>-67.23</v>
      </c>
    </row>
    <row r="418" spans="1:12" x14ac:dyDescent="0.2">
      <c r="A418" s="2">
        <v>41675</v>
      </c>
      <c r="B418" s="8">
        <f>YEAR(Sales_data[[#This Row],[Order Date]])</f>
        <v>2014</v>
      </c>
      <c r="C418" s="8">
        <f>MONTH(Sales_data[[#This Row],[Order Date]])</f>
        <v>2</v>
      </c>
      <c r="D418" s="8" t="str">
        <f>TEXT(Sales_data[[#This Row],[Order Date]],"mmm")</f>
        <v>Feb</v>
      </c>
      <c r="E418" t="s">
        <v>9</v>
      </c>
      <c r="F418" t="s">
        <v>26</v>
      </c>
      <c r="G418" t="s">
        <v>32</v>
      </c>
      <c r="H418" t="s">
        <v>43</v>
      </c>
      <c r="I418" t="s">
        <v>51</v>
      </c>
      <c r="J418" s="7">
        <v>70.69</v>
      </c>
      <c r="K418" s="8">
        <v>1</v>
      </c>
      <c r="L418" s="7">
        <v>368.06</v>
      </c>
    </row>
    <row r="419" spans="1:12" x14ac:dyDescent="0.2">
      <c r="A419" s="2">
        <v>41675</v>
      </c>
      <c r="B419" s="8">
        <f>YEAR(Sales_data[[#This Row],[Order Date]])</f>
        <v>2014</v>
      </c>
      <c r="C419" s="8">
        <f>MONTH(Sales_data[[#This Row],[Order Date]])</f>
        <v>2</v>
      </c>
      <c r="D419" s="8" t="str">
        <f>TEXT(Sales_data[[#This Row],[Order Date]],"mmm")</f>
        <v>Feb</v>
      </c>
      <c r="E419" t="s">
        <v>14</v>
      </c>
      <c r="F419" t="s">
        <v>24</v>
      </c>
      <c r="G419" t="s">
        <v>34</v>
      </c>
      <c r="H419" t="s">
        <v>35</v>
      </c>
      <c r="I419" t="s">
        <v>51</v>
      </c>
      <c r="J419" s="7">
        <v>1164.1400000000001</v>
      </c>
      <c r="K419" s="8">
        <v>3</v>
      </c>
      <c r="L419" s="7">
        <v>-22.85</v>
      </c>
    </row>
    <row r="420" spans="1:12" x14ac:dyDescent="0.2">
      <c r="A420" s="2">
        <v>41675</v>
      </c>
      <c r="B420" s="8">
        <f>YEAR(Sales_data[[#This Row],[Order Date]])</f>
        <v>2014</v>
      </c>
      <c r="C420" s="8">
        <f>MONTH(Sales_data[[#This Row],[Order Date]])</f>
        <v>2</v>
      </c>
      <c r="D420" s="8" t="str">
        <f>TEXT(Sales_data[[#This Row],[Order Date]],"mmm")</f>
        <v>Feb</v>
      </c>
      <c r="E420" t="s">
        <v>9</v>
      </c>
      <c r="F420" t="s">
        <v>30</v>
      </c>
      <c r="G420" t="s">
        <v>33</v>
      </c>
      <c r="H420" t="s">
        <v>36</v>
      </c>
      <c r="I420" t="s">
        <v>53</v>
      </c>
      <c r="J420" s="7">
        <v>650.47</v>
      </c>
      <c r="K420" s="8">
        <v>7</v>
      </c>
      <c r="L420" s="7">
        <v>57.74</v>
      </c>
    </row>
    <row r="421" spans="1:12" x14ac:dyDescent="0.2">
      <c r="A421" s="2">
        <v>41676</v>
      </c>
      <c r="B421" s="8">
        <f>YEAR(Sales_data[[#This Row],[Order Date]])</f>
        <v>2014</v>
      </c>
      <c r="C421" s="8">
        <f>MONTH(Sales_data[[#This Row],[Order Date]])</f>
        <v>2</v>
      </c>
      <c r="D421" s="8" t="str">
        <f>TEXT(Sales_data[[#This Row],[Order Date]],"mmm")</f>
        <v>Feb</v>
      </c>
      <c r="E421" t="s">
        <v>13</v>
      </c>
      <c r="F421" t="s">
        <v>29</v>
      </c>
      <c r="G421" t="s">
        <v>34</v>
      </c>
      <c r="H421" t="s">
        <v>40</v>
      </c>
      <c r="I421" t="s">
        <v>53</v>
      </c>
      <c r="J421" s="7">
        <v>828.71</v>
      </c>
      <c r="K421" s="8">
        <v>9</v>
      </c>
      <c r="L421" s="7">
        <v>-83.97</v>
      </c>
    </row>
    <row r="422" spans="1:12" x14ac:dyDescent="0.2">
      <c r="A422" s="2">
        <v>41676</v>
      </c>
      <c r="B422" s="8">
        <f>YEAR(Sales_data[[#This Row],[Order Date]])</f>
        <v>2014</v>
      </c>
      <c r="C422" s="8">
        <f>MONTH(Sales_data[[#This Row],[Order Date]])</f>
        <v>2</v>
      </c>
      <c r="D422" s="8" t="str">
        <f>TEXT(Sales_data[[#This Row],[Order Date]],"mmm")</f>
        <v>Feb</v>
      </c>
      <c r="E422" t="s">
        <v>17</v>
      </c>
      <c r="F422" t="s">
        <v>30</v>
      </c>
      <c r="G422" t="s">
        <v>32</v>
      </c>
      <c r="H422" t="s">
        <v>42</v>
      </c>
      <c r="I422" t="s">
        <v>53</v>
      </c>
      <c r="J422" s="7">
        <v>1639.29</v>
      </c>
      <c r="K422" s="8">
        <v>8</v>
      </c>
      <c r="L422" s="7">
        <v>372.9</v>
      </c>
    </row>
    <row r="423" spans="1:12" x14ac:dyDescent="0.2">
      <c r="A423" s="2">
        <v>41676</v>
      </c>
      <c r="B423" s="8">
        <f>YEAR(Sales_data[[#This Row],[Order Date]])</f>
        <v>2014</v>
      </c>
      <c r="C423" s="8">
        <f>MONTH(Sales_data[[#This Row],[Order Date]])</f>
        <v>2</v>
      </c>
      <c r="D423" s="8" t="str">
        <f>TEXT(Sales_data[[#This Row],[Order Date]],"mmm")</f>
        <v>Feb</v>
      </c>
      <c r="E423" t="s">
        <v>17</v>
      </c>
      <c r="F423" t="s">
        <v>31</v>
      </c>
      <c r="G423" t="s">
        <v>32</v>
      </c>
      <c r="H423" t="s">
        <v>36</v>
      </c>
      <c r="I423" t="s">
        <v>48</v>
      </c>
      <c r="J423" s="7">
        <v>660.69</v>
      </c>
      <c r="K423" s="8">
        <v>8</v>
      </c>
      <c r="L423" s="7">
        <v>215.31</v>
      </c>
    </row>
    <row r="424" spans="1:12" x14ac:dyDescent="0.2">
      <c r="A424" s="2">
        <v>41677</v>
      </c>
      <c r="B424" s="8">
        <f>YEAR(Sales_data[[#This Row],[Order Date]])</f>
        <v>2014</v>
      </c>
      <c r="C424" s="8">
        <f>MONTH(Sales_data[[#This Row],[Order Date]])</f>
        <v>2</v>
      </c>
      <c r="D424" s="8" t="str">
        <f>TEXT(Sales_data[[#This Row],[Order Date]],"mmm")</f>
        <v>Feb</v>
      </c>
      <c r="E424" t="s">
        <v>14</v>
      </c>
      <c r="F424" t="s">
        <v>27</v>
      </c>
      <c r="G424" t="s">
        <v>32</v>
      </c>
      <c r="H424" t="s">
        <v>39</v>
      </c>
      <c r="I424" t="s">
        <v>52</v>
      </c>
      <c r="J424" s="7">
        <v>1885.79</v>
      </c>
      <c r="K424" s="8">
        <v>9</v>
      </c>
      <c r="L424" s="7">
        <v>-133.58000000000001</v>
      </c>
    </row>
    <row r="425" spans="1:12" x14ac:dyDescent="0.2">
      <c r="A425" s="2">
        <v>41678</v>
      </c>
      <c r="B425" s="8">
        <f>YEAR(Sales_data[[#This Row],[Order Date]])</f>
        <v>2014</v>
      </c>
      <c r="C425" s="8">
        <f>MONTH(Sales_data[[#This Row],[Order Date]])</f>
        <v>2</v>
      </c>
      <c r="D425" s="8" t="str">
        <f>TEXT(Sales_data[[#This Row],[Order Date]],"mmm")</f>
        <v>Feb</v>
      </c>
      <c r="E425" t="s">
        <v>18</v>
      </c>
      <c r="F425" t="s">
        <v>24</v>
      </c>
      <c r="G425" t="s">
        <v>33</v>
      </c>
      <c r="H425" t="s">
        <v>43</v>
      </c>
      <c r="I425" t="s">
        <v>44</v>
      </c>
      <c r="J425" s="7">
        <v>1423.32</v>
      </c>
      <c r="K425" s="8">
        <v>7</v>
      </c>
      <c r="L425" s="7">
        <v>94.74</v>
      </c>
    </row>
    <row r="426" spans="1:12" x14ac:dyDescent="0.2">
      <c r="A426" s="2">
        <v>41679</v>
      </c>
      <c r="B426" s="8">
        <f>YEAR(Sales_data[[#This Row],[Order Date]])</f>
        <v>2014</v>
      </c>
      <c r="C426" s="8">
        <f>MONTH(Sales_data[[#This Row],[Order Date]])</f>
        <v>2</v>
      </c>
      <c r="D426" s="8" t="str">
        <f>TEXT(Sales_data[[#This Row],[Order Date]],"mmm")</f>
        <v>Feb</v>
      </c>
      <c r="E426" t="s">
        <v>14</v>
      </c>
      <c r="F426" t="s">
        <v>31</v>
      </c>
      <c r="G426" t="s">
        <v>33</v>
      </c>
      <c r="H426" t="s">
        <v>38</v>
      </c>
      <c r="I426" t="s">
        <v>52</v>
      </c>
      <c r="J426" s="7">
        <v>1745.69</v>
      </c>
      <c r="K426" s="8">
        <v>4</v>
      </c>
      <c r="L426" s="7">
        <v>240.21</v>
      </c>
    </row>
    <row r="427" spans="1:12" x14ac:dyDescent="0.2">
      <c r="A427" s="2">
        <v>41680</v>
      </c>
      <c r="B427" s="8">
        <f>YEAR(Sales_data[[#This Row],[Order Date]])</f>
        <v>2014</v>
      </c>
      <c r="C427" s="8">
        <f>MONTH(Sales_data[[#This Row],[Order Date]])</f>
        <v>2</v>
      </c>
      <c r="D427" s="8" t="str">
        <f>TEXT(Sales_data[[#This Row],[Order Date]],"mmm")</f>
        <v>Feb</v>
      </c>
      <c r="E427" t="s">
        <v>11</v>
      </c>
      <c r="F427" t="s">
        <v>23</v>
      </c>
      <c r="G427" t="s">
        <v>32</v>
      </c>
      <c r="H427" t="s">
        <v>35</v>
      </c>
      <c r="I427" t="s">
        <v>52</v>
      </c>
      <c r="J427" s="7">
        <v>1572.55</v>
      </c>
      <c r="K427" s="8">
        <v>2</v>
      </c>
      <c r="L427" s="7">
        <v>385.97</v>
      </c>
    </row>
    <row r="428" spans="1:12" x14ac:dyDescent="0.2">
      <c r="A428" s="2">
        <v>41681</v>
      </c>
      <c r="B428" s="8">
        <f>YEAR(Sales_data[[#This Row],[Order Date]])</f>
        <v>2014</v>
      </c>
      <c r="C428" s="8">
        <f>MONTH(Sales_data[[#This Row],[Order Date]])</f>
        <v>2</v>
      </c>
      <c r="D428" s="8" t="str">
        <f>TEXT(Sales_data[[#This Row],[Order Date]],"mmm")</f>
        <v>Feb</v>
      </c>
      <c r="E428" t="s">
        <v>15</v>
      </c>
      <c r="F428" t="s">
        <v>29</v>
      </c>
      <c r="G428" t="s">
        <v>33</v>
      </c>
      <c r="H428" t="s">
        <v>40</v>
      </c>
      <c r="I428" t="s">
        <v>46</v>
      </c>
      <c r="J428" s="7">
        <v>1443.63</v>
      </c>
      <c r="K428" s="8">
        <v>4</v>
      </c>
      <c r="L428" s="7">
        <v>97.13</v>
      </c>
    </row>
    <row r="429" spans="1:12" x14ac:dyDescent="0.2">
      <c r="A429" s="2">
        <v>41682</v>
      </c>
      <c r="B429" s="8">
        <f>YEAR(Sales_data[[#This Row],[Order Date]])</f>
        <v>2014</v>
      </c>
      <c r="C429" s="8">
        <f>MONTH(Sales_data[[#This Row],[Order Date]])</f>
        <v>2</v>
      </c>
      <c r="D429" s="8" t="str">
        <f>TEXT(Sales_data[[#This Row],[Order Date]],"mmm")</f>
        <v>Feb</v>
      </c>
      <c r="E429" t="s">
        <v>12</v>
      </c>
      <c r="F429" t="s">
        <v>26</v>
      </c>
      <c r="G429" t="s">
        <v>32</v>
      </c>
      <c r="H429" t="s">
        <v>41</v>
      </c>
      <c r="I429" t="s">
        <v>49</v>
      </c>
      <c r="J429" s="7">
        <v>1279.48</v>
      </c>
      <c r="K429" s="8">
        <v>2</v>
      </c>
      <c r="L429" s="7">
        <v>-50.89</v>
      </c>
    </row>
    <row r="430" spans="1:12" x14ac:dyDescent="0.2">
      <c r="A430" s="2">
        <v>41687</v>
      </c>
      <c r="B430" s="8">
        <f>YEAR(Sales_data[[#This Row],[Order Date]])</f>
        <v>2014</v>
      </c>
      <c r="C430" s="8">
        <f>MONTH(Sales_data[[#This Row],[Order Date]])</f>
        <v>2</v>
      </c>
      <c r="D430" s="8" t="str">
        <f>TEXT(Sales_data[[#This Row],[Order Date]],"mmm")</f>
        <v>Feb</v>
      </c>
      <c r="E430" t="s">
        <v>9</v>
      </c>
      <c r="F430" t="s">
        <v>31</v>
      </c>
      <c r="G430" t="s">
        <v>34</v>
      </c>
      <c r="H430" t="s">
        <v>40</v>
      </c>
      <c r="I430" t="s">
        <v>46</v>
      </c>
      <c r="J430" s="7">
        <v>1376.67</v>
      </c>
      <c r="K430" s="8">
        <v>9</v>
      </c>
      <c r="L430" s="7">
        <v>215.4</v>
      </c>
    </row>
    <row r="431" spans="1:12" x14ac:dyDescent="0.2">
      <c r="A431" s="2">
        <v>41688</v>
      </c>
      <c r="B431" s="8">
        <f>YEAR(Sales_data[[#This Row],[Order Date]])</f>
        <v>2014</v>
      </c>
      <c r="C431" s="8">
        <f>MONTH(Sales_data[[#This Row],[Order Date]])</f>
        <v>2</v>
      </c>
      <c r="D431" s="8" t="str">
        <f>TEXT(Sales_data[[#This Row],[Order Date]],"mmm")</f>
        <v>Feb</v>
      </c>
      <c r="E431" t="s">
        <v>19</v>
      </c>
      <c r="F431" t="s">
        <v>28</v>
      </c>
      <c r="G431" t="s">
        <v>33</v>
      </c>
      <c r="H431" t="s">
        <v>39</v>
      </c>
      <c r="I431" t="s">
        <v>49</v>
      </c>
      <c r="J431" s="7">
        <v>1155.68</v>
      </c>
      <c r="K431" s="8">
        <v>1</v>
      </c>
      <c r="L431" s="7">
        <v>-188.19</v>
      </c>
    </row>
    <row r="432" spans="1:12" x14ac:dyDescent="0.2">
      <c r="A432" s="2">
        <v>41692</v>
      </c>
      <c r="B432" s="8">
        <f>YEAR(Sales_data[[#This Row],[Order Date]])</f>
        <v>2014</v>
      </c>
      <c r="C432" s="8">
        <f>MONTH(Sales_data[[#This Row],[Order Date]])</f>
        <v>2</v>
      </c>
      <c r="D432" s="8" t="str">
        <f>TEXT(Sales_data[[#This Row],[Order Date]],"mmm")</f>
        <v>Feb</v>
      </c>
      <c r="E432" t="s">
        <v>16</v>
      </c>
      <c r="F432" t="s">
        <v>30</v>
      </c>
      <c r="G432" t="s">
        <v>32</v>
      </c>
      <c r="H432" t="s">
        <v>41</v>
      </c>
      <c r="I432" t="s">
        <v>46</v>
      </c>
      <c r="J432" s="7">
        <v>233.64</v>
      </c>
      <c r="K432" s="8">
        <v>6</v>
      </c>
      <c r="L432" s="7">
        <v>-147.34</v>
      </c>
    </row>
    <row r="433" spans="1:12" x14ac:dyDescent="0.2">
      <c r="A433" s="2">
        <v>41692</v>
      </c>
      <c r="B433" s="8">
        <f>YEAR(Sales_data[[#This Row],[Order Date]])</f>
        <v>2014</v>
      </c>
      <c r="C433" s="8">
        <f>MONTH(Sales_data[[#This Row],[Order Date]])</f>
        <v>2</v>
      </c>
      <c r="D433" s="8" t="str">
        <f>TEXT(Sales_data[[#This Row],[Order Date]],"mmm")</f>
        <v>Feb</v>
      </c>
      <c r="E433" t="s">
        <v>11</v>
      </c>
      <c r="F433" t="s">
        <v>30</v>
      </c>
      <c r="G433" t="s">
        <v>34</v>
      </c>
      <c r="H433" t="s">
        <v>35</v>
      </c>
      <c r="I433" t="s">
        <v>50</v>
      </c>
      <c r="J433" s="7">
        <v>567.63</v>
      </c>
      <c r="K433" s="8">
        <v>9</v>
      </c>
      <c r="L433" s="7">
        <v>114.81</v>
      </c>
    </row>
    <row r="434" spans="1:12" x14ac:dyDescent="0.2">
      <c r="A434" s="2">
        <v>41693</v>
      </c>
      <c r="B434" s="8">
        <f>YEAR(Sales_data[[#This Row],[Order Date]])</f>
        <v>2014</v>
      </c>
      <c r="C434" s="8">
        <f>MONTH(Sales_data[[#This Row],[Order Date]])</f>
        <v>2</v>
      </c>
      <c r="D434" s="8" t="str">
        <f>TEXT(Sales_data[[#This Row],[Order Date]],"mmm")</f>
        <v>Feb</v>
      </c>
      <c r="E434" t="s">
        <v>13</v>
      </c>
      <c r="F434" t="s">
        <v>23</v>
      </c>
      <c r="G434" t="s">
        <v>32</v>
      </c>
      <c r="H434" t="s">
        <v>38</v>
      </c>
      <c r="I434" t="s">
        <v>49</v>
      </c>
      <c r="J434" s="7">
        <v>1176.5</v>
      </c>
      <c r="K434" s="8">
        <v>3</v>
      </c>
      <c r="L434" s="7">
        <v>-142.54</v>
      </c>
    </row>
    <row r="435" spans="1:12" x14ac:dyDescent="0.2">
      <c r="A435" s="2">
        <v>41693</v>
      </c>
      <c r="B435" s="8">
        <f>YEAR(Sales_data[[#This Row],[Order Date]])</f>
        <v>2014</v>
      </c>
      <c r="C435" s="8">
        <f>MONTH(Sales_data[[#This Row],[Order Date]])</f>
        <v>2</v>
      </c>
      <c r="D435" s="8" t="str">
        <f>TEXT(Sales_data[[#This Row],[Order Date]],"mmm")</f>
        <v>Feb</v>
      </c>
      <c r="E435" t="s">
        <v>9</v>
      </c>
      <c r="F435" t="s">
        <v>26</v>
      </c>
      <c r="G435" t="s">
        <v>32</v>
      </c>
      <c r="H435" t="s">
        <v>43</v>
      </c>
      <c r="I435" t="s">
        <v>44</v>
      </c>
      <c r="J435" s="7">
        <v>1361.99</v>
      </c>
      <c r="K435" s="8">
        <v>3</v>
      </c>
      <c r="L435" s="7">
        <v>-133.97</v>
      </c>
    </row>
    <row r="436" spans="1:12" x14ac:dyDescent="0.2">
      <c r="A436" s="2">
        <v>41694</v>
      </c>
      <c r="B436" s="8">
        <f>YEAR(Sales_data[[#This Row],[Order Date]])</f>
        <v>2014</v>
      </c>
      <c r="C436" s="8">
        <f>MONTH(Sales_data[[#This Row],[Order Date]])</f>
        <v>2</v>
      </c>
      <c r="D436" s="8" t="str">
        <f>TEXT(Sales_data[[#This Row],[Order Date]],"mmm")</f>
        <v>Feb</v>
      </c>
      <c r="E436" t="s">
        <v>14</v>
      </c>
      <c r="F436" t="s">
        <v>22</v>
      </c>
      <c r="G436" t="s">
        <v>33</v>
      </c>
      <c r="H436" t="s">
        <v>39</v>
      </c>
      <c r="I436" t="s">
        <v>52</v>
      </c>
      <c r="J436" s="7">
        <v>20.62</v>
      </c>
      <c r="K436" s="8">
        <v>9</v>
      </c>
      <c r="L436" s="7">
        <v>396.21</v>
      </c>
    </row>
    <row r="437" spans="1:12" x14ac:dyDescent="0.2">
      <c r="A437" s="2">
        <v>41694</v>
      </c>
      <c r="B437" s="8">
        <f>YEAR(Sales_data[[#This Row],[Order Date]])</f>
        <v>2014</v>
      </c>
      <c r="C437" s="8">
        <f>MONTH(Sales_data[[#This Row],[Order Date]])</f>
        <v>2</v>
      </c>
      <c r="D437" s="8" t="str">
        <f>TEXT(Sales_data[[#This Row],[Order Date]],"mmm")</f>
        <v>Feb</v>
      </c>
      <c r="E437" t="s">
        <v>12</v>
      </c>
      <c r="F437" t="s">
        <v>29</v>
      </c>
      <c r="G437" t="s">
        <v>32</v>
      </c>
      <c r="H437" t="s">
        <v>35</v>
      </c>
      <c r="I437" t="s">
        <v>46</v>
      </c>
      <c r="J437" s="7">
        <v>1644.04</v>
      </c>
      <c r="K437" s="8">
        <v>6</v>
      </c>
      <c r="L437" s="7">
        <v>-176.85</v>
      </c>
    </row>
    <row r="438" spans="1:12" x14ac:dyDescent="0.2">
      <c r="A438" s="2">
        <v>41696</v>
      </c>
      <c r="B438" s="8">
        <f>YEAR(Sales_data[[#This Row],[Order Date]])</f>
        <v>2014</v>
      </c>
      <c r="C438" s="8">
        <f>MONTH(Sales_data[[#This Row],[Order Date]])</f>
        <v>2</v>
      </c>
      <c r="D438" s="8" t="str">
        <f>TEXT(Sales_data[[#This Row],[Order Date]],"mmm")</f>
        <v>Feb</v>
      </c>
      <c r="E438" t="s">
        <v>9</v>
      </c>
      <c r="F438" t="s">
        <v>28</v>
      </c>
      <c r="G438" t="s">
        <v>33</v>
      </c>
      <c r="H438" t="s">
        <v>39</v>
      </c>
      <c r="I438" t="s">
        <v>46</v>
      </c>
      <c r="J438" s="7">
        <v>672.5</v>
      </c>
      <c r="K438" s="8">
        <v>1</v>
      </c>
      <c r="L438" s="7">
        <v>25.44</v>
      </c>
    </row>
    <row r="439" spans="1:12" x14ac:dyDescent="0.2">
      <c r="A439" s="2">
        <v>41699</v>
      </c>
      <c r="B439" s="8">
        <f>YEAR(Sales_data[[#This Row],[Order Date]])</f>
        <v>2014</v>
      </c>
      <c r="C439" s="8">
        <f>MONTH(Sales_data[[#This Row],[Order Date]])</f>
        <v>3</v>
      </c>
      <c r="D439" s="8" t="str">
        <f>TEXT(Sales_data[[#This Row],[Order Date]],"mmm")</f>
        <v>Mar</v>
      </c>
      <c r="E439" t="s">
        <v>16</v>
      </c>
      <c r="F439" t="s">
        <v>25</v>
      </c>
      <c r="G439" t="s">
        <v>34</v>
      </c>
      <c r="H439" t="s">
        <v>36</v>
      </c>
      <c r="I439" t="s">
        <v>49</v>
      </c>
      <c r="J439" s="7">
        <v>967.95</v>
      </c>
      <c r="K439" s="8">
        <v>9</v>
      </c>
      <c r="L439" s="7">
        <v>24.8</v>
      </c>
    </row>
    <row r="440" spans="1:12" x14ac:dyDescent="0.2">
      <c r="A440" s="2">
        <v>41703</v>
      </c>
      <c r="B440" s="8">
        <f>YEAR(Sales_data[[#This Row],[Order Date]])</f>
        <v>2014</v>
      </c>
      <c r="C440" s="8">
        <f>MONTH(Sales_data[[#This Row],[Order Date]])</f>
        <v>3</v>
      </c>
      <c r="D440" s="8" t="str">
        <f>TEXT(Sales_data[[#This Row],[Order Date]],"mmm")</f>
        <v>Mar</v>
      </c>
      <c r="E440" t="s">
        <v>16</v>
      </c>
      <c r="F440" t="s">
        <v>29</v>
      </c>
      <c r="G440" t="s">
        <v>34</v>
      </c>
      <c r="H440" t="s">
        <v>42</v>
      </c>
      <c r="I440" t="s">
        <v>45</v>
      </c>
      <c r="J440" s="7">
        <v>327.66000000000003</v>
      </c>
      <c r="K440" s="8">
        <v>6</v>
      </c>
      <c r="L440" s="7">
        <v>192.06</v>
      </c>
    </row>
    <row r="441" spans="1:12" x14ac:dyDescent="0.2">
      <c r="A441" s="2">
        <v>41706</v>
      </c>
      <c r="B441" s="8">
        <f>YEAR(Sales_data[[#This Row],[Order Date]])</f>
        <v>2014</v>
      </c>
      <c r="C441" s="8">
        <f>MONTH(Sales_data[[#This Row],[Order Date]])</f>
        <v>3</v>
      </c>
      <c r="D441" s="8" t="str">
        <f>TEXT(Sales_data[[#This Row],[Order Date]],"mmm")</f>
        <v>Mar</v>
      </c>
      <c r="E441" t="s">
        <v>9</v>
      </c>
      <c r="F441" t="s">
        <v>25</v>
      </c>
      <c r="G441" t="s">
        <v>33</v>
      </c>
      <c r="H441" t="s">
        <v>40</v>
      </c>
      <c r="I441" t="s">
        <v>49</v>
      </c>
      <c r="J441" s="7">
        <v>1694.17</v>
      </c>
      <c r="K441" s="8">
        <v>8</v>
      </c>
      <c r="L441" s="7">
        <v>300.64999999999998</v>
      </c>
    </row>
    <row r="442" spans="1:12" x14ac:dyDescent="0.2">
      <c r="A442" s="2">
        <v>41706</v>
      </c>
      <c r="B442" s="8">
        <f>YEAR(Sales_data[[#This Row],[Order Date]])</f>
        <v>2014</v>
      </c>
      <c r="C442" s="8">
        <f>MONTH(Sales_data[[#This Row],[Order Date]])</f>
        <v>3</v>
      </c>
      <c r="D442" s="8" t="str">
        <f>TEXT(Sales_data[[#This Row],[Order Date]],"mmm")</f>
        <v>Mar</v>
      </c>
      <c r="E442" t="s">
        <v>17</v>
      </c>
      <c r="F442" t="s">
        <v>29</v>
      </c>
      <c r="G442" t="s">
        <v>34</v>
      </c>
      <c r="H442" t="s">
        <v>38</v>
      </c>
      <c r="I442" t="s">
        <v>49</v>
      </c>
      <c r="J442" s="7">
        <v>824.2</v>
      </c>
      <c r="K442" s="8">
        <v>1</v>
      </c>
      <c r="L442" s="7">
        <v>280.58999999999997</v>
      </c>
    </row>
    <row r="443" spans="1:12" x14ac:dyDescent="0.2">
      <c r="A443" s="2">
        <v>41709</v>
      </c>
      <c r="B443" s="8">
        <f>YEAR(Sales_data[[#This Row],[Order Date]])</f>
        <v>2014</v>
      </c>
      <c r="C443" s="8">
        <f>MONTH(Sales_data[[#This Row],[Order Date]])</f>
        <v>3</v>
      </c>
      <c r="D443" s="8" t="str">
        <f>TEXT(Sales_data[[#This Row],[Order Date]],"mmm")</f>
        <v>Mar</v>
      </c>
      <c r="E443" t="s">
        <v>14</v>
      </c>
      <c r="F443" t="s">
        <v>27</v>
      </c>
      <c r="G443" t="s">
        <v>33</v>
      </c>
      <c r="H443" t="s">
        <v>41</v>
      </c>
      <c r="I443" t="s">
        <v>45</v>
      </c>
      <c r="J443" s="7">
        <v>906.66</v>
      </c>
      <c r="K443" s="8">
        <v>3</v>
      </c>
      <c r="L443" s="7">
        <v>73.37</v>
      </c>
    </row>
    <row r="444" spans="1:12" x14ac:dyDescent="0.2">
      <c r="A444" s="2">
        <v>41709</v>
      </c>
      <c r="B444" s="8">
        <f>YEAR(Sales_data[[#This Row],[Order Date]])</f>
        <v>2014</v>
      </c>
      <c r="C444" s="8">
        <f>MONTH(Sales_data[[#This Row],[Order Date]])</f>
        <v>3</v>
      </c>
      <c r="D444" s="8" t="str">
        <f>TEXT(Sales_data[[#This Row],[Order Date]],"mmm")</f>
        <v>Mar</v>
      </c>
      <c r="E444" t="s">
        <v>15</v>
      </c>
      <c r="F444" t="s">
        <v>25</v>
      </c>
      <c r="G444" t="s">
        <v>32</v>
      </c>
      <c r="H444" t="s">
        <v>41</v>
      </c>
      <c r="I444" t="s">
        <v>44</v>
      </c>
      <c r="J444" s="7">
        <v>1489.57</v>
      </c>
      <c r="K444" s="8">
        <v>4</v>
      </c>
      <c r="L444" s="7">
        <v>156.88999999999999</v>
      </c>
    </row>
    <row r="445" spans="1:12" x14ac:dyDescent="0.2">
      <c r="A445" s="2">
        <v>41709</v>
      </c>
      <c r="B445" s="8">
        <f>YEAR(Sales_data[[#This Row],[Order Date]])</f>
        <v>2014</v>
      </c>
      <c r="C445" s="8">
        <f>MONTH(Sales_data[[#This Row],[Order Date]])</f>
        <v>3</v>
      </c>
      <c r="D445" s="8" t="str">
        <f>TEXT(Sales_data[[#This Row],[Order Date]],"mmm")</f>
        <v>Mar</v>
      </c>
      <c r="E445" t="s">
        <v>18</v>
      </c>
      <c r="F445" t="s">
        <v>24</v>
      </c>
      <c r="G445" t="s">
        <v>33</v>
      </c>
      <c r="H445" t="s">
        <v>38</v>
      </c>
      <c r="I445" t="s">
        <v>51</v>
      </c>
      <c r="J445" s="7">
        <v>1437.69</v>
      </c>
      <c r="K445" s="8">
        <v>7</v>
      </c>
      <c r="L445" s="7">
        <v>17.760000000000002</v>
      </c>
    </row>
    <row r="446" spans="1:12" x14ac:dyDescent="0.2">
      <c r="A446" s="2">
        <v>41712</v>
      </c>
      <c r="B446" s="8">
        <f>YEAR(Sales_data[[#This Row],[Order Date]])</f>
        <v>2014</v>
      </c>
      <c r="C446" s="8">
        <f>MONTH(Sales_data[[#This Row],[Order Date]])</f>
        <v>3</v>
      </c>
      <c r="D446" s="8" t="str">
        <f>TEXT(Sales_data[[#This Row],[Order Date]],"mmm")</f>
        <v>Mar</v>
      </c>
      <c r="E446" t="s">
        <v>17</v>
      </c>
      <c r="F446" t="s">
        <v>22</v>
      </c>
      <c r="G446" t="s">
        <v>34</v>
      </c>
      <c r="H446" t="s">
        <v>41</v>
      </c>
      <c r="I446" t="s">
        <v>52</v>
      </c>
      <c r="J446" s="7">
        <v>1512.33</v>
      </c>
      <c r="K446" s="8">
        <v>7</v>
      </c>
      <c r="L446" s="7">
        <v>374.08</v>
      </c>
    </row>
    <row r="447" spans="1:12" x14ac:dyDescent="0.2">
      <c r="A447" s="2">
        <v>41712</v>
      </c>
      <c r="B447" s="8">
        <f>YEAR(Sales_data[[#This Row],[Order Date]])</f>
        <v>2014</v>
      </c>
      <c r="C447" s="8">
        <f>MONTH(Sales_data[[#This Row],[Order Date]])</f>
        <v>3</v>
      </c>
      <c r="D447" s="8" t="str">
        <f>TEXT(Sales_data[[#This Row],[Order Date]],"mmm")</f>
        <v>Mar</v>
      </c>
      <c r="E447" t="s">
        <v>20</v>
      </c>
      <c r="F447" t="s">
        <v>31</v>
      </c>
      <c r="G447" t="s">
        <v>34</v>
      </c>
      <c r="H447" t="s">
        <v>35</v>
      </c>
      <c r="I447" t="s">
        <v>44</v>
      </c>
      <c r="J447" s="7">
        <v>617.83000000000004</v>
      </c>
      <c r="K447" s="8">
        <v>6</v>
      </c>
      <c r="L447" s="7">
        <v>-114.31</v>
      </c>
    </row>
    <row r="448" spans="1:12" x14ac:dyDescent="0.2">
      <c r="A448" s="2">
        <v>41716</v>
      </c>
      <c r="B448" s="8">
        <f>YEAR(Sales_data[[#This Row],[Order Date]])</f>
        <v>2014</v>
      </c>
      <c r="C448" s="8">
        <f>MONTH(Sales_data[[#This Row],[Order Date]])</f>
        <v>3</v>
      </c>
      <c r="D448" s="8" t="str">
        <f>TEXT(Sales_data[[#This Row],[Order Date]],"mmm")</f>
        <v>Mar</v>
      </c>
      <c r="E448" t="s">
        <v>20</v>
      </c>
      <c r="F448" t="s">
        <v>28</v>
      </c>
      <c r="G448" t="s">
        <v>34</v>
      </c>
      <c r="H448" t="s">
        <v>42</v>
      </c>
      <c r="I448" t="s">
        <v>49</v>
      </c>
      <c r="J448" s="7">
        <v>1960.3</v>
      </c>
      <c r="K448" s="8">
        <v>7</v>
      </c>
      <c r="L448" s="7">
        <v>392.39</v>
      </c>
    </row>
    <row r="449" spans="1:12" x14ac:dyDescent="0.2">
      <c r="A449" s="2">
        <v>41716</v>
      </c>
      <c r="B449" s="8">
        <f>YEAR(Sales_data[[#This Row],[Order Date]])</f>
        <v>2014</v>
      </c>
      <c r="C449" s="8">
        <f>MONTH(Sales_data[[#This Row],[Order Date]])</f>
        <v>3</v>
      </c>
      <c r="D449" s="8" t="str">
        <f>TEXT(Sales_data[[#This Row],[Order Date]],"mmm")</f>
        <v>Mar</v>
      </c>
      <c r="E449" t="s">
        <v>11</v>
      </c>
      <c r="F449" t="s">
        <v>31</v>
      </c>
      <c r="G449" t="s">
        <v>33</v>
      </c>
      <c r="H449" t="s">
        <v>40</v>
      </c>
      <c r="I449" t="s">
        <v>45</v>
      </c>
      <c r="J449" s="7">
        <v>1694.6</v>
      </c>
      <c r="K449" s="8">
        <v>6</v>
      </c>
      <c r="L449" s="7">
        <v>-60.14</v>
      </c>
    </row>
    <row r="450" spans="1:12" x14ac:dyDescent="0.2">
      <c r="A450" s="2">
        <v>41716</v>
      </c>
      <c r="B450" s="8">
        <f>YEAR(Sales_data[[#This Row],[Order Date]])</f>
        <v>2014</v>
      </c>
      <c r="C450" s="8">
        <f>MONTH(Sales_data[[#This Row],[Order Date]])</f>
        <v>3</v>
      </c>
      <c r="D450" s="8" t="str">
        <f>TEXT(Sales_data[[#This Row],[Order Date]],"mmm")</f>
        <v>Mar</v>
      </c>
      <c r="E450" t="s">
        <v>20</v>
      </c>
      <c r="F450" t="s">
        <v>23</v>
      </c>
      <c r="G450" t="s">
        <v>34</v>
      </c>
      <c r="H450" t="s">
        <v>35</v>
      </c>
      <c r="I450" t="s">
        <v>48</v>
      </c>
      <c r="J450" s="7">
        <v>261.82</v>
      </c>
      <c r="K450" s="8">
        <v>2</v>
      </c>
      <c r="L450" s="7">
        <v>-106.21</v>
      </c>
    </row>
    <row r="451" spans="1:12" x14ac:dyDescent="0.2">
      <c r="A451" s="2">
        <v>41717</v>
      </c>
      <c r="B451" s="8">
        <f>YEAR(Sales_data[[#This Row],[Order Date]])</f>
        <v>2014</v>
      </c>
      <c r="C451" s="8">
        <f>MONTH(Sales_data[[#This Row],[Order Date]])</f>
        <v>3</v>
      </c>
      <c r="D451" s="8" t="str">
        <f>TEXT(Sales_data[[#This Row],[Order Date]],"mmm")</f>
        <v>Mar</v>
      </c>
      <c r="E451" t="s">
        <v>14</v>
      </c>
      <c r="F451" t="s">
        <v>24</v>
      </c>
      <c r="G451" t="s">
        <v>33</v>
      </c>
      <c r="H451" t="s">
        <v>43</v>
      </c>
      <c r="I451" t="s">
        <v>44</v>
      </c>
      <c r="J451" s="7">
        <v>328.55</v>
      </c>
      <c r="K451" s="8">
        <v>5</v>
      </c>
      <c r="L451" s="7">
        <v>279.97000000000003</v>
      </c>
    </row>
    <row r="452" spans="1:12" x14ac:dyDescent="0.2">
      <c r="A452" s="2">
        <v>41718</v>
      </c>
      <c r="B452" s="8">
        <f>YEAR(Sales_data[[#This Row],[Order Date]])</f>
        <v>2014</v>
      </c>
      <c r="C452" s="8">
        <f>MONTH(Sales_data[[#This Row],[Order Date]])</f>
        <v>3</v>
      </c>
      <c r="D452" s="8" t="str">
        <f>TEXT(Sales_data[[#This Row],[Order Date]],"mmm")</f>
        <v>Mar</v>
      </c>
      <c r="E452" t="s">
        <v>17</v>
      </c>
      <c r="F452" t="s">
        <v>31</v>
      </c>
      <c r="G452" t="s">
        <v>34</v>
      </c>
      <c r="H452" t="s">
        <v>43</v>
      </c>
      <c r="I452" t="s">
        <v>46</v>
      </c>
      <c r="J452" s="7">
        <v>1891.8</v>
      </c>
      <c r="K452" s="8">
        <v>1</v>
      </c>
      <c r="L452" s="7">
        <v>-91.62</v>
      </c>
    </row>
    <row r="453" spans="1:12" x14ac:dyDescent="0.2">
      <c r="A453" s="2">
        <v>41719</v>
      </c>
      <c r="B453" s="8">
        <f>YEAR(Sales_data[[#This Row],[Order Date]])</f>
        <v>2014</v>
      </c>
      <c r="C453" s="8">
        <f>MONTH(Sales_data[[#This Row],[Order Date]])</f>
        <v>3</v>
      </c>
      <c r="D453" s="8" t="str">
        <f>TEXT(Sales_data[[#This Row],[Order Date]],"mmm")</f>
        <v>Mar</v>
      </c>
      <c r="E453" t="s">
        <v>13</v>
      </c>
      <c r="F453" t="s">
        <v>27</v>
      </c>
      <c r="G453" t="s">
        <v>32</v>
      </c>
      <c r="H453" t="s">
        <v>35</v>
      </c>
      <c r="I453" t="s">
        <v>46</v>
      </c>
      <c r="J453" s="7">
        <v>608.83000000000004</v>
      </c>
      <c r="K453" s="8">
        <v>3</v>
      </c>
      <c r="L453" s="7">
        <v>122.21</v>
      </c>
    </row>
    <row r="454" spans="1:12" x14ac:dyDescent="0.2">
      <c r="A454" s="2">
        <v>41719</v>
      </c>
      <c r="B454" s="8">
        <f>YEAR(Sales_data[[#This Row],[Order Date]])</f>
        <v>2014</v>
      </c>
      <c r="C454" s="8">
        <f>MONTH(Sales_data[[#This Row],[Order Date]])</f>
        <v>3</v>
      </c>
      <c r="D454" s="8" t="str">
        <f>TEXT(Sales_data[[#This Row],[Order Date]],"mmm")</f>
        <v>Mar</v>
      </c>
      <c r="E454" t="s">
        <v>17</v>
      </c>
      <c r="F454" t="s">
        <v>23</v>
      </c>
      <c r="G454" t="s">
        <v>34</v>
      </c>
      <c r="H454" t="s">
        <v>40</v>
      </c>
      <c r="I454" t="s">
        <v>49</v>
      </c>
      <c r="J454" s="7">
        <v>1799.51</v>
      </c>
      <c r="K454" s="8">
        <v>9</v>
      </c>
      <c r="L454" s="7">
        <v>179.6</v>
      </c>
    </row>
    <row r="455" spans="1:12" x14ac:dyDescent="0.2">
      <c r="A455" s="2">
        <v>41721</v>
      </c>
      <c r="B455" s="8">
        <f>YEAR(Sales_data[[#This Row],[Order Date]])</f>
        <v>2014</v>
      </c>
      <c r="C455" s="8">
        <f>MONTH(Sales_data[[#This Row],[Order Date]])</f>
        <v>3</v>
      </c>
      <c r="D455" s="8" t="str">
        <f>TEXT(Sales_data[[#This Row],[Order Date]],"mmm")</f>
        <v>Mar</v>
      </c>
      <c r="E455" t="s">
        <v>11</v>
      </c>
      <c r="F455" t="s">
        <v>29</v>
      </c>
      <c r="G455" t="s">
        <v>32</v>
      </c>
      <c r="H455" t="s">
        <v>38</v>
      </c>
      <c r="I455" t="s">
        <v>47</v>
      </c>
      <c r="J455" s="7">
        <v>1068.6600000000001</v>
      </c>
      <c r="K455" s="8">
        <v>2</v>
      </c>
      <c r="L455" s="7">
        <v>-183.5</v>
      </c>
    </row>
    <row r="456" spans="1:12" x14ac:dyDescent="0.2">
      <c r="A456" s="2">
        <v>41723</v>
      </c>
      <c r="B456" s="8">
        <f>YEAR(Sales_data[[#This Row],[Order Date]])</f>
        <v>2014</v>
      </c>
      <c r="C456" s="8">
        <f>MONTH(Sales_data[[#This Row],[Order Date]])</f>
        <v>3</v>
      </c>
      <c r="D456" s="8" t="str">
        <f>TEXT(Sales_data[[#This Row],[Order Date]],"mmm")</f>
        <v>Mar</v>
      </c>
      <c r="E456" t="s">
        <v>21</v>
      </c>
      <c r="F456" t="s">
        <v>31</v>
      </c>
      <c r="G456" t="s">
        <v>34</v>
      </c>
      <c r="H456" t="s">
        <v>40</v>
      </c>
      <c r="I456" t="s">
        <v>52</v>
      </c>
      <c r="J456" s="7">
        <v>506.1</v>
      </c>
      <c r="K456" s="8">
        <v>7</v>
      </c>
      <c r="L456" s="7">
        <v>-157.13999999999999</v>
      </c>
    </row>
    <row r="457" spans="1:12" x14ac:dyDescent="0.2">
      <c r="A457" s="2">
        <v>41724</v>
      </c>
      <c r="B457" s="8">
        <f>YEAR(Sales_data[[#This Row],[Order Date]])</f>
        <v>2014</v>
      </c>
      <c r="C457" s="8">
        <f>MONTH(Sales_data[[#This Row],[Order Date]])</f>
        <v>3</v>
      </c>
      <c r="D457" s="8" t="str">
        <f>TEXT(Sales_data[[#This Row],[Order Date]],"mmm")</f>
        <v>Mar</v>
      </c>
      <c r="E457" t="s">
        <v>20</v>
      </c>
      <c r="F457" t="s">
        <v>29</v>
      </c>
      <c r="G457" t="s">
        <v>33</v>
      </c>
      <c r="H457" t="s">
        <v>43</v>
      </c>
      <c r="I457" t="s">
        <v>46</v>
      </c>
      <c r="J457" s="7">
        <v>1000.54</v>
      </c>
      <c r="K457" s="8">
        <v>7</v>
      </c>
      <c r="L457" s="7">
        <v>154.81</v>
      </c>
    </row>
    <row r="458" spans="1:12" x14ac:dyDescent="0.2">
      <c r="A458" s="2">
        <v>41726</v>
      </c>
      <c r="B458" s="8">
        <f>YEAR(Sales_data[[#This Row],[Order Date]])</f>
        <v>2014</v>
      </c>
      <c r="C458" s="8">
        <f>MONTH(Sales_data[[#This Row],[Order Date]])</f>
        <v>3</v>
      </c>
      <c r="D458" s="8" t="str">
        <f>TEXT(Sales_data[[#This Row],[Order Date]],"mmm")</f>
        <v>Mar</v>
      </c>
      <c r="E458" t="s">
        <v>9</v>
      </c>
      <c r="F458" t="s">
        <v>31</v>
      </c>
      <c r="G458" t="s">
        <v>32</v>
      </c>
      <c r="H458" t="s">
        <v>41</v>
      </c>
      <c r="I458" t="s">
        <v>49</v>
      </c>
      <c r="J458" s="7">
        <v>801.93</v>
      </c>
      <c r="K458" s="8">
        <v>8</v>
      </c>
      <c r="L458" s="7">
        <v>93.67</v>
      </c>
    </row>
    <row r="459" spans="1:12" x14ac:dyDescent="0.2">
      <c r="A459" s="2">
        <v>41727</v>
      </c>
      <c r="B459" s="8">
        <f>YEAR(Sales_data[[#This Row],[Order Date]])</f>
        <v>2014</v>
      </c>
      <c r="C459" s="8">
        <f>MONTH(Sales_data[[#This Row],[Order Date]])</f>
        <v>3</v>
      </c>
      <c r="D459" s="8" t="str">
        <f>TEXT(Sales_data[[#This Row],[Order Date]],"mmm")</f>
        <v>Mar</v>
      </c>
      <c r="E459" t="s">
        <v>19</v>
      </c>
      <c r="F459" t="s">
        <v>22</v>
      </c>
      <c r="G459" t="s">
        <v>33</v>
      </c>
      <c r="H459" t="s">
        <v>40</v>
      </c>
      <c r="I459" t="s">
        <v>50</v>
      </c>
      <c r="J459" s="7">
        <v>552.39</v>
      </c>
      <c r="K459" s="8">
        <v>9</v>
      </c>
      <c r="L459" s="7">
        <v>-199.93</v>
      </c>
    </row>
    <row r="460" spans="1:12" x14ac:dyDescent="0.2">
      <c r="A460" s="2">
        <v>41727</v>
      </c>
      <c r="B460" s="8">
        <f>YEAR(Sales_data[[#This Row],[Order Date]])</f>
        <v>2014</v>
      </c>
      <c r="C460" s="8">
        <f>MONTH(Sales_data[[#This Row],[Order Date]])</f>
        <v>3</v>
      </c>
      <c r="D460" s="8" t="str">
        <f>TEXT(Sales_data[[#This Row],[Order Date]],"mmm")</f>
        <v>Mar</v>
      </c>
      <c r="E460" t="s">
        <v>18</v>
      </c>
      <c r="F460" t="s">
        <v>31</v>
      </c>
      <c r="G460" t="s">
        <v>32</v>
      </c>
      <c r="H460" t="s">
        <v>42</v>
      </c>
      <c r="I460" t="s">
        <v>49</v>
      </c>
      <c r="J460" s="7">
        <v>1745.49</v>
      </c>
      <c r="K460" s="8">
        <v>4</v>
      </c>
      <c r="L460" s="7">
        <v>-129.63999999999999</v>
      </c>
    </row>
    <row r="461" spans="1:12" x14ac:dyDescent="0.2">
      <c r="A461" s="2">
        <v>41727</v>
      </c>
      <c r="B461" s="8">
        <f>YEAR(Sales_data[[#This Row],[Order Date]])</f>
        <v>2014</v>
      </c>
      <c r="C461" s="8">
        <f>MONTH(Sales_data[[#This Row],[Order Date]])</f>
        <v>3</v>
      </c>
      <c r="D461" s="8" t="str">
        <f>TEXT(Sales_data[[#This Row],[Order Date]],"mmm")</f>
        <v>Mar</v>
      </c>
      <c r="E461" t="s">
        <v>14</v>
      </c>
      <c r="F461" t="s">
        <v>26</v>
      </c>
      <c r="G461" t="s">
        <v>33</v>
      </c>
      <c r="H461" t="s">
        <v>40</v>
      </c>
      <c r="I461" t="s">
        <v>44</v>
      </c>
      <c r="J461" s="7">
        <v>168.78</v>
      </c>
      <c r="K461" s="8">
        <v>2</v>
      </c>
      <c r="L461" s="7">
        <v>385.51</v>
      </c>
    </row>
    <row r="462" spans="1:12" x14ac:dyDescent="0.2">
      <c r="A462" s="2">
        <v>41729</v>
      </c>
      <c r="B462" s="8">
        <f>YEAR(Sales_data[[#This Row],[Order Date]])</f>
        <v>2014</v>
      </c>
      <c r="C462" s="8">
        <f>MONTH(Sales_data[[#This Row],[Order Date]])</f>
        <v>3</v>
      </c>
      <c r="D462" s="8" t="str">
        <f>TEXT(Sales_data[[#This Row],[Order Date]],"mmm")</f>
        <v>Mar</v>
      </c>
      <c r="E462" t="s">
        <v>18</v>
      </c>
      <c r="F462" t="s">
        <v>26</v>
      </c>
      <c r="G462" t="s">
        <v>34</v>
      </c>
      <c r="H462" t="s">
        <v>40</v>
      </c>
      <c r="I462" t="s">
        <v>46</v>
      </c>
      <c r="J462" s="7">
        <v>1074.25</v>
      </c>
      <c r="K462" s="8">
        <v>1</v>
      </c>
      <c r="L462" s="7">
        <v>137.05000000000001</v>
      </c>
    </row>
    <row r="463" spans="1:12" x14ac:dyDescent="0.2">
      <c r="A463" s="2">
        <v>41729</v>
      </c>
      <c r="B463" s="8">
        <f>YEAR(Sales_data[[#This Row],[Order Date]])</f>
        <v>2014</v>
      </c>
      <c r="C463" s="8">
        <f>MONTH(Sales_data[[#This Row],[Order Date]])</f>
        <v>3</v>
      </c>
      <c r="D463" s="8" t="str">
        <f>TEXT(Sales_data[[#This Row],[Order Date]],"mmm")</f>
        <v>Mar</v>
      </c>
      <c r="E463" t="s">
        <v>16</v>
      </c>
      <c r="F463" t="s">
        <v>23</v>
      </c>
      <c r="G463" t="s">
        <v>32</v>
      </c>
      <c r="H463" t="s">
        <v>37</v>
      </c>
      <c r="I463" t="s">
        <v>48</v>
      </c>
      <c r="J463" s="7">
        <v>934.92</v>
      </c>
      <c r="K463" s="8">
        <v>1</v>
      </c>
      <c r="L463" s="7">
        <v>21.98</v>
      </c>
    </row>
    <row r="464" spans="1:12" x14ac:dyDescent="0.2">
      <c r="A464" s="2">
        <v>41730</v>
      </c>
      <c r="B464" s="8">
        <f>YEAR(Sales_data[[#This Row],[Order Date]])</f>
        <v>2014</v>
      </c>
      <c r="C464" s="8">
        <f>MONTH(Sales_data[[#This Row],[Order Date]])</f>
        <v>4</v>
      </c>
      <c r="D464" s="8" t="str">
        <f>TEXT(Sales_data[[#This Row],[Order Date]],"mmm")</f>
        <v>Apr</v>
      </c>
      <c r="E464" t="s">
        <v>13</v>
      </c>
      <c r="F464" t="s">
        <v>25</v>
      </c>
      <c r="G464" t="s">
        <v>33</v>
      </c>
      <c r="H464" t="s">
        <v>39</v>
      </c>
      <c r="I464" t="s">
        <v>50</v>
      </c>
      <c r="J464" s="7">
        <v>624.63</v>
      </c>
      <c r="K464" s="8">
        <v>6</v>
      </c>
      <c r="L464" s="7">
        <v>49.09</v>
      </c>
    </row>
    <row r="465" spans="1:12" x14ac:dyDescent="0.2">
      <c r="A465" s="2">
        <v>41730</v>
      </c>
      <c r="B465" s="8">
        <f>YEAR(Sales_data[[#This Row],[Order Date]])</f>
        <v>2014</v>
      </c>
      <c r="C465" s="8">
        <f>MONTH(Sales_data[[#This Row],[Order Date]])</f>
        <v>4</v>
      </c>
      <c r="D465" s="8" t="str">
        <f>TEXT(Sales_data[[#This Row],[Order Date]],"mmm")</f>
        <v>Apr</v>
      </c>
      <c r="E465" t="s">
        <v>16</v>
      </c>
      <c r="F465" t="s">
        <v>27</v>
      </c>
      <c r="G465" t="s">
        <v>32</v>
      </c>
      <c r="H465" t="s">
        <v>42</v>
      </c>
      <c r="I465" t="s">
        <v>51</v>
      </c>
      <c r="J465" s="7">
        <v>1118.1199999999999</v>
      </c>
      <c r="K465" s="8">
        <v>4</v>
      </c>
      <c r="L465" s="7">
        <v>-50.96</v>
      </c>
    </row>
    <row r="466" spans="1:12" x14ac:dyDescent="0.2">
      <c r="A466" s="2">
        <v>41731</v>
      </c>
      <c r="B466" s="8">
        <f>YEAR(Sales_data[[#This Row],[Order Date]])</f>
        <v>2014</v>
      </c>
      <c r="C466" s="8">
        <f>MONTH(Sales_data[[#This Row],[Order Date]])</f>
        <v>4</v>
      </c>
      <c r="D466" s="8" t="str">
        <f>TEXT(Sales_data[[#This Row],[Order Date]],"mmm")</f>
        <v>Apr</v>
      </c>
      <c r="E466" t="s">
        <v>9</v>
      </c>
      <c r="F466" t="s">
        <v>28</v>
      </c>
      <c r="G466" t="s">
        <v>34</v>
      </c>
      <c r="H466" t="s">
        <v>42</v>
      </c>
      <c r="I466" t="s">
        <v>47</v>
      </c>
      <c r="J466" s="7">
        <v>1584.79</v>
      </c>
      <c r="K466" s="8">
        <v>2</v>
      </c>
      <c r="L466" s="7">
        <v>25.98</v>
      </c>
    </row>
    <row r="467" spans="1:12" x14ac:dyDescent="0.2">
      <c r="A467" s="2">
        <v>41731</v>
      </c>
      <c r="B467" s="8">
        <f>YEAR(Sales_data[[#This Row],[Order Date]])</f>
        <v>2014</v>
      </c>
      <c r="C467" s="8">
        <f>MONTH(Sales_data[[#This Row],[Order Date]])</f>
        <v>4</v>
      </c>
      <c r="D467" s="8" t="str">
        <f>TEXT(Sales_data[[#This Row],[Order Date]],"mmm")</f>
        <v>Apr</v>
      </c>
      <c r="E467" t="s">
        <v>10</v>
      </c>
      <c r="F467" t="s">
        <v>29</v>
      </c>
      <c r="G467" t="s">
        <v>34</v>
      </c>
      <c r="H467" t="s">
        <v>38</v>
      </c>
      <c r="I467" t="s">
        <v>53</v>
      </c>
      <c r="J467" s="7">
        <v>1347.8</v>
      </c>
      <c r="K467" s="8">
        <v>1</v>
      </c>
      <c r="L467" s="7">
        <v>337.34</v>
      </c>
    </row>
    <row r="468" spans="1:12" x14ac:dyDescent="0.2">
      <c r="A468" s="2">
        <v>41734</v>
      </c>
      <c r="B468" s="8">
        <f>YEAR(Sales_data[[#This Row],[Order Date]])</f>
        <v>2014</v>
      </c>
      <c r="C468" s="8">
        <f>MONTH(Sales_data[[#This Row],[Order Date]])</f>
        <v>4</v>
      </c>
      <c r="D468" s="8" t="str">
        <f>TEXT(Sales_data[[#This Row],[Order Date]],"mmm")</f>
        <v>Apr</v>
      </c>
      <c r="E468" t="s">
        <v>9</v>
      </c>
      <c r="F468" t="s">
        <v>29</v>
      </c>
      <c r="G468" t="s">
        <v>32</v>
      </c>
      <c r="H468" t="s">
        <v>41</v>
      </c>
      <c r="I468" t="s">
        <v>52</v>
      </c>
      <c r="J468" s="7">
        <v>1331.61</v>
      </c>
      <c r="K468" s="8">
        <v>2</v>
      </c>
      <c r="L468" s="7">
        <v>127.63</v>
      </c>
    </row>
    <row r="469" spans="1:12" x14ac:dyDescent="0.2">
      <c r="A469" s="2">
        <v>41734</v>
      </c>
      <c r="B469" s="8">
        <f>YEAR(Sales_data[[#This Row],[Order Date]])</f>
        <v>2014</v>
      </c>
      <c r="C469" s="8">
        <f>MONTH(Sales_data[[#This Row],[Order Date]])</f>
        <v>4</v>
      </c>
      <c r="D469" s="8" t="str">
        <f>TEXT(Sales_data[[#This Row],[Order Date]],"mmm")</f>
        <v>Apr</v>
      </c>
      <c r="E469" t="s">
        <v>16</v>
      </c>
      <c r="F469" t="s">
        <v>30</v>
      </c>
      <c r="G469" t="s">
        <v>32</v>
      </c>
      <c r="H469" t="s">
        <v>35</v>
      </c>
      <c r="I469" t="s">
        <v>50</v>
      </c>
      <c r="J469" s="7">
        <v>851.51</v>
      </c>
      <c r="K469" s="8">
        <v>1</v>
      </c>
      <c r="L469" s="7">
        <v>133.97</v>
      </c>
    </row>
    <row r="470" spans="1:12" x14ac:dyDescent="0.2">
      <c r="A470" s="2">
        <v>41735</v>
      </c>
      <c r="B470" s="8">
        <f>YEAR(Sales_data[[#This Row],[Order Date]])</f>
        <v>2014</v>
      </c>
      <c r="C470" s="8">
        <f>MONTH(Sales_data[[#This Row],[Order Date]])</f>
        <v>4</v>
      </c>
      <c r="D470" s="8" t="str">
        <f>TEXT(Sales_data[[#This Row],[Order Date]],"mmm")</f>
        <v>Apr</v>
      </c>
      <c r="E470" t="s">
        <v>16</v>
      </c>
      <c r="F470" t="s">
        <v>25</v>
      </c>
      <c r="G470" t="s">
        <v>32</v>
      </c>
      <c r="H470" t="s">
        <v>39</v>
      </c>
      <c r="I470" t="s">
        <v>52</v>
      </c>
      <c r="J470" s="7">
        <v>276.54000000000002</v>
      </c>
      <c r="K470" s="8">
        <v>6</v>
      </c>
      <c r="L470" s="7">
        <v>132.99</v>
      </c>
    </row>
    <row r="471" spans="1:12" x14ac:dyDescent="0.2">
      <c r="A471" s="2">
        <v>41738</v>
      </c>
      <c r="B471" s="8">
        <f>YEAR(Sales_data[[#This Row],[Order Date]])</f>
        <v>2014</v>
      </c>
      <c r="C471" s="8">
        <f>MONTH(Sales_data[[#This Row],[Order Date]])</f>
        <v>4</v>
      </c>
      <c r="D471" s="8" t="str">
        <f>TEXT(Sales_data[[#This Row],[Order Date]],"mmm")</f>
        <v>Apr</v>
      </c>
      <c r="E471" t="s">
        <v>15</v>
      </c>
      <c r="F471" t="s">
        <v>22</v>
      </c>
      <c r="G471" t="s">
        <v>33</v>
      </c>
      <c r="H471" t="s">
        <v>43</v>
      </c>
      <c r="I471" t="s">
        <v>44</v>
      </c>
      <c r="J471" s="7">
        <v>1300.9000000000001</v>
      </c>
      <c r="K471" s="8">
        <v>2</v>
      </c>
      <c r="L471" s="7">
        <v>20.239999999999998</v>
      </c>
    </row>
    <row r="472" spans="1:12" x14ac:dyDescent="0.2">
      <c r="A472" s="2">
        <v>41740</v>
      </c>
      <c r="B472" s="8">
        <f>YEAR(Sales_data[[#This Row],[Order Date]])</f>
        <v>2014</v>
      </c>
      <c r="C472" s="8">
        <f>MONTH(Sales_data[[#This Row],[Order Date]])</f>
        <v>4</v>
      </c>
      <c r="D472" s="8" t="str">
        <f>TEXT(Sales_data[[#This Row],[Order Date]],"mmm")</f>
        <v>Apr</v>
      </c>
      <c r="E472" t="s">
        <v>20</v>
      </c>
      <c r="F472" t="s">
        <v>31</v>
      </c>
      <c r="G472" t="s">
        <v>32</v>
      </c>
      <c r="H472" t="s">
        <v>40</v>
      </c>
      <c r="I472" t="s">
        <v>45</v>
      </c>
      <c r="J472" s="7">
        <v>109.54</v>
      </c>
      <c r="K472" s="8">
        <v>6</v>
      </c>
      <c r="L472" s="7">
        <v>79.680000000000007</v>
      </c>
    </row>
    <row r="473" spans="1:12" x14ac:dyDescent="0.2">
      <c r="A473" s="2">
        <v>41741</v>
      </c>
      <c r="B473" s="8">
        <f>YEAR(Sales_data[[#This Row],[Order Date]])</f>
        <v>2014</v>
      </c>
      <c r="C473" s="8">
        <f>MONTH(Sales_data[[#This Row],[Order Date]])</f>
        <v>4</v>
      </c>
      <c r="D473" s="8" t="str">
        <f>TEXT(Sales_data[[#This Row],[Order Date]],"mmm")</f>
        <v>Apr</v>
      </c>
      <c r="E473" t="s">
        <v>12</v>
      </c>
      <c r="F473" t="s">
        <v>28</v>
      </c>
      <c r="G473" t="s">
        <v>33</v>
      </c>
      <c r="H473" t="s">
        <v>41</v>
      </c>
      <c r="I473" t="s">
        <v>49</v>
      </c>
      <c r="J473" s="7">
        <v>861.76</v>
      </c>
      <c r="K473" s="8">
        <v>1</v>
      </c>
      <c r="L473" s="7">
        <v>140.52000000000001</v>
      </c>
    </row>
    <row r="474" spans="1:12" x14ac:dyDescent="0.2">
      <c r="A474" s="2">
        <v>41742</v>
      </c>
      <c r="B474" s="8">
        <f>YEAR(Sales_data[[#This Row],[Order Date]])</f>
        <v>2014</v>
      </c>
      <c r="C474" s="8">
        <f>MONTH(Sales_data[[#This Row],[Order Date]])</f>
        <v>4</v>
      </c>
      <c r="D474" s="8" t="str">
        <f>TEXT(Sales_data[[#This Row],[Order Date]],"mmm")</f>
        <v>Apr</v>
      </c>
      <c r="E474" t="s">
        <v>11</v>
      </c>
      <c r="F474" t="s">
        <v>23</v>
      </c>
      <c r="G474" t="s">
        <v>33</v>
      </c>
      <c r="H474" t="s">
        <v>40</v>
      </c>
      <c r="I474" t="s">
        <v>51</v>
      </c>
      <c r="J474" s="7">
        <v>209.48</v>
      </c>
      <c r="K474" s="8">
        <v>1</v>
      </c>
      <c r="L474" s="7">
        <v>29.01</v>
      </c>
    </row>
    <row r="475" spans="1:12" x14ac:dyDescent="0.2">
      <c r="A475" s="2">
        <v>41743</v>
      </c>
      <c r="B475" s="8">
        <f>YEAR(Sales_data[[#This Row],[Order Date]])</f>
        <v>2014</v>
      </c>
      <c r="C475" s="8">
        <f>MONTH(Sales_data[[#This Row],[Order Date]])</f>
        <v>4</v>
      </c>
      <c r="D475" s="8" t="str">
        <f>TEXT(Sales_data[[#This Row],[Order Date]],"mmm")</f>
        <v>Apr</v>
      </c>
      <c r="E475" t="s">
        <v>20</v>
      </c>
      <c r="F475" t="s">
        <v>24</v>
      </c>
      <c r="G475" t="s">
        <v>34</v>
      </c>
      <c r="H475" t="s">
        <v>43</v>
      </c>
      <c r="I475" t="s">
        <v>51</v>
      </c>
      <c r="J475" s="7">
        <v>870.34</v>
      </c>
      <c r="K475" s="8">
        <v>4</v>
      </c>
      <c r="L475" s="7">
        <v>-7.42</v>
      </c>
    </row>
    <row r="476" spans="1:12" x14ac:dyDescent="0.2">
      <c r="A476" s="2">
        <v>41744</v>
      </c>
      <c r="B476" s="8">
        <f>YEAR(Sales_data[[#This Row],[Order Date]])</f>
        <v>2014</v>
      </c>
      <c r="C476" s="8">
        <f>MONTH(Sales_data[[#This Row],[Order Date]])</f>
        <v>4</v>
      </c>
      <c r="D476" s="8" t="str">
        <f>TEXT(Sales_data[[#This Row],[Order Date]],"mmm")</f>
        <v>Apr</v>
      </c>
      <c r="E476" t="s">
        <v>20</v>
      </c>
      <c r="F476" t="s">
        <v>31</v>
      </c>
      <c r="G476" t="s">
        <v>34</v>
      </c>
      <c r="H476" t="s">
        <v>38</v>
      </c>
      <c r="I476" t="s">
        <v>47</v>
      </c>
      <c r="J476" s="7">
        <v>746.3</v>
      </c>
      <c r="K476" s="8">
        <v>3</v>
      </c>
      <c r="L476" s="7">
        <v>212.87</v>
      </c>
    </row>
    <row r="477" spans="1:12" x14ac:dyDescent="0.2">
      <c r="A477" s="2">
        <v>41745</v>
      </c>
      <c r="B477" s="8">
        <f>YEAR(Sales_data[[#This Row],[Order Date]])</f>
        <v>2014</v>
      </c>
      <c r="C477" s="8">
        <f>MONTH(Sales_data[[#This Row],[Order Date]])</f>
        <v>4</v>
      </c>
      <c r="D477" s="8" t="str">
        <f>TEXT(Sales_data[[#This Row],[Order Date]],"mmm")</f>
        <v>Apr</v>
      </c>
      <c r="E477" t="s">
        <v>10</v>
      </c>
      <c r="F477" t="s">
        <v>25</v>
      </c>
      <c r="G477" t="s">
        <v>34</v>
      </c>
      <c r="H477" t="s">
        <v>36</v>
      </c>
      <c r="I477" t="s">
        <v>47</v>
      </c>
      <c r="J477" s="7">
        <v>407.75</v>
      </c>
      <c r="K477" s="8">
        <v>5</v>
      </c>
      <c r="L477" s="7">
        <v>-161.05000000000001</v>
      </c>
    </row>
    <row r="478" spans="1:12" x14ac:dyDescent="0.2">
      <c r="A478" s="2">
        <v>41745</v>
      </c>
      <c r="B478" s="8">
        <f>YEAR(Sales_data[[#This Row],[Order Date]])</f>
        <v>2014</v>
      </c>
      <c r="C478" s="8">
        <f>MONTH(Sales_data[[#This Row],[Order Date]])</f>
        <v>4</v>
      </c>
      <c r="D478" s="8" t="str">
        <f>TEXT(Sales_data[[#This Row],[Order Date]],"mmm")</f>
        <v>Apr</v>
      </c>
      <c r="E478" t="s">
        <v>13</v>
      </c>
      <c r="F478" t="s">
        <v>30</v>
      </c>
      <c r="G478" t="s">
        <v>33</v>
      </c>
      <c r="H478" t="s">
        <v>42</v>
      </c>
      <c r="I478" t="s">
        <v>48</v>
      </c>
      <c r="J478" s="7">
        <v>240.19</v>
      </c>
      <c r="K478" s="8">
        <v>9</v>
      </c>
      <c r="L478" s="7">
        <v>-130.81</v>
      </c>
    </row>
    <row r="479" spans="1:12" x14ac:dyDescent="0.2">
      <c r="A479" s="2">
        <v>41745</v>
      </c>
      <c r="B479" s="8">
        <f>YEAR(Sales_data[[#This Row],[Order Date]])</f>
        <v>2014</v>
      </c>
      <c r="C479" s="8">
        <f>MONTH(Sales_data[[#This Row],[Order Date]])</f>
        <v>4</v>
      </c>
      <c r="D479" s="8" t="str">
        <f>TEXT(Sales_data[[#This Row],[Order Date]],"mmm")</f>
        <v>Apr</v>
      </c>
      <c r="E479" t="s">
        <v>9</v>
      </c>
      <c r="F479" t="s">
        <v>28</v>
      </c>
      <c r="G479" t="s">
        <v>32</v>
      </c>
      <c r="H479" t="s">
        <v>35</v>
      </c>
      <c r="I479" t="s">
        <v>52</v>
      </c>
      <c r="J479" s="7">
        <v>100.52</v>
      </c>
      <c r="K479" s="8">
        <v>3</v>
      </c>
      <c r="L479" s="7">
        <v>-112.27</v>
      </c>
    </row>
    <row r="480" spans="1:12" x14ac:dyDescent="0.2">
      <c r="A480" s="2">
        <v>41747</v>
      </c>
      <c r="B480" s="8">
        <f>YEAR(Sales_data[[#This Row],[Order Date]])</f>
        <v>2014</v>
      </c>
      <c r="C480" s="8">
        <f>MONTH(Sales_data[[#This Row],[Order Date]])</f>
        <v>4</v>
      </c>
      <c r="D480" s="8" t="str">
        <f>TEXT(Sales_data[[#This Row],[Order Date]],"mmm")</f>
        <v>Apr</v>
      </c>
      <c r="E480" t="s">
        <v>20</v>
      </c>
      <c r="F480" t="s">
        <v>25</v>
      </c>
      <c r="G480" t="s">
        <v>32</v>
      </c>
      <c r="H480" t="s">
        <v>40</v>
      </c>
      <c r="I480" t="s">
        <v>50</v>
      </c>
      <c r="J480" s="7">
        <v>1452.57</v>
      </c>
      <c r="K480" s="8">
        <v>6</v>
      </c>
      <c r="L480" s="7">
        <v>-34.03</v>
      </c>
    </row>
    <row r="481" spans="1:12" x14ac:dyDescent="0.2">
      <c r="A481" s="2">
        <v>41748</v>
      </c>
      <c r="B481" s="8">
        <f>YEAR(Sales_data[[#This Row],[Order Date]])</f>
        <v>2014</v>
      </c>
      <c r="C481" s="8">
        <f>MONTH(Sales_data[[#This Row],[Order Date]])</f>
        <v>4</v>
      </c>
      <c r="D481" s="8" t="str">
        <f>TEXT(Sales_data[[#This Row],[Order Date]],"mmm")</f>
        <v>Apr</v>
      </c>
      <c r="E481" t="s">
        <v>19</v>
      </c>
      <c r="F481" t="s">
        <v>26</v>
      </c>
      <c r="G481" t="s">
        <v>32</v>
      </c>
      <c r="H481" t="s">
        <v>35</v>
      </c>
      <c r="I481" t="s">
        <v>52</v>
      </c>
      <c r="J481" s="7">
        <v>185.37</v>
      </c>
      <c r="K481" s="8">
        <v>7</v>
      </c>
      <c r="L481" s="7">
        <v>-95.1</v>
      </c>
    </row>
    <row r="482" spans="1:12" x14ac:dyDescent="0.2">
      <c r="A482" s="2">
        <v>41748</v>
      </c>
      <c r="B482" s="8">
        <f>YEAR(Sales_data[[#This Row],[Order Date]])</f>
        <v>2014</v>
      </c>
      <c r="C482" s="8">
        <f>MONTH(Sales_data[[#This Row],[Order Date]])</f>
        <v>4</v>
      </c>
      <c r="D482" s="8" t="str">
        <f>TEXT(Sales_data[[#This Row],[Order Date]],"mmm")</f>
        <v>Apr</v>
      </c>
      <c r="E482" t="s">
        <v>16</v>
      </c>
      <c r="F482" t="s">
        <v>25</v>
      </c>
      <c r="G482" t="s">
        <v>34</v>
      </c>
      <c r="H482" t="s">
        <v>42</v>
      </c>
      <c r="I482" t="s">
        <v>50</v>
      </c>
      <c r="J482" s="7">
        <v>1294.24</v>
      </c>
      <c r="K482" s="8">
        <v>5</v>
      </c>
      <c r="L482" s="7">
        <v>38.159999999999997</v>
      </c>
    </row>
    <row r="483" spans="1:12" x14ac:dyDescent="0.2">
      <c r="A483" s="2">
        <v>41749</v>
      </c>
      <c r="B483" s="8">
        <f>YEAR(Sales_data[[#This Row],[Order Date]])</f>
        <v>2014</v>
      </c>
      <c r="C483" s="8">
        <f>MONTH(Sales_data[[#This Row],[Order Date]])</f>
        <v>4</v>
      </c>
      <c r="D483" s="8" t="str">
        <f>TEXT(Sales_data[[#This Row],[Order Date]],"mmm")</f>
        <v>Apr</v>
      </c>
      <c r="E483" t="s">
        <v>19</v>
      </c>
      <c r="F483" t="s">
        <v>29</v>
      </c>
      <c r="G483" t="s">
        <v>33</v>
      </c>
      <c r="H483" t="s">
        <v>35</v>
      </c>
      <c r="I483" t="s">
        <v>44</v>
      </c>
      <c r="J483" s="7">
        <v>996.48</v>
      </c>
      <c r="K483" s="8">
        <v>6</v>
      </c>
      <c r="L483" s="7">
        <v>30.15</v>
      </c>
    </row>
    <row r="484" spans="1:12" x14ac:dyDescent="0.2">
      <c r="A484" s="2">
        <v>41749</v>
      </c>
      <c r="B484" s="8">
        <f>YEAR(Sales_data[[#This Row],[Order Date]])</f>
        <v>2014</v>
      </c>
      <c r="C484" s="8">
        <f>MONTH(Sales_data[[#This Row],[Order Date]])</f>
        <v>4</v>
      </c>
      <c r="D484" s="8" t="str">
        <f>TEXT(Sales_data[[#This Row],[Order Date]],"mmm")</f>
        <v>Apr</v>
      </c>
      <c r="E484" t="s">
        <v>16</v>
      </c>
      <c r="F484" t="s">
        <v>27</v>
      </c>
      <c r="G484" t="s">
        <v>33</v>
      </c>
      <c r="H484" t="s">
        <v>39</v>
      </c>
      <c r="I484" t="s">
        <v>52</v>
      </c>
      <c r="J484" s="7">
        <v>488.05</v>
      </c>
      <c r="K484" s="8">
        <v>9</v>
      </c>
      <c r="L484" s="7">
        <v>-134.88</v>
      </c>
    </row>
    <row r="485" spans="1:12" x14ac:dyDescent="0.2">
      <c r="A485" s="2">
        <v>41750</v>
      </c>
      <c r="B485" s="8">
        <f>YEAR(Sales_data[[#This Row],[Order Date]])</f>
        <v>2014</v>
      </c>
      <c r="C485" s="8">
        <f>MONTH(Sales_data[[#This Row],[Order Date]])</f>
        <v>4</v>
      </c>
      <c r="D485" s="8" t="str">
        <f>TEXT(Sales_data[[#This Row],[Order Date]],"mmm")</f>
        <v>Apr</v>
      </c>
      <c r="E485" t="s">
        <v>14</v>
      </c>
      <c r="F485" t="s">
        <v>28</v>
      </c>
      <c r="G485" t="s">
        <v>32</v>
      </c>
      <c r="H485" t="s">
        <v>38</v>
      </c>
      <c r="I485" t="s">
        <v>52</v>
      </c>
      <c r="J485" s="7">
        <v>1474.67</v>
      </c>
      <c r="K485" s="8">
        <v>1</v>
      </c>
      <c r="L485" s="7">
        <v>-27.31</v>
      </c>
    </row>
    <row r="486" spans="1:12" x14ac:dyDescent="0.2">
      <c r="A486" s="2">
        <v>41750</v>
      </c>
      <c r="B486" s="8">
        <f>YEAR(Sales_data[[#This Row],[Order Date]])</f>
        <v>2014</v>
      </c>
      <c r="C486" s="8">
        <f>MONTH(Sales_data[[#This Row],[Order Date]])</f>
        <v>4</v>
      </c>
      <c r="D486" s="8" t="str">
        <f>TEXT(Sales_data[[#This Row],[Order Date]],"mmm")</f>
        <v>Apr</v>
      </c>
      <c r="E486" t="s">
        <v>13</v>
      </c>
      <c r="F486" t="s">
        <v>23</v>
      </c>
      <c r="G486" t="s">
        <v>33</v>
      </c>
      <c r="H486" t="s">
        <v>39</v>
      </c>
      <c r="I486" t="s">
        <v>45</v>
      </c>
      <c r="J486" s="7">
        <v>324.89999999999998</v>
      </c>
      <c r="K486" s="8">
        <v>4</v>
      </c>
      <c r="L486" s="7">
        <v>132.22</v>
      </c>
    </row>
    <row r="487" spans="1:12" x14ac:dyDescent="0.2">
      <c r="A487" s="2">
        <v>41750</v>
      </c>
      <c r="B487" s="8">
        <f>YEAR(Sales_data[[#This Row],[Order Date]])</f>
        <v>2014</v>
      </c>
      <c r="C487" s="8">
        <f>MONTH(Sales_data[[#This Row],[Order Date]])</f>
        <v>4</v>
      </c>
      <c r="D487" s="8" t="str">
        <f>TEXT(Sales_data[[#This Row],[Order Date]],"mmm")</f>
        <v>Apr</v>
      </c>
      <c r="E487" t="s">
        <v>16</v>
      </c>
      <c r="F487" t="s">
        <v>24</v>
      </c>
      <c r="G487" t="s">
        <v>34</v>
      </c>
      <c r="H487" t="s">
        <v>38</v>
      </c>
      <c r="I487" t="s">
        <v>44</v>
      </c>
      <c r="J487" s="7">
        <v>994.64</v>
      </c>
      <c r="K487" s="8">
        <v>5</v>
      </c>
      <c r="L487" s="7">
        <v>6.66</v>
      </c>
    </row>
    <row r="488" spans="1:12" x14ac:dyDescent="0.2">
      <c r="A488" s="2">
        <v>41751</v>
      </c>
      <c r="B488" s="8">
        <f>YEAR(Sales_data[[#This Row],[Order Date]])</f>
        <v>2014</v>
      </c>
      <c r="C488" s="8">
        <f>MONTH(Sales_data[[#This Row],[Order Date]])</f>
        <v>4</v>
      </c>
      <c r="D488" s="8" t="str">
        <f>TEXT(Sales_data[[#This Row],[Order Date]],"mmm")</f>
        <v>Apr</v>
      </c>
      <c r="E488" t="s">
        <v>20</v>
      </c>
      <c r="F488" t="s">
        <v>28</v>
      </c>
      <c r="G488" t="s">
        <v>33</v>
      </c>
      <c r="H488" t="s">
        <v>43</v>
      </c>
      <c r="I488" t="s">
        <v>50</v>
      </c>
      <c r="J488" s="7">
        <v>453.07</v>
      </c>
      <c r="K488" s="8">
        <v>2</v>
      </c>
      <c r="L488" s="7">
        <v>-162.91999999999999</v>
      </c>
    </row>
    <row r="489" spans="1:12" x14ac:dyDescent="0.2">
      <c r="A489" s="2">
        <v>41751</v>
      </c>
      <c r="B489" s="8">
        <f>YEAR(Sales_data[[#This Row],[Order Date]])</f>
        <v>2014</v>
      </c>
      <c r="C489" s="8">
        <f>MONTH(Sales_data[[#This Row],[Order Date]])</f>
        <v>4</v>
      </c>
      <c r="D489" s="8" t="str">
        <f>TEXT(Sales_data[[#This Row],[Order Date]],"mmm")</f>
        <v>Apr</v>
      </c>
      <c r="E489" t="s">
        <v>15</v>
      </c>
      <c r="F489" t="s">
        <v>24</v>
      </c>
      <c r="G489" t="s">
        <v>33</v>
      </c>
      <c r="H489" t="s">
        <v>38</v>
      </c>
      <c r="I489" t="s">
        <v>53</v>
      </c>
      <c r="J489" s="7">
        <v>1413.18</v>
      </c>
      <c r="K489" s="8">
        <v>2</v>
      </c>
      <c r="L489" s="7">
        <v>-5.45</v>
      </c>
    </row>
    <row r="490" spans="1:12" x14ac:dyDescent="0.2">
      <c r="A490" s="2">
        <v>41752</v>
      </c>
      <c r="B490" s="8">
        <f>YEAR(Sales_data[[#This Row],[Order Date]])</f>
        <v>2014</v>
      </c>
      <c r="C490" s="8">
        <f>MONTH(Sales_data[[#This Row],[Order Date]])</f>
        <v>4</v>
      </c>
      <c r="D490" s="8" t="str">
        <f>TEXT(Sales_data[[#This Row],[Order Date]],"mmm")</f>
        <v>Apr</v>
      </c>
      <c r="E490" t="s">
        <v>20</v>
      </c>
      <c r="F490" t="s">
        <v>26</v>
      </c>
      <c r="G490" t="s">
        <v>33</v>
      </c>
      <c r="H490" t="s">
        <v>40</v>
      </c>
      <c r="I490" t="s">
        <v>47</v>
      </c>
      <c r="J490" s="7">
        <v>1786.66</v>
      </c>
      <c r="K490" s="8">
        <v>3</v>
      </c>
      <c r="L490" s="7">
        <v>-168.85</v>
      </c>
    </row>
    <row r="491" spans="1:12" x14ac:dyDescent="0.2">
      <c r="A491" s="2">
        <v>41756</v>
      </c>
      <c r="B491" s="8">
        <f>YEAR(Sales_data[[#This Row],[Order Date]])</f>
        <v>2014</v>
      </c>
      <c r="C491" s="8">
        <f>MONTH(Sales_data[[#This Row],[Order Date]])</f>
        <v>4</v>
      </c>
      <c r="D491" s="8" t="str">
        <f>TEXT(Sales_data[[#This Row],[Order Date]],"mmm")</f>
        <v>Apr</v>
      </c>
      <c r="E491" t="s">
        <v>12</v>
      </c>
      <c r="F491" t="s">
        <v>22</v>
      </c>
      <c r="G491" t="s">
        <v>32</v>
      </c>
      <c r="H491" t="s">
        <v>40</v>
      </c>
      <c r="I491" t="s">
        <v>44</v>
      </c>
      <c r="J491" s="7">
        <v>653.98</v>
      </c>
      <c r="K491" s="8">
        <v>9</v>
      </c>
      <c r="L491" s="7">
        <v>320.45</v>
      </c>
    </row>
    <row r="492" spans="1:12" x14ac:dyDescent="0.2">
      <c r="A492" s="2">
        <v>41759</v>
      </c>
      <c r="B492" s="8">
        <f>YEAR(Sales_data[[#This Row],[Order Date]])</f>
        <v>2014</v>
      </c>
      <c r="C492" s="8">
        <f>MONTH(Sales_data[[#This Row],[Order Date]])</f>
        <v>4</v>
      </c>
      <c r="D492" s="8" t="str">
        <f>TEXT(Sales_data[[#This Row],[Order Date]],"mmm")</f>
        <v>Apr</v>
      </c>
      <c r="E492" t="s">
        <v>18</v>
      </c>
      <c r="F492" t="s">
        <v>29</v>
      </c>
      <c r="G492" t="s">
        <v>34</v>
      </c>
      <c r="H492" t="s">
        <v>43</v>
      </c>
      <c r="I492" t="s">
        <v>53</v>
      </c>
      <c r="J492" s="7">
        <v>1301.67</v>
      </c>
      <c r="K492" s="8">
        <v>7</v>
      </c>
      <c r="L492" s="7">
        <v>-6.78</v>
      </c>
    </row>
    <row r="493" spans="1:12" x14ac:dyDescent="0.2">
      <c r="A493" s="2">
        <v>41759</v>
      </c>
      <c r="B493" s="8">
        <f>YEAR(Sales_data[[#This Row],[Order Date]])</f>
        <v>2014</v>
      </c>
      <c r="C493" s="8">
        <f>MONTH(Sales_data[[#This Row],[Order Date]])</f>
        <v>4</v>
      </c>
      <c r="D493" s="8" t="str">
        <f>TEXT(Sales_data[[#This Row],[Order Date]],"mmm")</f>
        <v>Apr</v>
      </c>
      <c r="E493" t="s">
        <v>18</v>
      </c>
      <c r="F493" t="s">
        <v>24</v>
      </c>
      <c r="G493" t="s">
        <v>32</v>
      </c>
      <c r="H493" t="s">
        <v>40</v>
      </c>
      <c r="I493" t="s">
        <v>53</v>
      </c>
      <c r="J493" s="7">
        <v>404.84</v>
      </c>
      <c r="K493" s="8">
        <v>1</v>
      </c>
      <c r="L493" s="7">
        <v>43.16</v>
      </c>
    </row>
    <row r="494" spans="1:12" x14ac:dyDescent="0.2">
      <c r="A494" s="2">
        <v>41762</v>
      </c>
      <c r="B494" s="8">
        <f>YEAR(Sales_data[[#This Row],[Order Date]])</f>
        <v>2014</v>
      </c>
      <c r="C494" s="8">
        <f>MONTH(Sales_data[[#This Row],[Order Date]])</f>
        <v>5</v>
      </c>
      <c r="D494" s="8" t="str">
        <f>TEXT(Sales_data[[#This Row],[Order Date]],"mmm")</f>
        <v>May</v>
      </c>
      <c r="E494" t="s">
        <v>13</v>
      </c>
      <c r="F494" t="s">
        <v>30</v>
      </c>
      <c r="G494" t="s">
        <v>32</v>
      </c>
      <c r="H494" t="s">
        <v>36</v>
      </c>
      <c r="I494" t="s">
        <v>51</v>
      </c>
      <c r="J494" s="7">
        <v>504.59</v>
      </c>
      <c r="K494" s="8">
        <v>2</v>
      </c>
      <c r="L494" s="7">
        <v>-7.15</v>
      </c>
    </row>
    <row r="495" spans="1:12" x14ac:dyDescent="0.2">
      <c r="A495" s="2">
        <v>41762</v>
      </c>
      <c r="B495" s="8">
        <f>YEAR(Sales_data[[#This Row],[Order Date]])</f>
        <v>2014</v>
      </c>
      <c r="C495" s="8">
        <f>MONTH(Sales_data[[#This Row],[Order Date]])</f>
        <v>5</v>
      </c>
      <c r="D495" s="8" t="str">
        <f>TEXT(Sales_data[[#This Row],[Order Date]],"mmm")</f>
        <v>May</v>
      </c>
      <c r="E495" t="s">
        <v>10</v>
      </c>
      <c r="F495" t="s">
        <v>26</v>
      </c>
      <c r="G495" t="s">
        <v>34</v>
      </c>
      <c r="H495" t="s">
        <v>40</v>
      </c>
      <c r="I495" t="s">
        <v>46</v>
      </c>
      <c r="J495" s="7">
        <v>1043.7</v>
      </c>
      <c r="K495" s="8">
        <v>5</v>
      </c>
      <c r="L495" s="7">
        <v>106.63</v>
      </c>
    </row>
    <row r="496" spans="1:12" x14ac:dyDescent="0.2">
      <c r="A496" s="2">
        <v>41763</v>
      </c>
      <c r="B496" s="8">
        <f>YEAR(Sales_data[[#This Row],[Order Date]])</f>
        <v>2014</v>
      </c>
      <c r="C496" s="8">
        <f>MONTH(Sales_data[[#This Row],[Order Date]])</f>
        <v>5</v>
      </c>
      <c r="D496" s="8" t="str">
        <f>TEXT(Sales_data[[#This Row],[Order Date]],"mmm")</f>
        <v>May</v>
      </c>
      <c r="E496" t="s">
        <v>14</v>
      </c>
      <c r="F496" t="s">
        <v>22</v>
      </c>
      <c r="G496" t="s">
        <v>32</v>
      </c>
      <c r="H496" t="s">
        <v>37</v>
      </c>
      <c r="I496" t="s">
        <v>47</v>
      </c>
      <c r="J496" s="7">
        <v>599.16999999999996</v>
      </c>
      <c r="K496" s="8">
        <v>2</v>
      </c>
      <c r="L496" s="7">
        <v>201.9</v>
      </c>
    </row>
    <row r="497" spans="1:12" x14ac:dyDescent="0.2">
      <c r="A497" s="2">
        <v>41763</v>
      </c>
      <c r="B497" s="8">
        <f>YEAR(Sales_data[[#This Row],[Order Date]])</f>
        <v>2014</v>
      </c>
      <c r="C497" s="8">
        <f>MONTH(Sales_data[[#This Row],[Order Date]])</f>
        <v>5</v>
      </c>
      <c r="D497" s="8" t="str">
        <f>TEXT(Sales_data[[#This Row],[Order Date]],"mmm")</f>
        <v>May</v>
      </c>
      <c r="E497" t="s">
        <v>10</v>
      </c>
      <c r="F497" t="s">
        <v>30</v>
      </c>
      <c r="G497" t="s">
        <v>33</v>
      </c>
      <c r="H497" t="s">
        <v>38</v>
      </c>
      <c r="I497" t="s">
        <v>50</v>
      </c>
      <c r="J497" s="7">
        <v>1541.28</v>
      </c>
      <c r="K497" s="8">
        <v>6</v>
      </c>
      <c r="L497" s="7">
        <v>-142.63999999999999</v>
      </c>
    </row>
    <row r="498" spans="1:12" x14ac:dyDescent="0.2">
      <c r="A498" s="2">
        <v>41764</v>
      </c>
      <c r="B498" s="8">
        <f>YEAR(Sales_data[[#This Row],[Order Date]])</f>
        <v>2014</v>
      </c>
      <c r="C498" s="8">
        <f>MONTH(Sales_data[[#This Row],[Order Date]])</f>
        <v>5</v>
      </c>
      <c r="D498" s="8" t="str">
        <f>TEXT(Sales_data[[#This Row],[Order Date]],"mmm")</f>
        <v>May</v>
      </c>
      <c r="E498" t="s">
        <v>13</v>
      </c>
      <c r="F498" t="s">
        <v>28</v>
      </c>
      <c r="G498" t="s">
        <v>34</v>
      </c>
      <c r="H498" t="s">
        <v>39</v>
      </c>
      <c r="I498" t="s">
        <v>50</v>
      </c>
      <c r="J498" s="7">
        <v>824.3</v>
      </c>
      <c r="K498" s="8">
        <v>8</v>
      </c>
      <c r="L498" s="7">
        <v>144.54</v>
      </c>
    </row>
    <row r="499" spans="1:12" x14ac:dyDescent="0.2">
      <c r="A499" s="2">
        <v>41765</v>
      </c>
      <c r="B499" s="8">
        <f>YEAR(Sales_data[[#This Row],[Order Date]])</f>
        <v>2014</v>
      </c>
      <c r="C499" s="8">
        <f>MONTH(Sales_data[[#This Row],[Order Date]])</f>
        <v>5</v>
      </c>
      <c r="D499" s="8" t="str">
        <f>TEXT(Sales_data[[#This Row],[Order Date]],"mmm")</f>
        <v>May</v>
      </c>
      <c r="E499" t="s">
        <v>9</v>
      </c>
      <c r="F499" t="s">
        <v>28</v>
      </c>
      <c r="G499" t="s">
        <v>32</v>
      </c>
      <c r="H499" t="s">
        <v>38</v>
      </c>
      <c r="I499" t="s">
        <v>51</v>
      </c>
      <c r="J499" s="7">
        <v>947.45</v>
      </c>
      <c r="K499" s="8">
        <v>1</v>
      </c>
      <c r="L499" s="7">
        <v>163.38999999999999</v>
      </c>
    </row>
    <row r="500" spans="1:12" x14ac:dyDescent="0.2">
      <c r="A500" s="2">
        <v>41766</v>
      </c>
      <c r="B500" s="8">
        <f>YEAR(Sales_data[[#This Row],[Order Date]])</f>
        <v>2014</v>
      </c>
      <c r="C500" s="8">
        <f>MONTH(Sales_data[[#This Row],[Order Date]])</f>
        <v>5</v>
      </c>
      <c r="D500" s="8" t="str">
        <f>TEXT(Sales_data[[#This Row],[Order Date]],"mmm")</f>
        <v>May</v>
      </c>
      <c r="E500" t="s">
        <v>15</v>
      </c>
      <c r="F500" t="s">
        <v>24</v>
      </c>
      <c r="G500" t="s">
        <v>33</v>
      </c>
      <c r="H500" t="s">
        <v>40</v>
      </c>
      <c r="I500" t="s">
        <v>45</v>
      </c>
      <c r="J500" s="7">
        <v>902.6</v>
      </c>
      <c r="K500" s="8">
        <v>2</v>
      </c>
      <c r="L500" s="7">
        <v>178.93</v>
      </c>
    </row>
    <row r="501" spans="1:12" x14ac:dyDescent="0.2">
      <c r="A501" s="2">
        <v>41767</v>
      </c>
      <c r="B501" s="8">
        <f>YEAR(Sales_data[[#This Row],[Order Date]])</f>
        <v>2014</v>
      </c>
      <c r="C501" s="8">
        <f>MONTH(Sales_data[[#This Row],[Order Date]])</f>
        <v>5</v>
      </c>
      <c r="D501" s="8" t="str">
        <f>TEXT(Sales_data[[#This Row],[Order Date]],"mmm")</f>
        <v>May</v>
      </c>
      <c r="E501" t="s">
        <v>20</v>
      </c>
      <c r="F501" t="s">
        <v>23</v>
      </c>
      <c r="G501" t="s">
        <v>32</v>
      </c>
      <c r="H501" t="s">
        <v>42</v>
      </c>
      <c r="I501" t="s">
        <v>52</v>
      </c>
      <c r="J501" s="7">
        <v>1529.59</v>
      </c>
      <c r="K501" s="8">
        <v>9</v>
      </c>
      <c r="L501" s="7">
        <v>203.63</v>
      </c>
    </row>
    <row r="502" spans="1:12" x14ac:dyDescent="0.2">
      <c r="A502" s="2">
        <v>41767</v>
      </c>
      <c r="B502" s="8">
        <f>YEAR(Sales_data[[#This Row],[Order Date]])</f>
        <v>2014</v>
      </c>
      <c r="C502" s="8">
        <f>MONTH(Sales_data[[#This Row],[Order Date]])</f>
        <v>5</v>
      </c>
      <c r="D502" s="8" t="str">
        <f>TEXT(Sales_data[[#This Row],[Order Date]],"mmm")</f>
        <v>May</v>
      </c>
      <c r="E502" t="s">
        <v>20</v>
      </c>
      <c r="F502" t="s">
        <v>31</v>
      </c>
      <c r="G502" t="s">
        <v>33</v>
      </c>
      <c r="H502" t="s">
        <v>41</v>
      </c>
      <c r="I502" t="s">
        <v>51</v>
      </c>
      <c r="J502" s="7">
        <v>1536.88</v>
      </c>
      <c r="K502" s="8">
        <v>5</v>
      </c>
      <c r="L502" s="7">
        <v>335.7</v>
      </c>
    </row>
    <row r="503" spans="1:12" x14ac:dyDescent="0.2">
      <c r="A503" s="2">
        <v>41768</v>
      </c>
      <c r="B503" s="8">
        <f>YEAR(Sales_data[[#This Row],[Order Date]])</f>
        <v>2014</v>
      </c>
      <c r="C503" s="8">
        <f>MONTH(Sales_data[[#This Row],[Order Date]])</f>
        <v>5</v>
      </c>
      <c r="D503" s="8" t="str">
        <f>TEXT(Sales_data[[#This Row],[Order Date]],"mmm")</f>
        <v>May</v>
      </c>
      <c r="E503" t="s">
        <v>14</v>
      </c>
      <c r="F503" t="s">
        <v>30</v>
      </c>
      <c r="G503" t="s">
        <v>32</v>
      </c>
      <c r="H503" t="s">
        <v>42</v>
      </c>
      <c r="I503" t="s">
        <v>53</v>
      </c>
      <c r="J503" s="7">
        <v>839.93</v>
      </c>
      <c r="K503" s="8">
        <v>7</v>
      </c>
      <c r="L503" s="7">
        <v>43.62</v>
      </c>
    </row>
    <row r="504" spans="1:12" x14ac:dyDescent="0.2">
      <c r="A504" s="2">
        <v>41771</v>
      </c>
      <c r="B504" s="8">
        <f>YEAR(Sales_data[[#This Row],[Order Date]])</f>
        <v>2014</v>
      </c>
      <c r="C504" s="8">
        <f>MONTH(Sales_data[[#This Row],[Order Date]])</f>
        <v>5</v>
      </c>
      <c r="D504" s="8" t="str">
        <f>TEXT(Sales_data[[#This Row],[Order Date]],"mmm")</f>
        <v>May</v>
      </c>
      <c r="E504" t="s">
        <v>16</v>
      </c>
      <c r="F504" t="s">
        <v>30</v>
      </c>
      <c r="G504" t="s">
        <v>34</v>
      </c>
      <c r="H504" t="s">
        <v>43</v>
      </c>
      <c r="I504" t="s">
        <v>45</v>
      </c>
      <c r="J504" s="7">
        <v>1972.12</v>
      </c>
      <c r="K504" s="8">
        <v>5</v>
      </c>
      <c r="L504" s="7">
        <v>-22.34</v>
      </c>
    </row>
    <row r="505" spans="1:12" x14ac:dyDescent="0.2">
      <c r="A505" s="2">
        <v>41771</v>
      </c>
      <c r="B505" s="8">
        <f>YEAR(Sales_data[[#This Row],[Order Date]])</f>
        <v>2014</v>
      </c>
      <c r="C505" s="8">
        <f>MONTH(Sales_data[[#This Row],[Order Date]])</f>
        <v>5</v>
      </c>
      <c r="D505" s="8" t="str">
        <f>TEXT(Sales_data[[#This Row],[Order Date]],"mmm")</f>
        <v>May</v>
      </c>
      <c r="E505" t="s">
        <v>11</v>
      </c>
      <c r="F505" t="s">
        <v>24</v>
      </c>
      <c r="G505" t="s">
        <v>32</v>
      </c>
      <c r="H505" t="s">
        <v>35</v>
      </c>
      <c r="I505" t="s">
        <v>45</v>
      </c>
      <c r="J505" s="7">
        <v>742.02</v>
      </c>
      <c r="K505" s="8">
        <v>7</v>
      </c>
      <c r="L505" s="7">
        <v>387.48</v>
      </c>
    </row>
    <row r="506" spans="1:12" x14ac:dyDescent="0.2">
      <c r="A506" s="2">
        <v>41771</v>
      </c>
      <c r="B506" s="8">
        <f>YEAR(Sales_data[[#This Row],[Order Date]])</f>
        <v>2014</v>
      </c>
      <c r="C506" s="8">
        <f>MONTH(Sales_data[[#This Row],[Order Date]])</f>
        <v>5</v>
      </c>
      <c r="D506" s="8" t="str">
        <f>TEXT(Sales_data[[#This Row],[Order Date]],"mmm")</f>
        <v>May</v>
      </c>
      <c r="E506" t="s">
        <v>15</v>
      </c>
      <c r="F506" t="s">
        <v>24</v>
      </c>
      <c r="G506" t="s">
        <v>32</v>
      </c>
      <c r="H506" t="s">
        <v>42</v>
      </c>
      <c r="I506" t="s">
        <v>50</v>
      </c>
      <c r="J506" s="7">
        <v>1197.75</v>
      </c>
      <c r="K506" s="8">
        <v>2</v>
      </c>
      <c r="L506" s="7">
        <v>120.18</v>
      </c>
    </row>
    <row r="507" spans="1:12" x14ac:dyDescent="0.2">
      <c r="A507" s="2">
        <v>41773</v>
      </c>
      <c r="B507" s="8">
        <f>YEAR(Sales_data[[#This Row],[Order Date]])</f>
        <v>2014</v>
      </c>
      <c r="C507" s="8">
        <f>MONTH(Sales_data[[#This Row],[Order Date]])</f>
        <v>5</v>
      </c>
      <c r="D507" s="8" t="str">
        <f>TEXT(Sales_data[[#This Row],[Order Date]],"mmm")</f>
        <v>May</v>
      </c>
      <c r="E507" t="s">
        <v>20</v>
      </c>
      <c r="F507" t="s">
        <v>27</v>
      </c>
      <c r="G507" t="s">
        <v>34</v>
      </c>
      <c r="H507" t="s">
        <v>41</v>
      </c>
      <c r="I507" t="s">
        <v>47</v>
      </c>
      <c r="J507" s="7">
        <v>927.33</v>
      </c>
      <c r="K507" s="8">
        <v>3</v>
      </c>
      <c r="L507" s="7">
        <v>294.52</v>
      </c>
    </row>
    <row r="508" spans="1:12" x14ac:dyDescent="0.2">
      <c r="A508" s="2">
        <v>41774</v>
      </c>
      <c r="B508" s="8">
        <f>YEAR(Sales_data[[#This Row],[Order Date]])</f>
        <v>2014</v>
      </c>
      <c r="C508" s="8">
        <f>MONTH(Sales_data[[#This Row],[Order Date]])</f>
        <v>5</v>
      </c>
      <c r="D508" s="8" t="str">
        <f>TEXT(Sales_data[[#This Row],[Order Date]],"mmm")</f>
        <v>May</v>
      </c>
      <c r="E508" t="s">
        <v>11</v>
      </c>
      <c r="F508" t="s">
        <v>31</v>
      </c>
      <c r="G508" t="s">
        <v>33</v>
      </c>
      <c r="H508" t="s">
        <v>42</v>
      </c>
      <c r="I508" t="s">
        <v>49</v>
      </c>
      <c r="J508" s="7">
        <v>421.9</v>
      </c>
      <c r="K508" s="8">
        <v>9</v>
      </c>
      <c r="L508" s="7">
        <v>187.96</v>
      </c>
    </row>
    <row r="509" spans="1:12" x14ac:dyDescent="0.2">
      <c r="A509" s="2">
        <v>41776</v>
      </c>
      <c r="B509" s="8">
        <f>YEAR(Sales_data[[#This Row],[Order Date]])</f>
        <v>2014</v>
      </c>
      <c r="C509" s="8">
        <f>MONTH(Sales_data[[#This Row],[Order Date]])</f>
        <v>5</v>
      </c>
      <c r="D509" s="8" t="str">
        <f>TEXT(Sales_data[[#This Row],[Order Date]],"mmm")</f>
        <v>May</v>
      </c>
      <c r="E509" t="s">
        <v>16</v>
      </c>
      <c r="F509" t="s">
        <v>26</v>
      </c>
      <c r="G509" t="s">
        <v>34</v>
      </c>
      <c r="H509" t="s">
        <v>37</v>
      </c>
      <c r="I509" t="s">
        <v>49</v>
      </c>
      <c r="J509" s="7">
        <v>1488.21</v>
      </c>
      <c r="K509" s="8">
        <v>2</v>
      </c>
      <c r="L509" s="7">
        <v>-51.37</v>
      </c>
    </row>
    <row r="510" spans="1:12" x14ac:dyDescent="0.2">
      <c r="A510" s="2">
        <v>41776</v>
      </c>
      <c r="B510" s="8">
        <f>YEAR(Sales_data[[#This Row],[Order Date]])</f>
        <v>2014</v>
      </c>
      <c r="C510" s="8">
        <f>MONTH(Sales_data[[#This Row],[Order Date]])</f>
        <v>5</v>
      </c>
      <c r="D510" s="8" t="str">
        <f>TEXT(Sales_data[[#This Row],[Order Date]],"mmm")</f>
        <v>May</v>
      </c>
      <c r="E510" t="s">
        <v>19</v>
      </c>
      <c r="F510" t="s">
        <v>30</v>
      </c>
      <c r="G510" t="s">
        <v>32</v>
      </c>
      <c r="H510" t="s">
        <v>38</v>
      </c>
      <c r="I510" t="s">
        <v>48</v>
      </c>
      <c r="J510" s="7">
        <v>636.96</v>
      </c>
      <c r="K510" s="8">
        <v>6</v>
      </c>
      <c r="L510" s="7">
        <v>-140.25</v>
      </c>
    </row>
    <row r="511" spans="1:12" x14ac:dyDescent="0.2">
      <c r="A511" s="2">
        <v>41777</v>
      </c>
      <c r="B511" s="8">
        <f>YEAR(Sales_data[[#This Row],[Order Date]])</f>
        <v>2014</v>
      </c>
      <c r="C511" s="8">
        <f>MONTH(Sales_data[[#This Row],[Order Date]])</f>
        <v>5</v>
      </c>
      <c r="D511" s="8" t="str">
        <f>TEXT(Sales_data[[#This Row],[Order Date]],"mmm")</f>
        <v>May</v>
      </c>
      <c r="E511" t="s">
        <v>20</v>
      </c>
      <c r="F511" t="s">
        <v>31</v>
      </c>
      <c r="G511" t="s">
        <v>32</v>
      </c>
      <c r="H511" t="s">
        <v>40</v>
      </c>
      <c r="I511" t="s">
        <v>47</v>
      </c>
      <c r="J511" s="7">
        <v>827.29</v>
      </c>
      <c r="K511" s="8">
        <v>8</v>
      </c>
      <c r="L511" s="7">
        <v>175.33</v>
      </c>
    </row>
    <row r="512" spans="1:12" x14ac:dyDescent="0.2">
      <c r="A512" s="2">
        <v>41777</v>
      </c>
      <c r="B512" s="8">
        <f>YEAR(Sales_data[[#This Row],[Order Date]])</f>
        <v>2014</v>
      </c>
      <c r="C512" s="8">
        <f>MONTH(Sales_data[[#This Row],[Order Date]])</f>
        <v>5</v>
      </c>
      <c r="D512" s="8" t="str">
        <f>TEXT(Sales_data[[#This Row],[Order Date]],"mmm")</f>
        <v>May</v>
      </c>
      <c r="E512" t="s">
        <v>11</v>
      </c>
      <c r="F512" t="s">
        <v>24</v>
      </c>
      <c r="G512" t="s">
        <v>32</v>
      </c>
      <c r="H512" t="s">
        <v>40</v>
      </c>
      <c r="I512" t="s">
        <v>47</v>
      </c>
      <c r="J512" s="7">
        <v>883.67</v>
      </c>
      <c r="K512" s="8">
        <v>5</v>
      </c>
      <c r="L512" s="7">
        <v>-95.49</v>
      </c>
    </row>
    <row r="513" spans="1:12" x14ac:dyDescent="0.2">
      <c r="A513" s="2">
        <v>41777</v>
      </c>
      <c r="B513" s="8">
        <f>YEAR(Sales_data[[#This Row],[Order Date]])</f>
        <v>2014</v>
      </c>
      <c r="C513" s="8">
        <f>MONTH(Sales_data[[#This Row],[Order Date]])</f>
        <v>5</v>
      </c>
      <c r="D513" s="8" t="str">
        <f>TEXT(Sales_data[[#This Row],[Order Date]],"mmm")</f>
        <v>May</v>
      </c>
      <c r="E513" t="s">
        <v>19</v>
      </c>
      <c r="F513" t="s">
        <v>25</v>
      </c>
      <c r="G513" t="s">
        <v>33</v>
      </c>
      <c r="H513" t="s">
        <v>41</v>
      </c>
      <c r="I513" t="s">
        <v>53</v>
      </c>
      <c r="J513" s="7">
        <v>1773.29</v>
      </c>
      <c r="K513" s="8">
        <v>1</v>
      </c>
      <c r="L513" s="7">
        <v>-45.96</v>
      </c>
    </row>
    <row r="514" spans="1:12" x14ac:dyDescent="0.2">
      <c r="A514" s="2">
        <v>41778</v>
      </c>
      <c r="B514" s="8">
        <f>YEAR(Sales_data[[#This Row],[Order Date]])</f>
        <v>2014</v>
      </c>
      <c r="C514" s="8">
        <f>MONTH(Sales_data[[#This Row],[Order Date]])</f>
        <v>5</v>
      </c>
      <c r="D514" s="8" t="str">
        <f>TEXT(Sales_data[[#This Row],[Order Date]],"mmm")</f>
        <v>May</v>
      </c>
      <c r="E514" t="s">
        <v>17</v>
      </c>
      <c r="F514" t="s">
        <v>31</v>
      </c>
      <c r="G514" t="s">
        <v>32</v>
      </c>
      <c r="H514" t="s">
        <v>40</v>
      </c>
      <c r="I514" t="s">
        <v>52</v>
      </c>
      <c r="J514" s="7">
        <v>1121.19</v>
      </c>
      <c r="K514" s="8">
        <v>6</v>
      </c>
      <c r="L514" s="7">
        <v>123.11</v>
      </c>
    </row>
    <row r="515" spans="1:12" x14ac:dyDescent="0.2">
      <c r="A515" s="2">
        <v>41779</v>
      </c>
      <c r="B515" s="8">
        <f>YEAR(Sales_data[[#This Row],[Order Date]])</f>
        <v>2014</v>
      </c>
      <c r="C515" s="8">
        <f>MONTH(Sales_data[[#This Row],[Order Date]])</f>
        <v>5</v>
      </c>
      <c r="D515" s="8" t="str">
        <f>TEXT(Sales_data[[#This Row],[Order Date]],"mmm")</f>
        <v>May</v>
      </c>
      <c r="E515" t="s">
        <v>10</v>
      </c>
      <c r="F515" t="s">
        <v>27</v>
      </c>
      <c r="G515" t="s">
        <v>34</v>
      </c>
      <c r="H515" t="s">
        <v>37</v>
      </c>
      <c r="I515" t="s">
        <v>52</v>
      </c>
      <c r="J515" s="7">
        <v>1093.6199999999999</v>
      </c>
      <c r="K515" s="8">
        <v>5</v>
      </c>
      <c r="L515" s="7">
        <v>-117.42</v>
      </c>
    </row>
    <row r="516" spans="1:12" x14ac:dyDescent="0.2">
      <c r="A516" s="2">
        <v>41780</v>
      </c>
      <c r="B516" s="8">
        <f>YEAR(Sales_data[[#This Row],[Order Date]])</f>
        <v>2014</v>
      </c>
      <c r="C516" s="8">
        <f>MONTH(Sales_data[[#This Row],[Order Date]])</f>
        <v>5</v>
      </c>
      <c r="D516" s="8" t="str">
        <f>TEXT(Sales_data[[#This Row],[Order Date]],"mmm")</f>
        <v>May</v>
      </c>
      <c r="E516" t="s">
        <v>14</v>
      </c>
      <c r="F516" t="s">
        <v>27</v>
      </c>
      <c r="G516" t="s">
        <v>33</v>
      </c>
      <c r="H516" t="s">
        <v>37</v>
      </c>
      <c r="I516" t="s">
        <v>48</v>
      </c>
      <c r="J516" s="7">
        <v>734.41</v>
      </c>
      <c r="K516" s="8">
        <v>1</v>
      </c>
      <c r="L516" s="7">
        <v>163.37</v>
      </c>
    </row>
    <row r="517" spans="1:12" x14ac:dyDescent="0.2">
      <c r="A517" s="2">
        <v>41783</v>
      </c>
      <c r="B517" s="8">
        <f>YEAR(Sales_data[[#This Row],[Order Date]])</f>
        <v>2014</v>
      </c>
      <c r="C517" s="8">
        <f>MONTH(Sales_data[[#This Row],[Order Date]])</f>
        <v>5</v>
      </c>
      <c r="D517" s="8" t="str">
        <f>TEXT(Sales_data[[#This Row],[Order Date]],"mmm")</f>
        <v>May</v>
      </c>
      <c r="E517" t="s">
        <v>12</v>
      </c>
      <c r="F517" t="s">
        <v>31</v>
      </c>
      <c r="G517" t="s">
        <v>33</v>
      </c>
      <c r="H517" t="s">
        <v>37</v>
      </c>
      <c r="I517" t="s">
        <v>46</v>
      </c>
      <c r="J517" s="7">
        <v>427.69</v>
      </c>
      <c r="K517" s="8">
        <v>9</v>
      </c>
      <c r="L517" s="7">
        <v>5.03</v>
      </c>
    </row>
    <row r="518" spans="1:12" x14ac:dyDescent="0.2">
      <c r="A518" s="2">
        <v>41784</v>
      </c>
      <c r="B518" s="8">
        <f>YEAR(Sales_data[[#This Row],[Order Date]])</f>
        <v>2014</v>
      </c>
      <c r="C518" s="8">
        <f>MONTH(Sales_data[[#This Row],[Order Date]])</f>
        <v>5</v>
      </c>
      <c r="D518" s="8" t="str">
        <f>TEXT(Sales_data[[#This Row],[Order Date]],"mmm")</f>
        <v>May</v>
      </c>
      <c r="E518" t="s">
        <v>18</v>
      </c>
      <c r="F518" t="s">
        <v>26</v>
      </c>
      <c r="G518" t="s">
        <v>34</v>
      </c>
      <c r="H518" t="s">
        <v>38</v>
      </c>
      <c r="I518" t="s">
        <v>50</v>
      </c>
      <c r="J518" s="7">
        <v>69.739999999999995</v>
      </c>
      <c r="K518" s="8">
        <v>2</v>
      </c>
      <c r="L518" s="7">
        <v>-134.72999999999999</v>
      </c>
    </row>
    <row r="519" spans="1:12" x14ac:dyDescent="0.2">
      <c r="A519" s="2">
        <v>41785</v>
      </c>
      <c r="B519" s="8">
        <f>YEAR(Sales_data[[#This Row],[Order Date]])</f>
        <v>2014</v>
      </c>
      <c r="C519" s="8">
        <f>MONTH(Sales_data[[#This Row],[Order Date]])</f>
        <v>5</v>
      </c>
      <c r="D519" s="8" t="str">
        <f>TEXT(Sales_data[[#This Row],[Order Date]],"mmm")</f>
        <v>May</v>
      </c>
      <c r="E519" t="s">
        <v>14</v>
      </c>
      <c r="F519" t="s">
        <v>24</v>
      </c>
      <c r="G519" t="s">
        <v>32</v>
      </c>
      <c r="H519" t="s">
        <v>42</v>
      </c>
      <c r="I519" t="s">
        <v>49</v>
      </c>
      <c r="J519" s="7">
        <v>1509.8</v>
      </c>
      <c r="K519" s="8">
        <v>2</v>
      </c>
      <c r="L519" s="7">
        <v>74.7</v>
      </c>
    </row>
    <row r="520" spans="1:12" x14ac:dyDescent="0.2">
      <c r="A520" s="2">
        <v>41785</v>
      </c>
      <c r="B520" s="8">
        <f>YEAR(Sales_data[[#This Row],[Order Date]])</f>
        <v>2014</v>
      </c>
      <c r="C520" s="8">
        <f>MONTH(Sales_data[[#This Row],[Order Date]])</f>
        <v>5</v>
      </c>
      <c r="D520" s="8" t="str">
        <f>TEXT(Sales_data[[#This Row],[Order Date]],"mmm")</f>
        <v>May</v>
      </c>
      <c r="E520" t="s">
        <v>12</v>
      </c>
      <c r="F520" t="s">
        <v>28</v>
      </c>
      <c r="G520" t="s">
        <v>34</v>
      </c>
      <c r="H520" t="s">
        <v>43</v>
      </c>
      <c r="I520" t="s">
        <v>50</v>
      </c>
      <c r="J520" s="7">
        <v>1632.21</v>
      </c>
      <c r="K520" s="8">
        <v>8</v>
      </c>
      <c r="L520" s="7">
        <v>30.46</v>
      </c>
    </row>
    <row r="521" spans="1:12" x14ac:dyDescent="0.2">
      <c r="A521" s="2">
        <v>41785</v>
      </c>
      <c r="B521" s="8">
        <f>YEAR(Sales_data[[#This Row],[Order Date]])</f>
        <v>2014</v>
      </c>
      <c r="C521" s="8">
        <f>MONTH(Sales_data[[#This Row],[Order Date]])</f>
        <v>5</v>
      </c>
      <c r="D521" s="8" t="str">
        <f>TEXT(Sales_data[[#This Row],[Order Date]],"mmm")</f>
        <v>May</v>
      </c>
      <c r="E521" t="s">
        <v>14</v>
      </c>
      <c r="F521" t="s">
        <v>28</v>
      </c>
      <c r="G521" t="s">
        <v>34</v>
      </c>
      <c r="H521" t="s">
        <v>36</v>
      </c>
      <c r="I521" t="s">
        <v>46</v>
      </c>
      <c r="J521" s="7">
        <v>667.29</v>
      </c>
      <c r="K521" s="8">
        <v>3</v>
      </c>
      <c r="L521" s="7">
        <v>220.47</v>
      </c>
    </row>
    <row r="522" spans="1:12" x14ac:dyDescent="0.2">
      <c r="A522" s="2">
        <v>41786</v>
      </c>
      <c r="B522" s="8">
        <f>YEAR(Sales_data[[#This Row],[Order Date]])</f>
        <v>2014</v>
      </c>
      <c r="C522" s="8">
        <f>MONTH(Sales_data[[#This Row],[Order Date]])</f>
        <v>5</v>
      </c>
      <c r="D522" s="8" t="str">
        <f>TEXT(Sales_data[[#This Row],[Order Date]],"mmm")</f>
        <v>May</v>
      </c>
      <c r="E522" t="s">
        <v>9</v>
      </c>
      <c r="F522" t="s">
        <v>29</v>
      </c>
      <c r="G522" t="s">
        <v>34</v>
      </c>
      <c r="H522" t="s">
        <v>43</v>
      </c>
      <c r="I522" t="s">
        <v>46</v>
      </c>
      <c r="J522" s="7">
        <v>1712.26</v>
      </c>
      <c r="K522" s="8">
        <v>8</v>
      </c>
      <c r="L522" s="7">
        <v>-155.68</v>
      </c>
    </row>
    <row r="523" spans="1:12" x14ac:dyDescent="0.2">
      <c r="A523" s="2">
        <v>41787</v>
      </c>
      <c r="B523" s="8">
        <f>YEAR(Sales_data[[#This Row],[Order Date]])</f>
        <v>2014</v>
      </c>
      <c r="C523" s="8">
        <f>MONTH(Sales_data[[#This Row],[Order Date]])</f>
        <v>5</v>
      </c>
      <c r="D523" s="8" t="str">
        <f>TEXT(Sales_data[[#This Row],[Order Date]],"mmm")</f>
        <v>May</v>
      </c>
      <c r="E523" t="s">
        <v>20</v>
      </c>
      <c r="F523" t="s">
        <v>28</v>
      </c>
      <c r="G523" t="s">
        <v>34</v>
      </c>
      <c r="H523" t="s">
        <v>40</v>
      </c>
      <c r="I523" t="s">
        <v>45</v>
      </c>
      <c r="J523" s="7">
        <v>990.12</v>
      </c>
      <c r="K523" s="8">
        <v>4</v>
      </c>
      <c r="L523" s="7">
        <v>291.70999999999998</v>
      </c>
    </row>
    <row r="524" spans="1:12" x14ac:dyDescent="0.2">
      <c r="A524" s="2">
        <v>41787</v>
      </c>
      <c r="B524" s="8">
        <f>YEAR(Sales_data[[#This Row],[Order Date]])</f>
        <v>2014</v>
      </c>
      <c r="C524" s="8">
        <f>MONTH(Sales_data[[#This Row],[Order Date]])</f>
        <v>5</v>
      </c>
      <c r="D524" s="8" t="str">
        <f>TEXT(Sales_data[[#This Row],[Order Date]],"mmm")</f>
        <v>May</v>
      </c>
      <c r="E524" t="s">
        <v>20</v>
      </c>
      <c r="F524" t="s">
        <v>27</v>
      </c>
      <c r="G524" t="s">
        <v>33</v>
      </c>
      <c r="H524" t="s">
        <v>36</v>
      </c>
      <c r="I524" t="s">
        <v>49</v>
      </c>
      <c r="J524" s="7">
        <v>1501.76</v>
      </c>
      <c r="K524" s="8">
        <v>9</v>
      </c>
      <c r="L524" s="7">
        <v>355.23</v>
      </c>
    </row>
    <row r="525" spans="1:12" x14ac:dyDescent="0.2">
      <c r="A525" s="2">
        <v>41788</v>
      </c>
      <c r="B525" s="8">
        <f>YEAR(Sales_data[[#This Row],[Order Date]])</f>
        <v>2014</v>
      </c>
      <c r="C525" s="8">
        <f>MONTH(Sales_data[[#This Row],[Order Date]])</f>
        <v>5</v>
      </c>
      <c r="D525" s="8" t="str">
        <f>TEXT(Sales_data[[#This Row],[Order Date]],"mmm")</f>
        <v>May</v>
      </c>
      <c r="E525" t="s">
        <v>13</v>
      </c>
      <c r="F525" t="s">
        <v>29</v>
      </c>
      <c r="G525" t="s">
        <v>33</v>
      </c>
      <c r="H525" t="s">
        <v>41</v>
      </c>
      <c r="I525" t="s">
        <v>53</v>
      </c>
      <c r="J525" s="7">
        <v>1049.52</v>
      </c>
      <c r="K525" s="8">
        <v>1</v>
      </c>
      <c r="L525" s="7">
        <v>129.21</v>
      </c>
    </row>
    <row r="526" spans="1:12" x14ac:dyDescent="0.2">
      <c r="A526" s="2">
        <v>41790</v>
      </c>
      <c r="B526" s="8">
        <f>YEAR(Sales_data[[#This Row],[Order Date]])</f>
        <v>2014</v>
      </c>
      <c r="C526" s="8">
        <f>MONTH(Sales_data[[#This Row],[Order Date]])</f>
        <v>5</v>
      </c>
      <c r="D526" s="8" t="str">
        <f>TEXT(Sales_data[[#This Row],[Order Date]],"mmm")</f>
        <v>May</v>
      </c>
      <c r="E526" t="s">
        <v>15</v>
      </c>
      <c r="F526" t="s">
        <v>22</v>
      </c>
      <c r="G526" t="s">
        <v>32</v>
      </c>
      <c r="H526" t="s">
        <v>38</v>
      </c>
      <c r="I526" t="s">
        <v>48</v>
      </c>
      <c r="J526" s="7">
        <v>1466.23</v>
      </c>
      <c r="K526" s="8">
        <v>1</v>
      </c>
      <c r="L526" s="7">
        <v>-38.75</v>
      </c>
    </row>
    <row r="527" spans="1:12" x14ac:dyDescent="0.2">
      <c r="A527" s="2">
        <v>41790</v>
      </c>
      <c r="B527" s="8">
        <f>YEAR(Sales_data[[#This Row],[Order Date]])</f>
        <v>2014</v>
      </c>
      <c r="C527" s="8">
        <f>MONTH(Sales_data[[#This Row],[Order Date]])</f>
        <v>5</v>
      </c>
      <c r="D527" s="8" t="str">
        <f>TEXT(Sales_data[[#This Row],[Order Date]],"mmm")</f>
        <v>May</v>
      </c>
      <c r="E527" t="s">
        <v>11</v>
      </c>
      <c r="F527" t="s">
        <v>30</v>
      </c>
      <c r="G527" t="s">
        <v>34</v>
      </c>
      <c r="H527" t="s">
        <v>38</v>
      </c>
      <c r="I527" t="s">
        <v>50</v>
      </c>
      <c r="J527" s="7">
        <v>186.97</v>
      </c>
      <c r="K527" s="8">
        <v>1</v>
      </c>
      <c r="L527" s="7">
        <v>-41.18</v>
      </c>
    </row>
    <row r="528" spans="1:12" x14ac:dyDescent="0.2">
      <c r="A528" s="2">
        <v>41791</v>
      </c>
      <c r="B528" s="8">
        <f>YEAR(Sales_data[[#This Row],[Order Date]])</f>
        <v>2014</v>
      </c>
      <c r="C528" s="8">
        <f>MONTH(Sales_data[[#This Row],[Order Date]])</f>
        <v>6</v>
      </c>
      <c r="D528" s="8" t="str">
        <f>TEXT(Sales_data[[#This Row],[Order Date]],"mmm")</f>
        <v>Jun</v>
      </c>
      <c r="E528" t="s">
        <v>14</v>
      </c>
      <c r="F528" t="s">
        <v>28</v>
      </c>
      <c r="G528" t="s">
        <v>32</v>
      </c>
      <c r="H528" t="s">
        <v>43</v>
      </c>
      <c r="I528" t="s">
        <v>52</v>
      </c>
      <c r="J528" s="7">
        <v>1530.55</v>
      </c>
      <c r="K528" s="8">
        <v>6</v>
      </c>
      <c r="L528" s="7">
        <v>-18.809999999999999</v>
      </c>
    </row>
    <row r="529" spans="1:12" x14ac:dyDescent="0.2">
      <c r="A529" s="2">
        <v>41792</v>
      </c>
      <c r="B529" s="8">
        <f>YEAR(Sales_data[[#This Row],[Order Date]])</f>
        <v>2014</v>
      </c>
      <c r="C529" s="8">
        <f>MONTH(Sales_data[[#This Row],[Order Date]])</f>
        <v>6</v>
      </c>
      <c r="D529" s="8" t="str">
        <f>TEXT(Sales_data[[#This Row],[Order Date]],"mmm")</f>
        <v>Jun</v>
      </c>
      <c r="E529" t="s">
        <v>12</v>
      </c>
      <c r="F529" t="s">
        <v>26</v>
      </c>
      <c r="G529" t="s">
        <v>33</v>
      </c>
      <c r="H529" t="s">
        <v>37</v>
      </c>
      <c r="I529" t="s">
        <v>50</v>
      </c>
      <c r="J529" s="7">
        <v>1060.27</v>
      </c>
      <c r="K529" s="8">
        <v>5</v>
      </c>
      <c r="L529" s="7">
        <v>379.31</v>
      </c>
    </row>
    <row r="530" spans="1:12" x14ac:dyDescent="0.2">
      <c r="A530" s="2">
        <v>41792</v>
      </c>
      <c r="B530" s="8">
        <f>YEAR(Sales_data[[#This Row],[Order Date]])</f>
        <v>2014</v>
      </c>
      <c r="C530" s="8">
        <f>MONTH(Sales_data[[#This Row],[Order Date]])</f>
        <v>6</v>
      </c>
      <c r="D530" s="8" t="str">
        <f>TEXT(Sales_data[[#This Row],[Order Date]],"mmm")</f>
        <v>Jun</v>
      </c>
      <c r="E530" t="s">
        <v>20</v>
      </c>
      <c r="F530" t="s">
        <v>28</v>
      </c>
      <c r="G530" t="s">
        <v>33</v>
      </c>
      <c r="H530" t="s">
        <v>43</v>
      </c>
      <c r="I530" t="s">
        <v>45</v>
      </c>
      <c r="J530" s="7">
        <v>777.09</v>
      </c>
      <c r="K530" s="8">
        <v>7</v>
      </c>
      <c r="L530" s="7">
        <v>42.71</v>
      </c>
    </row>
    <row r="531" spans="1:12" x14ac:dyDescent="0.2">
      <c r="A531" s="2">
        <v>41795</v>
      </c>
      <c r="B531" s="8">
        <f>YEAR(Sales_data[[#This Row],[Order Date]])</f>
        <v>2014</v>
      </c>
      <c r="C531" s="8">
        <f>MONTH(Sales_data[[#This Row],[Order Date]])</f>
        <v>6</v>
      </c>
      <c r="D531" s="8" t="str">
        <f>TEXT(Sales_data[[#This Row],[Order Date]],"mmm")</f>
        <v>Jun</v>
      </c>
      <c r="E531" t="s">
        <v>14</v>
      </c>
      <c r="F531" t="s">
        <v>31</v>
      </c>
      <c r="G531" t="s">
        <v>33</v>
      </c>
      <c r="H531" t="s">
        <v>35</v>
      </c>
      <c r="I531" t="s">
        <v>50</v>
      </c>
      <c r="J531" s="7">
        <v>1684.3</v>
      </c>
      <c r="K531" s="8">
        <v>1</v>
      </c>
      <c r="L531" s="7">
        <v>340.37</v>
      </c>
    </row>
    <row r="532" spans="1:12" x14ac:dyDescent="0.2">
      <c r="A532" s="2">
        <v>41795</v>
      </c>
      <c r="B532" s="8">
        <f>YEAR(Sales_data[[#This Row],[Order Date]])</f>
        <v>2014</v>
      </c>
      <c r="C532" s="8">
        <f>MONTH(Sales_data[[#This Row],[Order Date]])</f>
        <v>6</v>
      </c>
      <c r="D532" s="8" t="str">
        <f>TEXT(Sales_data[[#This Row],[Order Date]],"mmm")</f>
        <v>Jun</v>
      </c>
      <c r="E532" t="s">
        <v>18</v>
      </c>
      <c r="F532" t="s">
        <v>27</v>
      </c>
      <c r="G532" t="s">
        <v>32</v>
      </c>
      <c r="H532" t="s">
        <v>35</v>
      </c>
      <c r="I532" t="s">
        <v>53</v>
      </c>
      <c r="J532" s="7">
        <v>987.78</v>
      </c>
      <c r="K532" s="8">
        <v>8</v>
      </c>
      <c r="L532" s="7">
        <v>285.54000000000002</v>
      </c>
    </row>
    <row r="533" spans="1:12" x14ac:dyDescent="0.2">
      <c r="A533" s="2">
        <v>41795</v>
      </c>
      <c r="B533" s="8">
        <f>YEAR(Sales_data[[#This Row],[Order Date]])</f>
        <v>2014</v>
      </c>
      <c r="C533" s="8">
        <f>MONTH(Sales_data[[#This Row],[Order Date]])</f>
        <v>6</v>
      </c>
      <c r="D533" s="8" t="str">
        <f>TEXT(Sales_data[[#This Row],[Order Date]],"mmm")</f>
        <v>Jun</v>
      </c>
      <c r="E533" t="s">
        <v>16</v>
      </c>
      <c r="F533" t="s">
        <v>25</v>
      </c>
      <c r="G533" t="s">
        <v>34</v>
      </c>
      <c r="H533" t="s">
        <v>40</v>
      </c>
      <c r="I533" t="s">
        <v>46</v>
      </c>
      <c r="J533" s="7">
        <v>577.70000000000005</v>
      </c>
      <c r="K533" s="8">
        <v>7</v>
      </c>
      <c r="L533" s="7">
        <v>-50.8</v>
      </c>
    </row>
    <row r="534" spans="1:12" x14ac:dyDescent="0.2">
      <c r="A534" s="2">
        <v>41796</v>
      </c>
      <c r="B534" s="8">
        <f>YEAR(Sales_data[[#This Row],[Order Date]])</f>
        <v>2014</v>
      </c>
      <c r="C534" s="8">
        <f>MONTH(Sales_data[[#This Row],[Order Date]])</f>
        <v>6</v>
      </c>
      <c r="D534" s="8" t="str">
        <f>TEXT(Sales_data[[#This Row],[Order Date]],"mmm")</f>
        <v>Jun</v>
      </c>
      <c r="E534" t="s">
        <v>14</v>
      </c>
      <c r="F534" t="s">
        <v>28</v>
      </c>
      <c r="G534" t="s">
        <v>34</v>
      </c>
      <c r="H534" t="s">
        <v>43</v>
      </c>
      <c r="I534" t="s">
        <v>47</v>
      </c>
      <c r="J534" s="7">
        <v>1897.92</v>
      </c>
      <c r="K534" s="8">
        <v>6</v>
      </c>
      <c r="L534" s="7">
        <v>30.97</v>
      </c>
    </row>
    <row r="535" spans="1:12" x14ac:dyDescent="0.2">
      <c r="A535" s="2">
        <v>41798</v>
      </c>
      <c r="B535" s="8">
        <f>YEAR(Sales_data[[#This Row],[Order Date]])</f>
        <v>2014</v>
      </c>
      <c r="C535" s="8">
        <f>MONTH(Sales_data[[#This Row],[Order Date]])</f>
        <v>6</v>
      </c>
      <c r="D535" s="8" t="str">
        <f>TEXT(Sales_data[[#This Row],[Order Date]],"mmm")</f>
        <v>Jun</v>
      </c>
      <c r="E535" t="s">
        <v>9</v>
      </c>
      <c r="F535" t="s">
        <v>31</v>
      </c>
      <c r="G535" t="s">
        <v>32</v>
      </c>
      <c r="H535" t="s">
        <v>40</v>
      </c>
      <c r="I535" t="s">
        <v>45</v>
      </c>
      <c r="J535" s="7">
        <v>1770.3</v>
      </c>
      <c r="K535" s="8">
        <v>9</v>
      </c>
      <c r="L535" s="7">
        <v>324.58</v>
      </c>
    </row>
    <row r="536" spans="1:12" x14ac:dyDescent="0.2">
      <c r="A536" s="2">
        <v>41798</v>
      </c>
      <c r="B536" s="8">
        <f>YEAR(Sales_data[[#This Row],[Order Date]])</f>
        <v>2014</v>
      </c>
      <c r="C536" s="8">
        <f>MONTH(Sales_data[[#This Row],[Order Date]])</f>
        <v>6</v>
      </c>
      <c r="D536" s="8" t="str">
        <f>TEXT(Sales_data[[#This Row],[Order Date]],"mmm")</f>
        <v>Jun</v>
      </c>
      <c r="E536" t="s">
        <v>16</v>
      </c>
      <c r="F536" t="s">
        <v>22</v>
      </c>
      <c r="G536" t="s">
        <v>34</v>
      </c>
      <c r="H536" t="s">
        <v>36</v>
      </c>
      <c r="I536" t="s">
        <v>46</v>
      </c>
      <c r="J536" s="7">
        <v>1671.59</v>
      </c>
      <c r="K536" s="8">
        <v>9</v>
      </c>
      <c r="L536" s="7">
        <v>114.69</v>
      </c>
    </row>
    <row r="537" spans="1:12" x14ac:dyDescent="0.2">
      <c r="A537" s="2">
        <v>41799</v>
      </c>
      <c r="B537" s="8">
        <f>YEAR(Sales_data[[#This Row],[Order Date]])</f>
        <v>2014</v>
      </c>
      <c r="C537" s="8">
        <f>MONTH(Sales_data[[#This Row],[Order Date]])</f>
        <v>6</v>
      </c>
      <c r="D537" s="8" t="str">
        <f>TEXT(Sales_data[[#This Row],[Order Date]],"mmm")</f>
        <v>Jun</v>
      </c>
      <c r="E537" t="s">
        <v>19</v>
      </c>
      <c r="F537" t="s">
        <v>28</v>
      </c>
      <c r="G537" t="s">
        <v>33</v>
      </c>
      <c r="H537" t="s">
        <v>39</v>
      </c>
      <c r="I537" t="s">
        <v>53</v>
      </c>
      <c r="J537" s="7">
        <v>198.82</v>
      </c>
      <c r="K537" s="8">
        <v>5</v>
      </c>
      <c r="L537" s="7">
        <v>228.82</v>
      </c>
    </row>
    <row r="538" spans="1:12" x14ac:dyDescent="0.2">
      <c r="A538" s="2">
        <v>41799</v>
      </c>
      <c r="B538" s="8">
        <f>YEAR(Sales_data[[#This Row],[Order Date]])</f>
        <v>2014</v>
      </c>
      <c r="C538" s="8">
        <f>MONTH(Sales_data[[#This Row],[Order Date]])</f>
        <v>6</v>
      </c>
      <c r="D538" s="8" t="str">
        <f>TEXT(Sales_data[[#This Row],[Order Date]],"mmm")</f>
        <v>Jun</v>
      </c>
      <c r="E538" t="s">
        <v>11</v>
      </c>
      <c r="F538" t="s">
        <v>22</v>
      </c>
      <c r="G538" t="s">
        <v>33</v>
      </c>
      <c r="H538" t="s">
        <v>37</v>
      </c>
      <c r="I538" t="s">
        <v>52</v>
      </c>
      <c r="J538" s="7">
        <v>1540.65</v>
      </c>
      <c r="K538" s="8">
        <v>1</v>
      </c>
      <c r="L538" s="7">
        <v>167.94</v>
      </c>
    </row>
    <row r="539" spans="1:12" x14ac:dyDescent="0.2">
      <c r="A539" s="2">
        <v>41800</v>
      </c>
      <c r="B539" s="8">
        <f>YEAR(Sales_data[[#This Row],[Order Date]])</f>
        <v>2014</v>
      </c>
      <c r="C539" s="8">
        <f>MONTH(Sales_data[[#This Row],[Order Date]])</f>
        <v>6</v>
      </c>
      <c r="D539" s="8" t="str">
        <f>TEXT(Sales_data[[#This Row],[Order Date]],"mmm")</f>
        <v>Jun</v>
      </c>
      <c r="E539" t="s">
        <v>9</v>
      </c>
      <c r="F539" t="s">
        <v>25</v>
      </c>
      <c r="G539" t="s">
        <v>32</v>
      </c>
      <c r="H539" t="s">
        <v>40</v>
      </c>
      <c r="I539" t="s">
        <v>49</v>
      </c>
      <c r="J539" s="7">
        <v>1852.25</v>
      </c>
      <c r="K539" s="8">
        <v>9</v>
      </c>
      <c r="L539" s="7">
        <v>-179.83</v>
      </c>
    </row>
    <row r="540" spans="1:12" x14ac:dyDescent="0.2">
      <c r="A540" s="2">
        <v>41800</v>
      </c>
      <c r="B540" s="8">
        <f>YEAR(Sales_data[[#This Row],[Order Date]])</f>
        <v>2014</v>
      </c>
      <c r="C540" s="8">
        <f>MONTH(Sales_data[[#This Row],[Order Date]])</f>
        <v>6</v>
      </c>
      <c r="D540" s="8" t="str">
        <f>TEXT(Sales_data[[#This Row],[Order Date]],"mmm")</f>
        <v>Jun</v>
      </c>
      <c r="E540" t="s">
        <v>14</v>
      </c>
      <c r="F540" t="s">
        <v>23</v>
      </c>
      <c r="G540" t="s">
        <v>34</v>
      </c>
      <c r="H540" t="s">
        <v>39</v>
      </c>
      <c r="I540" t="s">
        <v>50</v>
      </c>
      <c r="J540" s="7">
        <v>1124.17</v>
      </c>
      <c r="K540" s="8">
        <v>3</v>
      </c>
      <c r="L540" s="7">
        <v>-61.81</v>
      </c>
    </row>
    <row r="541" spans="1:12" x14ac:dyDescent="0.2">
      <c r="A541" s="2">
        <v>41800</v>
      </c>
      <c r="B541" s="8">
        <f>YEAR(Sales_data[[#This Row],[Order Date]])</f>
        <v>2014</v>
      </c>
      <c r="C541" s="8">
        <f>MONTH(Sales_data[[#This Row],[Order Date]])</f>
        <v>6</v>
      </c>
      <c r="D541" s="8" t="str">
        <f>TEXT(Sales_data[[#This Row],[Order Date]],"mmm")</f>
        <v>Jun</v>
      </c>
      <c r="E541" t="s">
        <v>19</v>
      </c>
      <c r="F541" t="s">
        <v>30</v>
      </c>
      <c r="G541" t="s">
        <v>34</v>
      </c>
      <c r="H541" t="s">
        <v>36</v>
      </c>
      <c r="I541" t="s">
        <v>52</v>
      </c>
      <c r="J541" s="7">
        <v>473.13</v>
      </c>
      <c r="K541" s="8">
        <v>1</v>
      </c>
      <c r="L541" s="7">
        <v>-175.22</v>
      </c>
    </row>
    <row r="542" spans="1:12" x14ac:dyDescent="0.2">
      <c r="A542" s="2">
        <v>41806</v>
      </c>
      <c r="B542" s="8">
        <f>YEAR(Sales_data[[#This Row],[Order Date]])</f>
        <v>2014</v>
      </c>
      <c r="C542" s="8">
        <f>MONTH(Sales_data[[#This Row],[Order Date]])</f>
        <v>6</v>
      </c>
      <c r="D542" s="8" t="str">
        <f>TEXT(Sales_data[[#This Row],[Order Date]],"mmm")</f>
        <v>Jun</v>
      </c>
      <c r="E542" t="s">
        <v>18</v>
      </c>
      <c r="F542" t="s">
        <v>25</v>
      </c>
      <c r="G542" t="s">
        <v>32</v>
      </c>
      <c r="H542" t="s">
        <v>39</v>
      </c>
      <c r="I542" t="s">
        <v>48</v>
      </c>
      <c r="J542" s="7">
        <v>1232.04</v>
      </c>
      <c r="K542" s="8">
        <v>1</v>
      </c>
      <c r="L542" s="7">
        <v>33.79</v>
      </c>
    </row>
    <row r="543" spans="1:12" x14ac:dyDescent="0.2">
      <c r="A543" s="2">
        <v>41808</v>
      </c>
      <c r="B543" s="8">
        <f>YEAR(Sales_data[[#This Row],[Order Date]])</f>
        <v>2014</v>
      </c>
      <c r="C543" s="8">
        <f>MONTH(Sales_data[[#This Row],[Order Date]])</f>
        <v>6</v>
      </c>
      <c r="D543" s="8" t="str">
        <f>TEXT(Sales_data[[#This Row],[Order Date]],"mmm")</f>
        <v>Jun</v>
      </c>
      <c r="E543" t="s">
        <v>9</v>
      </c>
      <c r="F543" t="s">
        <v>28</v>
      </c>
      <c r="G543" t="s">
        <v>32</v>
      </c>
      <c r="H543" t="s">
        <v>37</v>
      </c>
      <c r="I543" t="s">
        <v>50</v>
      </c>
      <c r="J543" s="7">
        <v>402.83</v>
      </c>
      <c r="K543" s="8">
        <v>5</v>
      </c>
      <c r="L543" s="7">
        <v>367.72</v>
      </c>
    </row>
    <row r="544" spans="1:12" x14ac:dyDescent="0.2">
      <c r="A544" s="2">
        <v>41811</v>
      </c>
      <c r="B544" s="8">
        <f>YEAR(Sales_data[[#This Row],[Order Date]])</f>
        <v>2014</v>
      </c>
      <c r="C544" s="8">
        <f>MONTH(Sales_data[[#This Row],[Order Date]])</f>
        <v>6</v>
      </c>
      <c r="D544" s="8" t="str">
        <f>TEXT(Sales_data[[#This Row],[Order Date]],"mmm")</f>
        <v>Jun</v>
      </c>
      <c r="E544" t="s">
        <v>11</v>
      </c>
      <c r="F544" t="s">
        <v>27</v>
      </c>
      <c r="G544" t="s">
        <v>34</v>
      </c>
      <c r="H544" t="s">
        <v>41</v>
      </c>
      <c r="I544" t="s">
        <v>49</v>
      </c>
      <c r="J544" s="7">
        <v>1991.08</v>
      </c>
      <c r="K544" s="8">
        <v>4</v>
      </c>
      <c r="L544" s="7">
        <v>210.05</v>
      </c>
    </row>
    <row r="545" spans="1:12" x14ac:dyDescent="0.2">
      <c r="A545" s="2">
        <v>41811</v>
      </c>
      <c r="B545" s="8">
        <f>YEAR(Sales_data[[#This Row],[Order Date]])</f>
        <v>2014</v>
      </c>
      <c r="C545" s="8">
        <f>MONTH(Sales_data[[#This Row],[Order Date]])</f>
        <v>6</v>
      </c>
      <c r="D545" s="8" t="str">
        <f>TEXT(Sales_data[[#This Row],[Order Date]],"mmm")</f>
        <v>Jun</v>
      </c>
      <c r="E545" t="s">
        <v>16</v>
      </c>
      <c r="F545" t="s">
        <v>26</v>
      </c>
      <c r="G545" t="s">
        <v>34</v>
      </c>
      <c r="H545" t="s">
        <v>43</v>
      </c>
      <c r="I545" t="s">
        <v>51</v>
      </c>
      <c r="J545" s="7">
        <v>1570.01</v>
      </c>
      <c r="K545" s="8">
        <v>3</v>
      </c>
      <c r="L545" s="7">
        <v>-171.24</v>
      </c>
    </row>
    <row r="546" spans="1:12" x14ac:dyDescent="0.2">
      <c r="A546" s="2">
        <v>41812</v>
      </c>
      <c r="B546" s="8">
        <f>YEAR(Sales_data[[#This Row],[Order Date]])</f>
        <v>2014</v>
      </c>
      <c r="C546" s="8">
        <f>MONTH(Sales_data[[#This Row],[Order Date]])</f>
        <v>6</v>
      </c>
      <c r="D546" s="8" t="str">
        <f>TEXT(Sales_data[[#This Row],[Order Date]],"mmm")</f>
        <v>Jun</v>
      </c>
      <c r="E546" t="s">
        <v>11</v>
      </c>
      <c r="F546" t="s">
        <v>30</v>
      </c>
      <c r="G546" t="s">
        <v>32</v>
      </c>
      <c r="H546" t="s">
        <v>43</v>
      </c>
      <c r="I546" t="s">
        <v>45</v>
      </c>
      <c r="J546" s="7">
        <v>809.57</v>
      </c>
      <c r="K546" s="8">
        <v>3</v>
      </c>
      <c r="L546" s="7">
        <v>226.96</v>
      </c>
    </row>
    <row r="547" spans="1:12" x14ac:dyDescent="0.2">
      <c r="A547" s="2">
        <v>41814</v>
      </c>
      <c r="B547" s="8">
        <f>YEAR(Sales_data[[#This Row],[Order Date]])</f>
        <v>2014</v>
      </c>
      <c r="C547" s="8">
        <f>MONTH(Sales_data[[#This Row],[Order Date]])</f>
        <v>6</v>
      </c>
      <c r="D547" s="8" t="str">
        <f>TEXT(Sales_data[[#This Row],[Order Date]],"mmm")</f>
        <v>Jun</v>
      </c>
      <c r="E547" t="s">
        <v>14</v>
      </c>
      <c r="F547" t="s">
        <v>31</v>
      </c>
      <c r="G547" t="s">
        <v>34</v>
      </c>
      <c r="H547" t="s">
        <v>37</v>
      </c>
      <c r="I547" t="s">
        <v>46</v>
      </c>
      <c r="J547" s="7">
        <v>213.76</v>
      </c>
      <c r="K547" s="8">
        <v>2</v>
      </c>
      <c r="L547" s="7">
        <v>-89.95</v>
      </c>
    </row>
    <row r="548" spans="1:12" x14ac:dyDescent="0.2">
      <c r="A548" s="2">
        <v>41815</v>
      </c>
      <c r="B548" s="8">
        <f>YEAR(Sales_data[[#This Row],[Order Date]])</f>
        <v>2014</v>
      </c>
      <c r="C548" s="8">
        <f>MONTH(Sales_data[[#This Row],[Order Date]])</f>
        <v>6</v>
      </c>
      <c r="D548" s="8" t="str">
        <f>TEXT(Sales_data[[#This Row],[Order Date]],"mmm")</f>
        <v>Jun</v>
      </c>
      <c r="E548" t="s">
        <v>20</v>
      </c>
      <c r="F548" t="s">
        <v>26</v>
      </c>
      <c r="G548" t="s">
        <v>34</v>
      </c>
      <c r="H548" t="s">
        <v>36</v>
      </c>
      <c r="I548" t="s">
        <v>52</v>
      </c>
      <c r="J548" s="7">
        <v>1850.06</v>
      </c>
      <c r="K548" s="8">
        <v>5</v>
      </c>
      <c r="L548" s="7">
        <v>305.62</v>
      </c>
    </row>
    <row r="549" spans="1:12" x14ac:dyDescent="0.2">
      <c r="A549" s="2">
        <v>41816</v>
      </c>
      <c r="B549" s="8">
        <f>YEAR(Sales_data[[#This Row],[Order Date]])</f>
        <v>2014</v>
      </c>
      <c r="C549" s="8">
        <f>MONTH(Sales_data[[#This Row],[Order Date]])</f>
        <v>6</v>
      </c>
      <c r="D549" s="8" t="str">
        <f>TEXT(Sales_data[[#This Row],[Order Date]],"mmm")</f>
        <v>Jun</v>
      </c>
      <c r="E549" t="s">
        <v>17</v>
      </c>
      <c r="F549" t="s">
        <v>24</v>
      </c>
      <c r="G549" t="s">
        <v>32</v>
      </c>
      <c r="H549" t="s">
        <v>37</v>
      </c>
      <c r="I549" t="s">
        <v>53</v>
      </c>
      <c r="J549" s="7">
        <v>15.24</v>
      </c>
      <c r="K549" s="8">
        <v>4</v>
      </c>
      <c r="L549" s="7">
        <v>-19.78</v>
      </c>
    </row>
    <row r="550" spans="1:12" x14ac:dyDescent="0.2">
      <c r="A550" s="2">
        <v>41817</v>
      </c>
      <c r="B550" s="8">
        <f>YEAR(Sales_data[[#This Row],[Order Date]])</f>
        <v>2014</v>
      </c>
      <c r="C550" s="8">
        <f>MONTH(Sales_data[[#This Row],[Order Date]])</f>
        <v>6</v>
      </c>
      <c r="D550" s="8" t="str">
        <f>TEXT(Sales_data[[#This Row],[Order Date]],"mmm")</f>
        <v>Jun</v>
      </c>
      <c r="E550" t="s">
        <v>10</v>
      </c>
      <c r="F550" t="s">
        <v>31</v>
      </c>
      <c r="G550" t="s">
        <v>32</v>
      </c>
      <c r="H550" t="s">
        <v>41</v>
      </c>
      <c r="I550" t="s">
        <v>51</v>
      </c>
      <c r="J550" s="7">
        <v>1609.73</v>
      </c>
      <c r="K550" s="8">
        <v>6</v>
      </c>
      <c r="L550" s="7">
        <v>380.94</v>
      </c>
    </row>
    <row r="551" spans="1:12" x14ac:dyDescent="0.2">
      <c r="A551" s="2">
        <v>41820</v>
      </c>
      <c r="B551" s="8">
        <f>YEAR(Sales_data[[#This Row],[Order Date]])</f>
        <v>2014</v>
      </c>
      <c r="C551" s="8">
        <f>MONTH(Sales_data[[#This Row],[Order Date]])</f>
        <v>6</v>
      </c>
      <c r="D551" s="8" t="str">
        <f>TEXT(Sales_data[[#This Row],[Order Date]],"mmm")</f>
        <v>Jun</v>
      </c>
      <c r="E551" t="s">
        <v>11</v>
      </c>
      <c r="F551" t="s">
        <v>31</v>
      </c>
      <c r="G551" t="s">
        <v>32</v>
      </c>
      <c r="H551" t="s">
        <v>39</v>
      </c>
      <c r="I551" t="s">
        <v>46</v>
      </c>
      <c r="J551" s="7">
        <v>1431.03</v>
      </c>
      <c r="K551" s="8">
        <v>2</v>
      </c>
      <c r="L551" s="7">
        <v>-133.22</v>
      </c>
    </row>
    <row r="552" spans="1:12" x14ac:dyDescent="0.2">
      <c r="A552" s="2">
        <v>41820</v>
      </c>
      <c r="B552" s="8">
        <f>YEAR(Sales_data[[#This Row],[Order Date]])</f>
        <v>2014</v>
      </c>
      <c r="C552" s="8">
        <f>MONTH(Sales_data[[#This Row],[Order Date]])</f>
        <v>6</v>
      </c>
      <c r="D552" s="8" t="str">
        <f>TEXT(Sales_data[[#This Row],[Order Date]],"mmm")</f>
        <v>Jun</v>
      </c>
      <c r="E552" t="s">
        <v>9</v>
      </c>
      <c r="F552" t="s">
        <v>26</v>
      </c>
      <c r="G552" t="s">
        <v>33</v>
      </c>
      <c r="H552" t="s">
        <v>39</v>
      </c>
      <c r="I552" t="s">
        <v>46</v>
      </c>
      <c r="J552" s="7">
        <v>1524.17</v>
      </c>
      <c r="K552" s="8">
        <v>4</v>
      </c>
      <c r="L552" s="7">
        <v>394.69</v>
      </c>
    </row>
    <row r="553" spans="1:12" x14ac:dyDescent="0.2">
      <c r="A553" s="2">
        <v>41820</v>
      </c>
      <c r="B553" s="8">
        <f>YEAR(Sales_data[[#This Row],[Order Date]])</f>
        <v>2014</v>
      </c>
      <c r="C553" s="8">
        <f>MONTH(Sales_data[[#This Row],[Order Date]])</f>
        <v>6</v>
      </c>
      <c r="D553" s="8" t="str">
        <f>TEXT(Sales_data[[#This Row],[Order Date]],"mmm")</f>
        <v>Jun</v>
      </c>
      <c r="E553" t="s">
        <v>17</v>
      </c>
      <c r="F553" t="s">
        <v>23</v>
      </c>
      <c r="G553" t="s">
        <v>33</v>
      </c>
      <c r="H553" t="s">
        <v>36</v>
      </c>
      <c r="I553" t="s">
        <v>53</v>
      </c>
      <c r="J553" s="7">
        <v>809.78</v>
      </c>
      <c r="K553" s="8">
        <v>3</v>
      </c>
      <c r="L553" s="7">
        <v>234.46</v>
      </c>
    </row>
    <row r="554" spans="1:12" x14ac:dyDescent="0.2">
      <c r="A554" s="2">
        <v>41821</v>
      </c>
      <c r="B554" s="8">
        <f>YEAR(Sales_data[[#This Row],[Order Date]])</f>
        <v>2014</v>
      </c>
      <c r="C554" s="8">
        <f>MONTH(Sales_data[[#This Row],[Order Date]])</f>
        <v>7</v>
      </c>
      <c r="D554" s="8" t="str">
        <f>TEXT(Sales_data[[#This Row],[Order Date]],"mmm")</f>
        <v>Jul</v>
      </c>
      <c r="E554" t="s">
        <v>13</v>
      </c>
      <c r="F554" t="s">
        <v>29</v>
      </c>
      <c r="G554" t="s">
        <v>33</v>
      </c>
      <c r="H554" t="s">
        <v>38</v>
      </c>
      <c r="I554" t="s">
        <v>50</v>
      </c>
      <c r="J554" s="7">
        <v>1157.05</v>
      </c>
      <c r="K554" s="8">
        <v>2</v>
      </c>
      <c r="L554" s="7">
        <v>268.67</v>
      </c>
    </row>
    <row r="555" spans="1:12" x14ac:dyDescent="0.2">
      <c r="A555" s="2">
        <v>41822</v>
      </c>
      <c r="B555" s="8">
        <f>YEAR(Sales_data[[#This Row],[Order Date]])</f>
        <v>2014</v>
      </c>
      <c r="C555" s="8">
        <f>MONTH(Sales_data[[#This Row],[Order Date]])</f>
        <v>7</v>
      </c>
      <c r="D555" s="8" t="str">
        <f>TEXT(Sales_data[[#This Row],[Order Date]],"mmm")</f>
        <v>Jul</v>
      </c>
      <c r="E555" t="s">
        <v>17</v>
      </c>
      <c r="F555" t="s">
        <v>25</v>
      </c>
      <c r="G555" t="s">
        <v>32</v>
      </c>
      <c r="H555" t="s">
        <v>42</v>
      </c>
      <c r="I555" t="s">
        <v>44</v>
      </c>
      <c r="J555" s="7">
        <v>1436.93</v>
      </c>
      <c r="K555" s="8">
        <v>7</v>
      </c>
      <c r="L555" s="7">
        <v>-29.49</v>
      </c>
    </row>
    <row r="556" spans="1:12" x14ac:dyDescent="0.2">
      <c r="A556" s="2">
        <v>41824</v>
      </c>
      <c r="B556" s="8">
        <f>YEAR(Sales_data[[#This Row],[Order Date]])</f>
        <v>2014</v>
      </c>
      <c r="C556" s="8">
        <f>MONTH(Sales_data[[#This Row],[Order Date]])</f>
        <v>7</v>
      </c>
      <c r="D556" s="8" t="str">
        <f>TEXT(Sales_data[[#This Row],[Order Date]],"mmm")</f>
        <v>Jul</v>
      </c>
      <c r="E556" t="s">
        <v>12</v>
      </c>
      <c r="F556" t="s">
        <v>26</v>
      </c>
      <c r="G556" t="s">
        <v>34</v>
      </c>
      <c r="H556" t="s">
        <v>37</v>
      </c>
      <c r="I556" t="s">
        <v>53</v>
      </c>
      <c r="J556" s="7">
        <v>1756.89</v>
      </c>
      <c r="K556" s="8">
        <v>5</v>
      </c>
      <c r="L556" s="7">
        <v>167.96</v>
      </c>
    </row>
    <row r="557" spans="1:12" x14ac:dyDescent="0.2">
      <c r="A557" s="2">
        <v>41824</v>
      </c>
      <c r="B557" s="8">
        <f>YEAR(Sales_data[[#This Row],[Order Date]])</f>
        <v>2014</v>
      </c>
      <c r="C557" s="8">
        <f>MONTH(Sales_data[[#This Row],[Order Date]])</f>
        <v>7</v>
      </c>
      <c r="D557" s="8" t="str">
        <f>TEXT(Sales_data[[#This Row],[Order Date]],"mmm")</f>
        <v>Jul</v>
      </c>
      <c r="E557" t="s">
        <v>11</v>
      </c>
      <c r="F557" t="s">
        <v>28</v>
      </c>
      <c r="G557" t="s">
        <v>33</v>
      </c>
      <c r="H557" t="s">
        <v>41</v>
      </c>
      <c r="I557" t="s">
        <v>50</v>
      </c>
      <c r="J557" s="7">
        <v>889.89</v>
      </c>
      <c r="K557" s="8">
        <v>7</v>
      </c>
      <c r="L557" s="7">
        <v>-183.14</v>
      </c>
    </row>
    <row r="558" spans="1:12" x14ac:dyDescent="0.2">
      <c r="A558" s="2">
        <v>41825</v>
      </c>
      <c r="B558" s="8">
        <f>YEAR(Sales_data[[#This Row],[Order Date]])</f>
        <v>2014</v>
      </c>
      <c r="C558" s="8">
        <f>MONTH(Sales_data[[#This Row],[Order Date]])</f>
        <v>7</v>
      </c>
      <c r="D558" s="8" t="str">
        <f>TEXT(Sales_data[[#This Row],[Order Date]],"mmm")</f>
        <v>Jul</v>
      </c>
      <c r="E558" t="s">
        <v>17</v>
      </c>
      <c r="F558" t="s">
        <v>26</v>
      </c>
      <c r="G558" t="s">
        <v>33</v>
      </c>
      <c r="H558" t="s">
        <v>38</v>
      </c>
      <c r="I558" t="s">
        <v>52</v>
      </c>
      <c r="J558" s="7">
        <v>1955.65</v>
      </c>
      <c r="K558" s="8">
        <v>4</v>
      </c>
      <c r="L558" s="7">
        <v>18.010000000000002</v>
      </c>
    </row>
    <row r="559" spans="1:12" x14ac:dyDescent="0.2">
      <c r="A559" s="2">
        <v>41825</v>
      </c>
      <c r="B559" s="8">
        <f>YEAR(Sales_data[[#This Row],[Order Date]])</f>
        <v>2014</v>
      </c>
      <c r="C559" s="8">
        <f>MONTH(Sales_data[[#This Row],[Order Date]])</f>
        <v>7</v>
      </c>
      <c r="D559" s="8" t="str">
        <f>TEXT(Sales_data[[#This Row],[Order Date]],"mmm")</f>
        <v>Jul</v>
      </c>
      <c r="E559" t="s">
        <v>13</v>
      </c>
      <c r="F559" t="s">
        <v>27</v>
      </c>
      <c r="G559" t="s">
        <v>34</v>
      </c>
      <c r="H559" t="s">
        <v>42</v>
      </c>
      <c r="I559" t="s">
        <v>45</v>
      </c>
      <c r="J559" s="7">
        <v>1225.78</v>
      </c>
      <c r="K559" s="8">
        <v>6</v>
      </c>
      <c r="L559" s="7">
        <v>195.23</v>
      </c>
    </row>
    <row r="560" spans="1:12" x14ac:dyDescent="0.2">
      <c r="A560" s="2">
        <v>41826</v>
      </c>
      <c r="B560" s="8">
        <f>YEAR(Sales_data[[#This Row],[Order Date]])</f>
        <v>2014</v>
      </c>
      <c r="C560" s="8">
        <f>MONTH(Sales_data[[#This Row],[Order Date]])</f>
        <v>7</v>
      </c>
      <c r="D560" s="8" t="str">
        <f>TEXT(Sales_data[[#This Row],[Order Date]],"mmm")</f>
        <v>Jul</v>
      </c>
      <c r="E560" t="s">
        <v>20</v>
      </c>
      <c r="F560" t="s">
        <v>30</v>
      </c>
      <c r="G560" t="s">
        <v>34</v>
      </c>
      <c r="H560" t="s">
        <v>40</v>
      </c>
      <c r="I560" t="s">
        <v>45</v>
      </c>
      <c r="J560" s="7">
        <v>1746.21</v>
      </c>
      <c r="K560" s="8">
        <v>5</v>
      </c>
      <c r="L560" s="7">
        <v>131.02000000000001</v>
      </c>
    </row>
    <row r="561" spans="1:12" x14ac:dyDescent="0.2">
      <c r="A561" s="2">
        <v>41828</v>
      </c>
      <c r="B561" s="8">
        <f>YEAR(Sales_data[[#This Row],[Order Date]])</f>
        <v>2014</v>
      </c>
      <c r="C561" s="8">
        <f>MONTH(Sales_data[[#This Row],[Order Date]])</f>
        <v>7</v>
      </c>
      <c r="D561" s="8" t="str">
        <f>TEXT(Sales_data[[#This Row],[Order Date]],"mmm")</f>
        <v>Jul</v>
      </c>
      <c r="E561" t="s">
        <v>17</v>
      </c>
      <c r="F561" t="s">
        <v>24</v>
      </c>
      <c r="G561" t="s">
        <v>32</v>
      </c>
      <c r="H561" t="s">
        <v>37</v>
      </c>
      <c r="I561" t="s">
        <v>52</v>
      </c>
      <c r="J561" s="7">
        <v>362.32</v>
      </c>
      <c r="K561" s="8">
        <v>4</v>
      </c>
      <c r="L561" s="7">
        <v>-21.79</v>
      </c>
    </row>
    <row r="562" spans="1:12" x14ac:dyDescent="0.2">
      <c r="A562" s="2">
        <v>41831</v>
      </c>
      <c r="B562" s="8">
        <f>YEAR(Sales_data[[#This Row],[Order Date]])</f>
        <v>2014</v>
      </c>
      <c r="C562" s="8">
        <f>MONTH(Sales_data[[#This Row],[Order Date]])</f>
        <v>7</v>
      </c>
      <c r="D562" s="8" t="str">
        <f>TEXT(Sales_data[[#This Row],[Order Date]],"mmm")</f>
        <v>Jul</v>
      </c>
      <c r="E562" t="s">
        <v>20</v>
      </c>
      <c r="F562" t="s">
        <v>23</v>
      </c>
      <c r="G562" t="s">
        <v>32</v>
      </c>
      <c r="H562" t="s">
        <v>37</v>
      </c>
      <c r="I562" t="s">
        <v>44</v>
      </c>
      <c r="J562" s="7">
        <v>1622.76</v>
      </c>
      <c r="K562" s="8">
        <v>8</v>
      </c>
      <c r="L562" s="7">
        <v>-148.85</v>
      </c>
    </row>
    <row r="563" spans="1:12" x14ac:dyDescent="0.2">
      <c r="A563" s="2">
        <v>41833</v>
      </c>
      <c r="B563" s="8">
        <f>YEAR(Sales_data[[#This Row],[Order Date]])</f>
        <v>2014</v>
      </c>
      <c r="C563" s="8">
        <f>MONTH(Sales_data[[#This Row],[Order Date]])</f>
        <v>7</v>
      </c>
      <c r="D563" s="8" t="str">
        <f>TEXT(Sales_data[[#This Row],[Order Date]],"mmm")</f>
        <v>Jul</v>
      </c>
      <c r="E563" t="s">
        <v>19</v>
      </c>
      <c r="F563" t="s">
        <v>27</v>
      </c>
      <c r="G563" t="s">
        <v>32</v>
      </c>
      <c r="H563" t="s">
        <v>42</v>
      </c>
      <c r="I563" t="s">
        <v>46</v>
      </c>
      <c r="J563" s="7">
        <v>895.59</v>
      </c>
      <c r="K563" s="8">
        <v>7</v>
      </c>
      <c r="L563" s="7">
        <v>91.94</v>
      </c>
    </row>
    <row r="564" spans="1:12" x14ac:dyDescent="0.2">
      <c r="A564" s="2">
        <v>41834</v>
      </c>
      <c r="B564" s="8">
        <f>YEAR(Sales_data[[#This Row],[Order Date]])</f>
        <v>2014</v>
      </c>
      <c r="C564" s="8">
        <f>MONTH(Sales_data[[#This Row],[Order Date]])</f>
        <v>7</v>
      </c>
      <c r="D564" s="8" t="str">
        <f>TEXT(Sales_data[[#This Row],[Order Date]],"mmm")</f>
        <v>Jul</v>
      </c>
      <c r="E564" t="s">
        <v>19</v>
      </c>
      <c r="F564" t="s">
        <v>22</v>
      </c>
      <c r="G564" t="s">
        <v>33</v>
      </c>
      <c r="H564" t="s">
        <v>42</v>
      </c>
      <c r="I564" t="s">
        <v>51</v>
      </c>
      <c r="J564" s="7">
        <v>94.25</v>
      </c>
      <c r="K564" s="8">
        <v>5</v>
      </c>
      <c r="L564" s="7">
        <v>48.84</v>
      </c>
    </row>
    <row r="565" spans="1:12" x14ac:dyDescent="0.2">
      <c r="A565" s="2">
        <v>41835</v>
      </c>
      <c r="B565" s="8">
        <f>YEAR(Sales_data[[#This Row],[Order Date]])</f>
        <v>2014</v>
      </c>
      <c r="C565" s="8">
        <f>MONTH(Sales_data[[#This Row],[Order Date]])</f>
        <v>7</v>
      </c>
      <c r="D565" s="8" t="str">
        <f>TEXT(Sales_data[[#This Row],[Order Date]],"mmm")</f>
        <v>Jul</v>
      </c>
      <c r="E565" t="s">
        <v>15</v>
      </c>
      <c r="F565" t="s">
        <v>26</v>
      </c>
      <c r="G565" t="s">
        <v>34</v>
      </c>
      <c r="H565" t="s">
        <v>38</v>
      </c>
      <c r="I565" t="s">
        <v>49</v>
      </c>
      <c r="J565" s="7">
        <v>281.10000000000002</v>
      </c>
      <c r="K565" s="8">
        <v>1</v>
      </c>
      <c r="L565" s="7">
        <v>-147.94999999999999</v>
      </c>
    </row>
    <row r="566" spans="1:12" x14ac:dyDescent="0.2">
      <c r="A566" s="2">
        <v>41837</v>
      </c>
      <c r="B566" s="8">
        <f>YEAR(Sales_data[[#This Row],[Order Date]])</f>
        <v>2014</v>
      </c>
      <c r="C566" s="8">
        <f>MONTH(Sales_data[[#This Row],[Order Date]])</f>
        <v>7</v>
      </c>
      <c r="D566" s="8" t="str">
        <f>TEXT(Sales_data[[#This Row],[Order Date]],"mmm")</f>
        <v>Jul</v>
      </c>
      <c r="E566" t="s">
        <v>16</v>
      </c>
      <c r="F566" t="s">
        <v>28</v>
      </c>
      <c r="G566" t="s">
        <v>32</v>
      </c>
      <c r="H566" t="s">
        <v>43</v>
      </c>
      <c r="I566" t="s">
        <v>51</v>
      </c>
      <c r="J566" s="7">
        <v>1489.23</v>
      </c>
      <c r="K566" s="8">
        <v>2</v>
      </c>
      <c r="L566" s="7">
        <v>172.64</v>
      </c>
    </row>
    <row r="567" spans="1:12" x14ac:dyDescent="0.2">
      <c r="A567" s="2">
        <v>41837</v>
      </c>
      <c r="B567" s="8">
        <f>YEAR(Sales_data[[#This Row],[Order Date]])</f>
        <v>2014</v>
      </c>
      <c r="C567" s="8">
        <f>MONTH(Sales_data[[#This Row],[Order Date]])</f>
        <v>7</v>
      </c>
      <c r="D567" s="8" t="str">
        <f>TEXT(Sales_data[[#This Row],[Order Date]],"mmm")</f>
        <v>Jul</v>
      </c>
      <c r="E567" t="s">
        <v>15</v>
      </c>
      <c r="F567" t="s">
        <v>28</v>
      </c>
      <c r="G567" t="s">
        <v>33</v>
      </c>
      <c r="H567" t="s">
        <v>39</v>
      </c>
      <c r="I567" t="s">
        <v>52</v>
      </c>
      <c r="J567" s="7">
        <v>668.28</v>
      </c>
      <c r="K567" s="8">
        <v>2</v>
      </c>
      <c r="L567" s="7">
        <v>125.66</v>
      </c>
    </row>
    <row r="568" spans="1:12" x14ac:dyDescent="0.2">
      <c r="A568" s="2">
        <v>41838</v>
      </c>
      <c r="B568" s="8">
        <f>YEAR(Sales_data[[#This Row],[Order Date]])</f>
        <v>2014</v>
      </c>
      <c r="C568" s="8">
        <f>MONTH(Sales_data[[#This Row],[Order Date]])</f>
        <v>7</v>
      </c>
      <c r="D568" s="8" t="str">
        <f>TEXT(Sales_data[[#This Row],[Order Date]],"mmm")</f>
        <v>Jul</v>
      </c>
      <c r="E568" t="s">
        <v>12</v>
      </c>
      <c r="F568" t="s">
        <v>23</v>
      </c>
      <c r="G568" t="s">
        <v>34</v>
      </c>
      <c r="H568" t="s">
        <v>41</v>
      </c>
      <c r="I568" t="s">
        <v>52</v>
      </c>
      <c r="J568" s="7">
        <v>35.39</v>
      </c>
      <c r="K568" s="8">
        <v>5</v>
      </c>
      <c r="L568" s="7">
        <v>87.41</v>
      </c>
    </row>
    <row r="569" spans="1:12" x14ac:dyDescent="0.2">
      <c r="A569" s="2">
        <v>41838</v>
      </c>
      <c r="B569" s="8">
        <f>YEAR(Sales_data[[#This Row],[Order Date]])</f>
        <v>2014</v>
      </c>
      <c r="C569" s="8">
        <f>MONTH(Sales_data[[#This Row],[Order Date]])</f>
        <v>7</v>
      </c>
      <c r="D569" s="8" t="str">
        <f>TEXT(Sales_data[[#This Row],[Order Date]],"mmm")</f>
        <v>Jul</v>
      </c>
      <c r="E569" t="s">
        <v>18</v>
      </c>
      <c r="F569" t="s">
        <v>25</v>
      </c>
      <c r="G569" t="s">
        <v>33</v>
      </c>
      <c r="H569" t="s">
        <v>40</v>
      </c>
      <c r="I569" t="s">
        <v>51</v>
      </c>
      <c r="J569" s="7">
        <v>793.5</v>
      </c>
      <c r="K569" s="8">
        <v>9</v>
      </c>
      <c r="L569" s="7">
        <v>135.93</v>
      </c>
    </row>
    <row r="570" spans="1:12" x14ac:dyDescent="0.2">
      <c r="A570" s="2">
        <v>41838</v>
      </c>
      <c r="B570" s="8">
        <f>YEAR(Sales_data[[#This Row],[Order Date]])</f>
        <v>2014</v>
      </c>
      <c r="C570" s="8">
        <f>MONTH(Sales_data[[#This Row],[Order Date]])</f>
        <v>7</v>
      </c>
      <c r="D570" s="8" t="str">
        <f>TEXT(Sales_data[[#This Row],[Order Date]],"mmm")</f>
        <v>Jul</v>
      </c>
      <c r="E570" t="s">
        <v>9</v>
      </c>
      <c r="F570" t="s">
        <v>28</v>
      </c>
      <c r="G570" t="s">
        <v>34</v>
      </c>
      <c r="H570" t="s">
        <v>39</v>
      </c>
      <c r="I570" t="s">
        <v>45</v>
      </c>
      <c r="J570" s="7">
        <v>1858.86</v>
      </c>
      <c r="K570" s="8">
        <v>1</v>
      </c>
      <c r="L570" s="7">
        <v>95.45</v>
      </c>
    </row>
    <row r="571" spans="1:12" x14ac:dyDescent="0.2">
      <c r="A571" s="2">
        <v>41839</v>
      </c>
      <c r="B571" s="8">
        <f>YEAR(Sales_data[[#This Row],[Order Date]])</f>
        <v>2014</v>
      </c>
      <c r="C571" s="8">
        <f>MONTH(Sales_data[[#This Row],[Order Date]])</f>
        <v>7</v>
      </c>
      <c r="D571" s="8" t="str">
        <f>TEXT(Sales_data[[#This Row],[Order Date]],"mmm")</f>
        <v>Jul</v>
      </c>
      <c r="E571" t="s">
        <v>20</v>
      </c>
      <c r="F571" t="s">
        <v>31</v>
      </c>
      <c r="G571" t="s">
        <v>33</v>
      </c>
      <c r="H571" t="s">
        <v>42</v>
      </c>
      <c r="I571" t="s">
        <v>53</v>
      </c>
      <c r="J571" s="7">
        <v>1223.32</v>
      </c>
      <c r="K571" s="8">
        <v>4</v>
      </c>
      <c r="L571" s="7">
        <v>-21.8</v>
      </c>
    </row>
    <row r="572" spans="1:12" x14ac:dyDescent="0.2">
      <c r="A572" s="2">
        <v>41840</v>
      </c>
      <c r="B572" s="8">
        <f>YEAR(Sales_data[[#This Row],[Order Date]])</f>
        <v>2014</v>
      </c>
      <c r="C572" s="8">
        <f>MONTH(Sales_data[[#This Row],[Order Date]])</f>
        <v>7</v>
      </c>
      <c r="D572" s="8" t="str">
        <f>TEXT(Sales_data[[#This Row],[Order Date]],"mmm")</f>
        <v>Jul</v>
      </c>
      <c r="E572" t="s">
        <v>15</v>
      </c>
      <c r="F572" t="s">
        <v>25</v>
      </c>
      <c r="G572" t="s">
        <v>32</v>
      </c>
      <c r="H572" t="s">
        <v>37</v>
      </c>
      <c r="I572" t="s">
        <v>45</v>
      </c>
      <c r="J572" s="7">
        <v>803.13</v>
      </c>
      <c r="K572" s="8">
        <v>5</v>
      </c>
      <c r="L572" s="7">
        <v>372.79</v>
      </c>
    </row>
    <row r="573" spans="1:12" x14ac:dyDescent="0.2">
      <c r="A573" s="2">
        <v>41840</v>
      </c>
      <c r="B573" s="8">
        <f>YEAR(Sales_data[[#This Row],[Order Date]])</f>
        <v>2014</v>
      </c>
      <c r="C573" s="8">
        <f>MONTH(Sales_data[[#This Row],[Order Date]])</f>
        <v>7</v>
      </c>
      <c r="D573" s="8" t="str">
        <f>TEXT(Sales_data[[#This Row],[Order Date]],"mmm")</f>
        <v>Jul</v>
      </c>
      <c r="E573" t="s">
        <v>11</v>
      </c>
      <c r="F573" t="s">
        <v>27</v>
      </c>
      <c r="G573" t="s">
        <v>33</v>
      </c>
      <c r="H573" t="s">
        <v>39</v>
      </c>
      <c r="I573" t="s">
        <v>44</v>
      </c>
      <c r="J573" s="7">
        <v>1325.34</v>
      </c>
      <c r="K573" s="8">
        <v>3</v>
      </c>
      <c r="L573" s="7">
        <v>0.04</v>
      </c>
    </row>
    <row r="574" spans="1:12" x14ac:dyDescent="0.2">
      <c r="A574" s="2">
        <v>41841</v>
      </c>
      <c r="B574" s="8">
        <f>YEAR(Sales_data[[#This Row],[Order Date]])</f>
        <v>2014</v>
      </c>
      <c r="C574" s="8">
        <f>MONTH(Sales_data[[#This Row],[Order Date]])</f>
        <v>7</v>
      </c>
      <c r="D574" s="8" t="str">
        <f>TEXT(Sales_data[[#This Row],[Order Date]],"mmm")</f>
        <v>Jul</v>
      </c>
      <c r="E574" t="s">
        <v>10</v>
      </c>
      <c r="F574" t="s">
        <v>23</v>
      </c>
      <c r="G574" t="s">
        <v>34</v>
      </c>
      <c r="H574" t="s">
        <v>36</v>
      </c>
      <c r="I574" t="s">
        <v>53</v>
      </c>
      <c r="J574" s="7">
        <v>1987.07</v>
      </c>
      <c r="K574" s="8">
        <v>4</v>
      </c>
      <c r="L574" s="7">
        <v>234.54</v>
      </c>
    </row>
    <row r="575" spans="1:12" x14ac:dyDescent="0.2">
      <c r="A575" s="2">
        <v>41843</v>
      </c>
      <c r="B575" s="8">
        <f>YEAR(Sales_data[[#This Row],[Order Date]])</f>
        <v>2014</v>
      </c>
      <c r="C575" s="8">
        <f>MONTH(Sales_data[[#This Row],[Order Date]])</f>
        <v>7</v>
      </c>
      <c r="D575" s="8" t="str">
        <f>TEXT(Sales_data[[#This Row],[Order Date]],"mmm")</f>
        <v>Jul</v>
      </c>
      <c r="E575" t="s">
        <v>10</v>
      </c>
      <c r="F575" t="s">
        <v>31</v>
      </c>
      <c r="G575" t="s">
        <v>32</v>
      </c>
      <c r="H575" t="s">
        <v>35</v>
      </c>
      <c r="I575" t="s">
        <v>47</v>
      </c>
      <c r="J575" s="7">
        <v>1659.05</v>
      </c>
      <c r="K575" s="8">
        <v>8</v>
      </c>
      <c r="L575" s="7">
        <v>19.23</v>
      </c>
    </row>
    <row r="576" spans="1:12" x14ac:dyDescent="0.2">
      <c r="A576" s="2">
        <v>41844</v>
      </c>
      <c r="B576" s="8">
        <f>YEAR(Sales_data[[#This Row],[Order Date]])</f>
        <v>2014</v>
      </c>
      <c r="C576" s="8">
        <f>MONTH(Sales_data[[#This Row],[Order Date]])</f>
        <v>7</v>
      </c>
      <c r="D576" s="8" t="str">
        <f>TEXT(Sales_data[[#This Row],[Order Date]],"mmm")</f>
        <v>Jul</v>
      </c>
      <c r="E576" t="s">
        <v>18</v>
      </c>
      <c r="F576" t="s">
        <v>29</v>
      </c>
      <c r="G576" t="s">
        <v>32</v>
      </c>
      <c r="H576" t="s">
        <v>36</v>
      </c>
      <c r="I576" t="s">
        <v>49</v>
      </c>
      <c r="J576" s="7">
        <v>652.57000000000005</v>
      </c>
      <c r="K576" s="8">
        <v>2</v>
      </c>
      <c r="L576" s="7">
        <v>3.12</v>
      </c>
    </row>
    <row r="577" spans="1:12" x14ac:dyDescent="0.2">
      <c r="A577" s="2">
        <v>41844</v>
      </c>
      <c r="B577" s="8">
        <f>YEAR(Sales_data[[#This Row],[Order Date]])</f>
        <v>2014</v>
      </c>
      <c r="C577" s="8">
        <f>MONTH(Sales_data[[#This Row],[Order Date]])</f>
        <v>7</v>
      </c>
      <c r="D577" s="8" t="str">
        <f>TEXT(Sales_data[[#This Row],[Order Date]],"mmm")</f>
        <v>Jul</v>
      </c>
      <c r="E577" t="s">
        <v>16</v>
      </c>
      <c r="F577" t="s">
        <v>31</v>
      </c>
      <c r="G577" t="s">
        <v>34</v>
      </c>
      <c r="H577" t="s">
        <v>36</v>
      </c>
      <c r="I577" t="s">
        <v>45</v>
      </c>
      <c r="J577" s="7">
        <v>41.13</v>
      </c>
      <c r="K577" s="8">
        <v>5</v>
      </c>
      <c r="L577" s="7">
        <v>66.239999999999995</v>
      </c>
    </row>
    <row r="578" spans="1:12" x14ac:dyDescent="0.2">
      <c r="A578" s="2">
        <v>41848</v>
      </c>
      <c r="B578" s="8">
        <f>YEAR(Sales_data[[#This Row],[Order Date]])</f>
        <v>2014</v>
      </c>
      <c r="C578" s="8">
        <f>MONTH(Sales_data[[#This Row],[Order Date]])</f>
        <v>7</v>
      </c>
      <c r="D578" s="8" t="str">
        <f>TEXT(Sales_data[[#This Row],[Order Date]],"mmm")</f>
        <v>Jul</v>
      </c>
      <c r="E578" t="s">
        <v>12</v>
      </c>
      <c r="F578" t="s">
        <v>22</v>
      </c>
      <c r="G578" t="s">
        <v>32</v>
      </c>
      <c r="H578" t="s">
        <v>41</v>
      </c>
      <c r="I578" t="s">
        <v>45</v>
      </c>
      <c r="J578" s="7">
        <v>789.04</v>
      </c>
      <c r="K578" s="8">
        <v>9</v>
      </c>
      <c r="L578" s="7">
        <v>-156.63999999999999</v>
      </c>
    </row>
    <row r="579" spans="1:12" x14ac:dyDescent="0.2">
      <c r="A579" s="2">
        <v>41848</v>
      </c>
      <c r="B579" s="8">
        <f>YEAR(Sales_data[[#This Row],[Order Date]])</f>
        <v>2014</v>
      </c>
      <c r="C579" s="8">
        <f>MONTH(Sales_data[[#This Row],[Order Date]])</f>
        <v>7</v>
      </c>
      <c r="D579" s="8" t="str">
        <f>TEXT(Sales_data[[#This Row],[Order Date]],"mmm")</f>
        <v>Jul</v>
      </c>
      <c r="E579" t="s">
        <v>17</v>
      </c>
      <c r="F579" t="s">
        <v>25</v>
      </c>
      <c r="G579" t="s">
        <v>34</v>
      </c>
      <c r="H579" t="s">
        <v>38</v>
      </c>
      <c r="I579" t="s">
        <v>47</v>
      </c>
      <c r="J579" s="7">
        <v>593.85</v>
      </c>
      <c r="K579" s="8">
        <v>9</v>
      </c>
      <c r="L579" s="7">
        <v>-4.5599999999999996</v>
      </c>
    </row>
    <row r="580" spans="1:12" x14ac:dyDescent="0.2">
      <c r="A580" s="2">
        <v>41849</v>
      </c>
      <c r="B580" s="8">
        <f>YEAR(Sales_data[[#This Row],[Order Date]])</f>
        <v>2014</v>
      </c>
      <c r="C580" s="8">
        <f>MONTH(Sales_data[[#This Row],[Order Date]])</f>
        <v>7</v>
      </c>
      <c r="D580" s="8" t="str">
        <f>TEXT(Sales_data[[#This Row],[Order Date]],"mmm")</f>
        <v>Jul</v>
      </c>
      <c r="E580" t="s">
        <v>20</v>
      </c>
      <c r="F580" t="s">
        <v>29</v>
      </c>
      <c r="G580" t="s">
        <v>32</v>
      </c>
      <c r="H580" t="s">
        <v>35</v>
      </c>
      <c r="I580" t="s">
        <v>45</v>
      </c>
      <c r="J580" s="7">
        <v>1459.66</v>
      </c>
      <c r="K580" s="8">
        <v>8</v>
      </c>
      <c r="L580" s="7">
        <v>-86.43</v>
      </c>
    </row>
    <row r="581" spans="1:12" x14ac:dyDescent="0.2">
      <c r="A581" s="2">
        <v>41849</v>
      </c>
      <c r="B581" s="8">
        <f>YEAR(Sales_data[[#This Row],[Order Date]])</f>
        <v>2014</v>
      </c>
      <c r="C581" s="8">
        <f>MONTH(Sales_data[[#This Row],[Order Date]])</f>
        <v>7</v>
      </c>
      <c r="D581" s="8" t="str">
        <f>TEXT(Sales_data[[#This Row],[Order Date]],"mmm")</f>
        <v>Jul</v>
      </c>
      <c r="E581" t="s">
        <v>13</v>
      </c>
      <c r="F581" t="s">
        <v>23</v>
      </c>
      <c r="G581" t="s">
        <v>34</v>
      </c>
      <c r="H581" t="s">
        <v>36</v>
      </c>
      <c r="I581" t="s">
        <v>49</v>
      </c>
      <c r="J581" s="7">
        <v>1218.46</v>
      </c>
      <c r="K581" s="8">
        <v>8</v>
      </c>
      <c r="L581" s="7">
        <v>316.52</v>
      </c>
    </row>
    <row r="582" spans="1:12" x14ac:dyDescent="0.2">
      <c r="A582" s="2">
        <v>41849</v>
      </c>
      <c r="B582" s="8">
        <f>YEAR(Sales_data[[#This Row],[Order Date]])</f>
        <v>2014</v>
      </c>
      <c r="C582" s="8">
        <f>MONTH(Sales_data[[#This Row],[Order Date]])</f>
        <v>7</v>
      </c>
      <c r="D582" s="8" t="str">
        <f>TEXT(Sales_data[[#This Row],[Order Date]],"mmm")</f>
        <v>Jul</v>
      </c>
      <c r="E582" t="s">
        <v>11</v>
      </c>
      <c r="F582" t="s">
        <v>23</v>
      </c>
      <c r="G582" t="s">
        <v>32</v>
      </c>
      <c r="H582" t="s">
        <v>36</v>
      </c>
      <c r="I582" t="s">
        <v>45</v>
      </c>
      <c r="J582" s="7">
        <v>1253.5999999999999</v>
      </c>
      <c r="K582" s="8">
        <v>4</v>
      </c>
      <c r="L582" s="7">
        <v>109.8</v>
      </c>
    </row>
    <row r="583" spans="1:12" x14ac:dyDescent="0.2">
      <c r="A583" s="2">
        <v>41851</v>
      </c>
      <c r="B583" s="8">
        <f>YEAR(Sales_data[[#This Row],[Order Date]])</f>
        <v>2014</v>
      </c>
      <c r="C583" s="8">
        <f>MONTH(Sales_data[[#This Row],[Order Date]])</f>
        <v>7</v>
      </c>
      <c r="D583" s="8" t="str">
        <f>TEXT(Sales_data[[#This Row],[Order Date]],"mmm")</f>
        <v>Jul</v>
      </c>
      <c r="E583" t="s">
        <v>17</v>
      </c>
      <c r="F583" t="s">
        <v>30</v>
      </c>
      <c r="G583" t="s">
        <v>34</v>
      </c>
      <c r="H583" t="s">
        <v>35</v>
      </c>
      <c r="I583" t="s">
        <v>50</v>
      </c>
      <c r="J583" s="7">
        <v>1981.69</v>
      </c>
      <c r="K583" s="8">
        <v>3</v>
      </c>
      <c r="L583" s="7">
        <v>225.9</v>
      </c>
    </row>
    <row r="584" spans="1:12" x14ac:dyDescent="0.2">
      <c r="A584" s="2">
        <v>41852</v>
      </c>
      <c r="B584" s="8">
        <f>YEAR(Sales_data[[#This Row],[Order Date]])</f>
        <v>2014</v>
      </c>
      <c r="C584" s="8">
        <f>MONTH(Sales_data[[#This Row],[Order Date]])</f>
        <v>8</v>
      </c>
      <c r="D584" s="8" t="str">
        <f>TEXT(Sales_data[[#This Row],[Order Date]],"mmm")</f>
        <v>Aug</v>
      </c>
      <c r="E584" t="s">
        <v>16</v>
      </c>
      <c r="F584" t="s">
        <v>23</v>
      </c>
      <c r="G584" t="s">
        <v>34</v>
      </c>
      <c r="H584" t="s">
        <v>38</v>
      </c>
      <c r="I584" t="s">
        <v>47</v>
      </c>
      <c r="J584" s="7">
        <v>78.010000000000005</v>
      </c>
      <c r="K584" s="8">
        <v>6</v>
      </c>
      <c r="L584" s="7">
        <v>-55.42</v>
      </c>
    </row>
    <row r="585" spans="1:12" x14ac:dyDescent="0.2">
      <c r="A585" s="2">
        <v>41852</v>
      </c>
      <c r="B585" s="8">
        <f>YEAR(Sales_data[[#This Row],[Order Date]])</f>
        <v>2014</v>
      </c>
      <c r="C585" s="8">
        <f>MONTH(Sales_data[[#This Row],[Order Date]])</f>
        <v>8</v>
      </c>
      <c r="D585" s="8" t="str">
        <f>TEXT(Sales_data[[#This Row],[Order Date]],"mmm")</f>
        <v>Aug</v>
      </c>
      <c r="E585" t="s">
        <v>21</v>
      </c>
      <c r="F585" t="s">
        <v>25</v>
      </c>
      <c r="G585" t="s">
        <v>32</v>
      </c>
      <c r="H585" t="s">
        <v>37</v>
      </c>
      <c r="I585" t="s">
        <v>53</v>
      </c>
      <c r="J585" s="7">
        <v>1641.54</v>
      </c>
      <c r="K585" s="8">
        <v>7</v>
      </c>
      <c r="L585" s="7">
        <v>175.53</v>
      </c>
    </row>
    <row r="586" spans="1:12" x14ac:dyDescent="0.2">
      <c r="A586" s="2">
        <v>41853</v>
      </c>
      <c r="B586" s="8">
        <f>YEAR(Sales_data[[#This Row],[Order Date]])</f>
        <v>2014</v>
      </c>
      <c r="C586" s="8">
        <f>MONTH(Sales_data[[#This Row],[Order Date]])</f>
        <v>8</v>
      </c>
      <c r="D586" s="8" t="str">
        <f>TEXT(Sales_data[[#This Row],[Order Date]],"mmm")</f>
        <v>Aug</v>
      </c>
      <c r="E586" t="s">
        <v>11</v>
      </c>
      <c r="F586" t="s">
        <v>31</v>
      </c>
      <c r="G586" t="s">
        <v>34</v>
      </c>
      <c r="H586" t="s">
        <v>36</v>
      </c>
      <c r="I586" t="s">
        <v>50</v>
      </c>
      <c r="J586" s="7">
        <v>487.85</v>
      </c>
      <c r="K586" s="8">
        <v>7</v>
      </c>
      <c r="L586" s="7">
        <v>355.69</v>
      </c>
    </row>
    <row r="587" spans="1:12" x14ac:dyDescent="0.2">
      <c r="A587" s="2">
        <v>41853</v>
      </c>
      <c r="B587" s="8">
        <f>YEAR(Sales_data[[#This Row],[Order Date]])</f>
        <v>2014</v>
      </c>
      <c r="C587" s="8">
        <f>MONTH(Sales_data[[#This Row],[Order Date]])</f>
        <v>8</v>
      </c>
      <c r="D587" s="8" t="str">
        <f>TEXT(Sales_data[[#This Row],[Order Date]],"mmm")</f>
        <v>Aug</v>
      </c>
      <c r="E587" t="s">
        <v>20</v>
      </c>
      <c r="F587" t="s">
        <v>29</v>
      </c>
      <c r="G587" t="s">
        <v>33</v>
      </c>
      <c r="H587" t="s">
        <v>36</v>
      </c>
      <c r="I587" t="s">
        <v>50</v>
      </c>
      <c r="J587" s="7">
        <v>811.75</v>
      </c>
      <c r="K587" s="8">
        <v>5</v>
      </c>
      <c r="L587" s="7">
        <v>144.22999999999999</v>
      </c>
    </row>
    <row r="588" spans="1:12" x14ac:dyDescent="0.2">
      <c r="A588" s="2">
        <v>41854</v>
      </c>
      <c r="B588" s="8">
        <f>YEAR(Sales_data[[#This Row],[Order Date]])</f>
        <v>2014</v>
      </c>
      <c r="C588" s="8">
        <f>MONTH(Sales_data[[#This Row],[Order Date]])</f>
        <v>8</v>
      </c>
      <c r="D588" s="8" t="str">
        <f>TEXT(Sales_data[[#This Row],[Order Date]],"mmm")</f>
        <v>Aug</v>
      </c>
      <c r="E588" t="s">
        <v>13</v>
      </c>
      <c r="F588" t="s">
        <v>29</v>
      </c>
      <c r="G588" t="s">
        <v>34</v>
      </c>
      <c r="H588" t="s">
        <v>35</v>
      </c>
      <c r="I588" t="s">
        <v>46</v>
      </c>
      <c r="J588" s="7">
        <v>894.34</v>
      </c>
      <c r="K588" s="8">
        <v>8</v>
      </c>
      <c r="L588" s="7">
        <v>-194.68</v>
      </c>
    </row>
    <row r="589" spans="1:12" x14ac:dyDescent="0.2">
      <c r="A589" s="2">
        <v>41855</v>
      </c>
      <c r="B589" s="8">
        <f>YEAR(Sales_data[[#This Row],[Order Date]])</f>
        <v>2014</v>
      </c>
      <c r="C589" s="8">
        <f>MONTH(Sales_data[[#This Row],[Order Date]])</f>
        <v>8</v>
      </c>
      <c r="D589" s="8" t="str">
        <f>TEXT(Sales_data[[#This Row],[Order Date]],"mmm")</f>
        <v>Aug</v>
      </c>
      <c r="E589" t="s">
        <v>12</v>
      </c>
      <c r="F589" t="s">
        <v>28</v>
      </c>
      <c r="G589" t="s">
        <v>33</v>
      </c>
      <c r="H589" t="s">
        <v>35</v>
      </c>
      <c r="I589" t="s">
        <v>50</v>
      </c>
      <c r="J589" s="7">
        <v>268.12</v>
      </c>
      <c r="K589" s="8">
        <v>2</v>
      </c>
      <c r="L589" s="7">
        <v>247.92</v>
      </c>
    </row>
    <row r="590" spans="1:12" x14ac:dyDescent="0.2">
      <c r="A590" s="2">
        <v>41859</v>
      </c>
      <c r="B590" s="8">
        <f>YEAR(Sales_data[[#This Row],[Order Date]])</f>
        <v>2014</v>
      </c>
      <c r="C590" s="8">
        <f>MONTH(Sales_data[[#This Row],[Order Date]])</f>
        <v>8</v>
      </c>
      <c r="D590" s="8" t="str">
        <f>TEXT(Sales_data[[#This Row],[Order Date]],"mmm")</f>
        <v>Aug</v>
      </c>
      <c r="E590" t="s">
        <v>18</v>
      </c>
      <c r="F590" t="s">
        <v>27</v>
      </c>
      <c r="G590" t="s">
        <v>34</v>
      </c>
      <c r="H590" t="s">
        <v>38</v>
      </c>
      <c r="I590" t="s">
        <v>50</v>
      </c>
      <c r="J590" s="7">
        <v>1403.37</v>
      </c>
      <c r="K590" s="8">
        <v>8</v>
      </c>
      <c r="L590" s="7">
        <v>66.23</v>
      </c>
    </row>
    <row r="591" spans="1:12" x14ac:dyDescent="0.2">
      <c r="A591" s="2">
        <v>41861</v>
      </c>
      <c r="B591" s="8">
        <f>YEAR(Sales_data[[#This Row],[Order Date]])</f>
        <v>2014</v>
      </c>
      <c r="C591" s="8">
        <f>MONTH(Sales_data[[#This Row],[Order Date]])</f>
        <v>8</v>
      </c>
      <c r="D591" s="8" t="str">
        <f>TEXT(Sales_data[[#This Row],[Order Date]],"mmm")</f>
        <v>Aug</v>
      </c>
      <c r="E591" t="s">
        <v>11</v>
      </c>
      <c r="F591" t="s">
        <v>27</v>
      </c>
      <c r="G591" t="s">
        <v>34</v>
      </c>
      <c r="H591" t="s">
        <v>39</v>
      </c>
      <c r="I591" t="s">
        <v>48</v>
      </c>
      <c r="J591" s="7">
        <v>1693.78</v>
      </c>
      <c r="K591" s="8">
        <v>6</v>
      </c>
      <c r="L591" s="7">
        <v>-53.48</v>
      </c>
    </row>
    <row r="592" spans="1:12" x14ac:dyDescent="0.2">
      <c r="A592" s="2">
        <v>41862</v>
      </c>
      <c r="B592" s="8">
        <f>YEAR(Sales_data[[#This Row],[Order Date]])</f>
        <v>2014</v>
      </c>
      <c r="C592" s="8">
        <f>MONTH(Sales_data[[#This Row],[Order Date]])</f>
        <v>8</v>
      </c>
      <c r="D592" s="8" t="str">
        <f>TEXT(Sales_data[[#This Row],[Order Date]],"mmm")</f>
        <v>Aug</v>
      </c>
      <c r="E592" t="s">
        <v>14</v>
      </c>
      <c r="F592" t="s">
        <v>27</v>
      </c>
      <c r="G592" t="s">
        <v>32</v>
      </c>
      <c r="H592" t="s">
        <v>37</v>
      </c>
      <c r="I592" t="s">
        <v>47</v>
      </c>
      <c r="J592" s="7">
        <v>1941.44</v>
      </c>
      <c r="K592" s="8">
        <v>1</v>
      </c>
      <c r="L592" s="7">
        <v>342.61</v>
      </c>
    </row>
    <row r="593" spans="1:12" x14ac:dyDescent="0.2">
      <c r="A593" s="2">
        <v>41862</v>
      </c>
      <c r="B593" s="8">
        <f>YEAR(Sales_data[[#This Row],[Order Date]])</f>
        <v>2014</v>
      </c>
      <c r="C593" s="8">
        <f>MONTH(Sales_data[[#This Row],[Order Date]])</f>
        <v>8</v>
      </c>
      <c r="D593" s="8" t="str">
        <f>TEXT(Sales_data[[#This Row],[Order Date]],"mmm")</f>
        <v>Aug</v>
      </c>
      <c r="E593" t="s">
        <v>20</v>
      </c>
      <c r="F593" t="s">
        <v>29</v>
      </c>
      <c r="G593" t="s">
        <v>32</v>
      </c>
      <c r="H593" t="s">
        <v>37</v>
      </c>
      <c r="I593" t="s">
        <v>44</v>
      </c>
      <c r="J593" s="7">
        <v>1433.86</v>
      </c>
      <c r="K593" s="8">
        <v>1</v>
      </c>
      <c r="L593" s="7">
        <v>178.77</v>
      </c>
    </row>
    <row r="594" spans="1:12" x14ac:dyDescent="0.2">
      <c r="A594" s="2">
        <v>41862</v>
      </c>
      <c r="B594" s="8">
        <f>YEAR(Sales_data[[#This Row],[Order Date]])</f>
        <v>2014</v>
      </c>
      <c r="C594" s="8">
        <f>MONTH(Sales_data[[#This Row],[Order Date]])</f>
        <v>8</v>
      </c>
      <c r="D594" s="8" t="str">
        <f>TEXT(Sales_data[[#This Row],[Order Date]],"mmm")</f>
        <v>Aug</v>
      </c>
      <c r="E594" t="s">
        <v>16</v>
      </c>
      <c r="F594" t="s">
        <v>28</v>
      </c>
      <c r="G594" t="s">
        <v>33</v>
      </c>
      <c r="H594" t="s">
        <v>38</v>
      </c>
      <c r="I594" t="s">
        <v>45</v>
      </c>
      <c r="J594" s="7">
        <v>1761.46</v>
      </c>
      <c r="K594" s="8">
        <v>7</v>
      </c>
      <c r="L594" s="7">
        <v>109.29</v>
      </c>
    </row>
    <row r="595" spans="1:12" x14ac:dyDescent="0.2">
      <c r="A595" s="2">
        <v>41864</v>
      </c>
      <c r="B595" s="8">
        <f>YEAR(Sales_data[[#This Row],[Order Date]])</f>
        <v>2014</v>
      </c>
      <c r="C595" s="8">
        <f>MONTH(Sales_data[[#This Row],[Order Date]])</f>
        <v>8</v>
      </c>
      <c r="D595" s="8" t="str">
        <f>TEXT(Sales_data[[#This Row],[Order Date]],"mmm")</f>
        <v>Aug</v>
      </c>
      <c r="E595" t="s">
        <v>9</v>
      </c>
      <c r="F595" t="s">
        <v>22</v>
      </c>
      <c r="G595" t="s">
        <v>34</v>
      </c>
      <c r="H595" t="s">
        <v>37</v>
      </c>
      <c r="I595" t="s">
        <v>48</v>
      </c>
      <c r="J595" s="7">
        <v>246.12</v>
      </c>
      <c r="K595" s="8">
        <v>1</v>
      </c>
      <c r="L595" s="7">
        <v>190.33</v>
      </c>
    </row>
    <row r="596" spans="1:12" x14ac:dyDescent="0.2">
      <c r="A596" s="2">
        <v>41867</v>
      </c>
      <c r="B596" s="8">
        <f>YEAR(Sales_data[[#This Row],[Order Date]])</f>
        <v>2014</v>
      </c>
      <c r="C596" s="8">
        <f>MONTH(Sales_data[[#This Row],[Order Date]])</f>
        <v>8</v>
      </c>
      <c r="D596" s="8" t="str">
        <f>TEXT(Sales_data[[#This Row],[Order Date]],"mmm")</f>
        <v>Aug</v>
      </c>
      <c r="E596" t="s">
        <v>16</v>
      </c>
      <c r="F596" t="s">
        <v>23</v>
      </c>
      <c r="G596" t="s">
        <v>34</v>
      </c>
      <c r="H596" t="s">
        <v>36</v>
      </c>
      <c r="I596" t="s">
        <v>44</v>
      </c>
      <c r="J596" s="7">
        <v>699.07</v>
      </c>
      <c r="K596" s="8">
        <v>7</v>
      </c>
      <c r="L596" s="7">
        <v>21.59</v>
      </c>
    </row>
    <row r="597" spans="1:12" x14ac:dyDescent="0.2">
      <c r="A597" s="2">
        <v>41867</v>
      </c>
      <c r="B597" s="8">
        <f>YEAR(Sales_data[[#This Row],[Order Date]])</f>
        <v>2014</v>
      </c>
      <c r="C597" s="8">
        <f>MONTH(Sales_data[[#This Row],[Order Date]])</f>
        <v>8</v>
      </c>
      <c r="D597" s="8" t="str">
        <f>TEXT(Sales_data[[#This Row],[Order Date]],"mmm")</f>
        <v>Aug</v>
      </c>
      <c r="E597" t="s">
        <v>17</v>
      </c>
      <c r="F597" t="s">
        <v>30</v>
      </c>
      <c r="G597" t="s">
        <v>34</v>
      </c>
      <c r="H597" t="s">
        <v>38</v>
      </c>
      <c r="I597" t="s">
        <v>44</v>
      </c>
      <c r="J597" s="7">
        <v>960.98</v>
      </c>
      <c r="K597" s="8">
        <v>5</v>
      </c>
      <c r="L597" s="7">
        <v>178.16</v>
      </c>
    </row>
    <row r="598" spans="1:12" x14ac:dyDescent="0.2">
      <c r="A598" s="2">
        <v>41868</v>
      </c>
      <c r="B598" s="8">
        <f>YEAR(Sales_data[[#This Row],[Order Date]])</f>
        <v>2014</v>
      </c>
      <c r="C598" s="8">
        <f>MONTH(Sales_data[[#This Row],[Order Date]])</f>
        <v>8</v>
      </c>
      <c r="D598" s="8" t="str">
        <f>TEXT(Sales_data[[#This Row],[Order Date]],"mmm")</f>
        <v>Aug</v>
      </c>
      <c r="E598" t="s">
        <v>20</v>
      </c>
      <c r="F598" t="s">
        <v>31</v>
      </c>
      <c r="G598" t="s">
        <v>34</v>
      </c>
      <c r="H598" t="s">
        <v>37</v>
      </c>
      <c r="I598" t="s">
        <v>51</v>
      </c>
      <c r="J598" s="7">
        <v>911.47</v>
      </c>
      <c r="K598" s="8">
        <v>1</v>
      </c>
      <c r="L598" s="7">
        <v>73.02</v>
      </c>
    </row>
    <row r="599" spans="1:12" x14ac:dyDescent="0.2">
      <c r="A599" s="2">
        <v>41869</v>
      </c>
      <c r="B599" s="8">
        <f>YEAR(Sales_data[[#This Row],[Order Date]])</f>
        <v>2014</v>
      </c>
      <c r="C599" s="8">
        <f>MONTH(Sales_data[[#This Row],[Order Date]])</f>
        <v>8</v>
      </c>
      <c r="D599" s="8" t="str">
        <f>TEXT(Sales_data[[#This Row],[Order Date]],"mmm")</f>
        <v>Aug</v>
      </c>
      <c r="E599" t="s">
        <v>12</v>
      </c>
      <c r="F599" t="s">
        <v>24</v>
      </c>
      <c r="G599" t="s">
        <v>33</v>
      </c>
      <c r="H599" t="s">
        <v>35</v>
      </c>
      <c r="I599" t="s">
        <v>49</v>
      </c>
      <c r="J599" s="7">
        <v>1152.18</v>
      </c>
      <c r="K599" s="8">
        <v>2</v>
      </c>
      <c r="L599" s="7">
        <v>295.93</v>
      </c>
    </row>
    <row r="600" spans="1:12" x14ac:dyDescent="0.2">
      <c r="A600" s="2">
        <v>41870</v>
      </c>
      <c r="B600" s="8">
        <f>YEAR(Sales_data[[#This Row],[Order Date]])</f>
        <v>2014</v>
      </c>
      <c r="C600" s="8">
        <f>MONTH(Sales_data[[#This Row],[Order Date]])</f>
        <v>8</v>
      </c>
      <c r="D600" s="8" t="str">
        <f>TEXT(Sales_data[[#This Row],[Order Date]],"mmm")</f>
        <v>Aug</v>
      </c>
      <c r="E600" t="s">
        <v>20</v>
      </c>
      <c r="F600" t="s">
        <v>23</v>
      </c>
      <c r="G600" t="s">
        <v>33</v>
      </c>
      <c r="H600" t="s">
        <v>41</v>
      </c>
      <c r="I600" t="s">
        <v>46</v>
      </c>
      <c r="J600" s="7">
        <v>762.28</v>
      </c>
      <c r="K600" s="8">
        <v>9</v>
      </c>
      <c r="L600" s="7">
        <v>118.13</v>
      </c>
    </row>
    <row r="601" spans="1:12" x14ac:dyDescent="0.2">
      <c r="A601" s="2">
        <v>41872</v>
      </c>
      <c r="B601" s="8">
        <f>YEAR(Sales_data[[#This Row],[Order Date]])</f>
        <v>2014</v>
      </c>
      <c r="C601" s="8">
        <f>MONTH(Sales_data[[#This Row],[Order Date]])</f>
        <v>8</v>
      </c>
      <c r="D601" s="8" t="str">
        <f>TEXT(Sales_data[[#This Row],[Order Date]],"mmm")</f>
        <v>Aug</v>
      </c>
      <c r="E601" t="s">
        <v>12</v>
      </c>
      <c r="F601" t="s">
        <v>29</v>
      </c>
      <c r="G601" t="s">
        <v>33</v>
      </c>
      <c r="H601" t="s">
        <v>36</v>
      </c>
      <c r="I601" t="s">
        <v>51</v>
      </c>
      <c r="J601" s="7">
        <v>457.54</v>
      </c>
      <c r="K601" s="8">
        <v>3</v>
      </c>
      <c r="L601" s="7">
        <v>33.39</v>
      </c>
    </row>
    <row r="602" spans="1:12" x14ac:dyDescent="0.2">
      <c r="A602" s="2">
        <v>41875</v>
      </c>
      <c r="B602" s="8">
        <f>YEAR(Sales_data[[#This Row],[Order Date]])</f>
        <v>2014</v>
      </c>
      <c r="C602" s="8">
        <f>MONTH(Sales_data[[#This Row],[Order Date]])</f>
        <v>8</v>
      </c>
      <c r="D602" s="8" t="str">
        <f>TEXT(Sales_data[[#This Row],[Order Date]],"mmm")</f>
        <v>Aug</v>
      </c>
      <c r="E602" t="s">
        <v>16</v>
      </c>
      <c r="F602" t="s">
        <v>28</v>
      </c>
      <c r="G602" t="s">
        <v>34</v>
      </c>
      <c r="H602" t="s">
        <v>41</v>
      </c>
      <c r="I602" t="s">
        <v>45</v>
      </c>
      <c r="J602" s="7">
        <v>1037.93</v>
      </c>
      <c r="K602" s="8">
        <v>3</v>
      </c>
      <c r="L602" s="7">
        <v>80.930000000000007</v>
      </c>
    </row>
    <row r="603" spans="1:12" x14ac:dyDescent="0.2">
      <c r="A603" s="2">
        <v>41875</v>
      </c>
      <c r="B603" s="8">
        <f>YEAR(Sales_data[[#This Row],[Order Date]])</f>
        <v>2014</v>
      </c>
      <c r="C603" s="8">
        <f>MONTH(Sales_data[[#This Row],[Order Date]])</f>
        <v>8</v>
      </c>
      <c r="D603" s="8" t="str">
        <f>TEXT(Sales_data[[#This Row],[Order Date]],"mmm")</f>
        <v>Aug</v>
      </c>
      <c r="E603" t="s">
        <v>18</v>
      </c>
      <c r="F603" t="s">
        <v>30</v>
      </c>
      <c r="G603" t="s">
        <v>32</v>
      </c>
      <c r="H603" t="s">
        <v>41</v>
      </c>
      <c r="I603" t="s">
        <v>49</v>
      </c>
      <c r="J603" s="7">
        <v>1633.48</v>
      </c>
      <c r="K603" s="8">
        <v>9</v>
      </c>
      <c r="L603" s="7">
        <v>205.83</v>
      </c>
    </row>
    <row r="604" spans="1:12" x14ac:dyDescent="0.2">
      <c r="A604" s="2">
        <v>41878</v>
      </c>
      <c r="B604" s="8">
        <f>YEAR(Sales_data[[#This Row],[Order Date]])</f>
        <v>2014</v>
      </c>
      <c r="C604" s="8">
        <f>MONTH(Sales_data[[#This Row],[Order Date]])</f>
        <v>8</v>
      </c>
      <c r="D604" s="8" t="str">
        <f>TEXT(Sales_data[[#This Row],[Order Date]],"mmm")</f>
        <v>Aug</v>
      </c>
      <c r="E604" t="s">
        <v>16</v>
      </c>
      <c r="F604" t="s">
        <v>27</v>
      </c>
      <c r="G604" t="s">
        <v>33</v>
      </c>
      <c r="H604" t="s">
        <v>36</v>
      </c>
      <c r="I604" t="s">
        <v>49</v>
      </c>
      <c r="J604" s="7">
        <v>493</v>
      </c>
      <c r="K604" s="8">
        <v>2</v>
      </c>
      <c r="L604" s="7">
        <v>384.28</v>
      </c>
    </row>
    <row r="605" spans="1:12" x14ac:dyDescent="0.2">
      <c r="A605" s="2">
        <v>41878</v>
      </c>
      <c r="B605" s="8">
        <f>YEAR(Sales_data[[#This Row],[Order Date]])</f>
        <v>2014</v>
      </c>
      <c r="C605" s="8">
        <f>MONTH(Sales_data[[#This Row],[Order Date]])</f>
        <v>8</v>
      </c>
      <c r="D605" s="8" t="str">
        <f>TEXT(Sales_data[[#This Row],[Order Date]],"mmm")</f>
        <v>Aug</v>
      </c>
      <c r="E605" t="s">
        <v>15</v>
      </c>
      <c r="F605" t="s">
        <v>27</v>
      </c>
      <c r="G605" t="s">
        <v>34</v>
      </c>
      <c r="H605" t="s">
        <v>38</v>
      </c>
      <c r="I605" t="s">
        <v>53</v>
      </c>
      <c r="J605" s="7">
        <v>1028.69</v>
      </c>
      <c r="K605" s="8">
        <v>9</v>
      </c>
      <c r="L605" s="7">
        <v>-6.54</v>
      </c>
    </row>
    <row r="606" spans="1:12" x14ac:dyDescent="0.2">
      <c r="A606" s="2">
        <v>41879</v>
      </c>
      <c r="B606" s="8">
        <f>YEAR(Sales_data[[#This Row],[Order Date]])</f>
        <v>2014</v>
      </c>
      <c r="C606" s="8">
        <f>MONTH(Sales_data[[#This Row],[Order Date]])</f>
        <v>8</v>
      </c>
      <c r="D606" s="8" t="str">
        <f>TEXT(Sales_data[[#This Row],[Order Date]],"mmm")</f>
        <v>Aug</v>
      </c>
      <c r="E606" t="s">
        <v>10</v>
      </c>
      <c r="F606" t="s">
        <v>24</v>
      </c>
      <c r="G606" t="s">
        <v>32</v>
      </c>
      <c r="H606" t="s">
        <v>40</v>
      </c>
      <c r="I606" t="s">
        <v>44</v>
      </c>
      <c r="J606" s="7">
        <v>1507.28</v>
      </c>
      <c r="K606" s="8">
        <v>2</v>
      </c>
      <c r="L606" s="7">
        <v>368.14</v>
      </c>
    </row>
    <row r="607" spans="1:12" x14ac:dyDescent="0.2">
      <c r="A607" s="2">
        <v>41881</v>
      </c>
      <c r="B607" s="8">
        <f>YEAR(Sales_data[[#This Row],[Order Date]])</f>
        <v>2014</v>
      </c>
      <c r="C607" s="8">
        <f>MONTH(Sales_data[[#This Row],[Order Date]])</f>
        <v>8</v>
      </c>
      <c r="D607" s="8" t="str">
        <f>TEXT(Sales_data[[#This Row],[Order Date]],"mmm")</f>
        <v>Aug</v>
      </c>
      <c r="E607" t="s">
        <v>18</v>
      </c>
      <c r="F607" t="s">
        <v>24</v>
      </c>
      <c r="G607" t="s">
        <v>33</v>
      </c>
      <c r="H607" t="s">
        <v>39</v>
      </c>
      <c r="I607" t="s">
        <v>48</v>
      </c>
      <c r="J607" s="7">
        <v>1779.37</v>
      </c>
      <c r="K607" s="8">
        <v>2</v>
      </c>
      <c r="L607" s="7">
        <v>276.83999999999997</v>
      </c>
    </row>
    <row r="608" spans="1:12" x14ac:dyDescent="0.2">
      <c r="A608" s="2">
        <v>41883</v>
      </c>
      <c r="B608" s="8">
        <f>YEAR(Sales_data[[#This Row],[Order Date]])</f>
        <v>2014</v>
      </c>
      <c r="C608" s="8">
        <f>MONTH(Sales_data[[#This Row],[Order Date]])</f>
        <v>9</v>
      </c>
      <c r="D608" s="8" t="str">
        <f>TEXT(Sales_data[[#This Row],[Order Date]],"mmm")</f>
        <v>Sep</v>
      </c>
      <c r="E608" t="s">
        <v>12</v>
      </c>
      <c r="F608" t="s">
        <v>30</v>
      </c>
      <c r="G608" t="s">
        <v>34</v>
      </c>
      <c r="H608" t="s">
        <v>43</v>
      </c>
      <c r="I608" t="s">
        <v>51</v>
      </c>
      <c r="J608" s="7">
        <v>664.2</v>
      </c>
      <c r="K608" s="8">
        <v>5</v>
      </c>
      <c r="L608" s="7">
        <v>-149.91999999999999</v>
      </c>
    </row>
    <row r="609" spans="1:12" x14ac:dyDescent="0.2">
      <c r="A609" s="2">
        <v>41884</v>
      </c>
      <c r="B609" s="8">
        <f>YEAR(Sales_data[[#This Row],[Order Date]])</f>
        <v>2014</v>
      </c>
      <c r="C609" s="8">
        <f>MONTH(Sales_data[[#This Row],[Order Date]])</f>
        <v>9</v>
      </c>
      <c r="D609" s="8" t="str">
        <f>TEXT(Sales_data[[#This Row],[Order Date]],"mmm")</f>
        <v>Sep</v>
      </c>
      <c r="E609" t="s">
        <v>15</v>
      </c>
      <c r="F609" t="s">
        <v>31</v>
      </c>
      <c r="G609" t="s">
        <v>34</v>
      </c>
      <c r="H609" t="s">
        <v>43</v>
      </c>
      <c r="I609" t="s">
        <v>50</v>
      </c>
      <c r="J609" s="7">
        <v>1412.54</v>
      </c>
      <c r="K609" s="8">
        <v>1</v>
      </c>
      <c r="L609" s="7">
        <v>-190.58</v>
      </c>
    </row>
    <row r="610" spans="1:12" x14ac:dyDescent="0.2">
      <c r="A610" s="2">
        <v>41884</v>
      </c>
      <c r="B610" s="8">
        <f>YEAR(Sales_data[[#This Row],[Order Date]])</f>
        <v>2014</v>
      </c>
      <c r="C610" s="8">
        <f>MONTH(Sales_data[[#This Row],[Order Date]])</f>
        <v>9</v>
      </c>
      <c r="D610" s="8" t="str">
        <f>TEXT(Sales_data[[#This Row],[Order Date]],"mmm")</f>
        <v>Sep</v>
      </c>
      <c r="E610" t="s">
        <v>13</v>
      </c>
      <c r="F610" t="s">
        <v>31</v>
      </c>
      <c r="G610" t="s">
        <v>32</v>
      </c>
      <c r="H610" t="s">
        <v>43</v>
      </c>
      <c r="I610" t="s">
        <v>44</v>
      </c>
      <c r="J610" s="7">
        <v>1216.57</v>
      </c>
      <c r="K610" s="8">
        <v>5</v>
      </c>
      <c r="L610" s="7">
        <v>-28.61</v>
      </c>
    </row>
    <row r="611" spans="1:12" x14ac:dyDescent="0.2">
      <c r="A611" s="2">
        <v>41887</v>
      </c>
      <c r="B611" s="8">
        <f>YEAR(Sales_data[[#This Row],[Order Date]])</f>
        <v>2014</v>
      </c>
      <c r="C611" s="8">
        <f>MONTH(Sales_data[[#This Row],[Order Date]])</f>
        <v>9</v>
      </c>
      <c r="D611" s="8" t="str">
        <f>TEXT(Sales_data[[#This Row],[Order Date]],"mmm")</f>
        <v>Sep</v>
      </c>
      <c r="E611" t="s">
        <v>11</v>
      </c>
      <c r="F611" t="s">
        <v>27</v>
      </c>
      <c r="G611" t="s">
        <v>34</v>
      </c>
      <c r="H611" t="s">
        <v>38</v>
      </c>
      <c r="I611" t="s">
        <v>45</v>
      </c>
      <c r="J611" s="7">
        <v>491.44</v>
      </c>
      <c r="K611" s="8">
        <v>4</v>
      </c>
      <c r="L611" s="7">
        <v>31.37</v>
      </c>
    </row>
    <row r="612" spans="1:12" x14ac:dyDescent="0.2">
      <c r="A612" s="2">
        <v>41887</v>
      </c>
      <c r="B612" s="8">
        <f>YEAR(Sales_data[[#This Row],[Order Date]])</f>
        <v>2014</v>
      </c>
      <c r="C612" s="8">
        <f>MONTH(Sales_data[[#This Row],[Order Date]])</f>
        <v>9</v>
      </c>
      <c r="D612" s="8" t="str">
        <f>TEXT(Sales_data[[#This Row],[Order Date]],"mmm")</f>
        <v>Sep</v>
      </c>
      <c r="E612" t="s">
        <v>15</v>
      </c>
      <c r="F612" t="s">
        <v>22</v>
      </c>
      <c r="G612" t="s">
        <v>32</v>
      </c>
      <c r="H612" t="s">
        <v>40</v>
      </c>
      <c r="I612" t="s">
        <v>48</v>
      </c>
      <c r="J612" s="7">
        <v>891.44</v>
      </c>
      <c r="K612" s="8">
        <v>2</v>
      </c>
      <c r="L612" s="7">
        <v>188.5</v>
      </c>
    </row>
    <row r="613" spans="1:12" x14ac:dyDescent="0.2">
      <c r="A613" s="2">
        <v>41887</v>
      </c>
      <c r="B613" s="8">
        <f>YEAR(Sales_data[[#This Row],[Order Date]])</f>
        <v>2014</v>
      </c>
      <c r="C613" s="8">
        <f>MONTH(Sales_data[[#This Row],[Order Date]])</f>
        <v>9</v>
      </c>
      <c r="D613" s="8" t="str">
        <f>TEXT(Sales_data[[#This Row],[Order Date]],"mmm")</f>
        <v>Sep</v>
      </c>
      <c r="E613" t="s">
        <v>10</v>
      </c>
      <c r="F613" t="s">
        <v>26</v>
      </c>
      <c r="G613" t="s">
        <v>32</v>
      </c>
      <c r="H613" t="s">
        <v>35</v>
      </c>
      <c r="I613" t="s">
        <v>45</v>
      </c>
      <c r="J613" s="7">
        <v>166.27</v>
      </c>
      <c r="K613" s="8">
        <v>8</v>
      </c>
      <c r="L613" s="7">
        <v>-48.55</v>
      </c>
    </row>
    <row r="614" spans="1:12" x14ac:dyDescent="0.2">
      <c r="A614" s="2">
        <v>41889</v>
      </c>
      <c r="B614" s="8">
        <f>YEAR(Sales_data[[#This Row],[Order Date]])</f>
        <v>2014</v>
      </c>
      <c r="C614" s="8">
        <f>MONTH(Sales_data[[#This Row],[Order Date]])</f>
        <v>9</v>
      </c>
      <c r="D614" s="8" t="str">
        <f>TEXT(Sales_data[[#This Row],[Order Date]],"mmm")</f>
        <v>Sep</v>
      </c>
      <c r="E614" t="s">
        <v>10</v>
      </c>
      <c r="F614" t="s">
        <v>31</v>
      </c>
      <c r="G614" t="s">
        <v>32</v>
      </c>
      <c r="H614" t="s">
        <v>35</v>
      </c>
      <c r="I614" t="s">
        <v>49</v>
      </c>
      <c r="J614" s="7">
        <v>993.31</v>
      </c>
      <c r="K614" s="8">
        <v>4</v>
      </c>
      <c r="L614" s="7">
        <v>245.58</v>
      </c>
    </row>
    <row r="615" spans="1:12" x14ac:dyDescent="0.2">
      <c r="A615" s="2">
        <v>41890</v>
      </c>
      <c r="B615" s="8">
        <f>YEAR(Sales_data[[#This Row],[Order Date]])</f>
        <v>2014</v>
      </c>
      <c r="C615" s="8">
        <f>MONTH(Sales_data[[#This Row],[Order Date]])</f>
        <v>9</v>
      </c>
      <c r="D615" s="8" t="str">
        <f>TEXT(Sales_data[[#This Row],[Order Date]],"mmm")</f>
        <v>Sep</v>
      </c>
      <c r="E615" t="s">
        <v>11</v>
      </c>
      <c r="F615" t="s">
        <v>22</v>
      </c>
      <c r="G615" t="s">
        <v>33</v>
      </c>
      <c r="H615" t="s">
        <v>42</v>
      </c>
      <c r="I615" t="s">
        <v>53</v>
      </c>
      <c r="J615" s="7">
        <v>1796.04</v>
      </c>
      <c r="K615" s="8">
        <v>7</v>
      </c>
      <c r="L615" s="7">
        <v>96.97</v>
      </c>
    </row>
    <row r="616" spans="1:12" x14ac:dyDescent="0.2">
      <c r="A616" s="2">
        <v>41891</v>
      </c>
      <c r="B616" s="8">
        <f>YEAR(Sales_data[[#This Row],[Order Date]])</f>
        <v>2014</v>
      </c>
      <c r="C616" s="8">
        <f>MONTH(Sales_data[[#This Row],[Order Date]])</f>
        <v>9</v>
      </c>
      <c r="D616" s="8" t="str">
        <f>TEXT(Sales_data[[#This Row],[Order Date]],"mmm")</f>
        <v>Sep</v>
      </c>
      <c r="E616" t="s">
        <v>17</v>
      </c>
      <c r="F616" t="s">
        <v>23</v>
      </c>
      <c r="G616" t="s">
        <v>34</v>
      </c>
      <c r="H616" t="s">
        <v>38</v>
      </c>
      <c r="I616" t="s">
        <v>45</v>
      </c>
      <c r="J616" s="7">
        <v>1754.08</v>
      </c>
      <c r="K616" s="8">
        <v>5</v>
      </c>
      <c r="L616" s="7">
        <v>237.23</v>
      </c>
    </row>
    <row r="617" spans="1:12" x14ac:dyDescent="0.2">
      <c r="A617" s="2">
        <v>41894</v>
      </c>
      <c r="B617" s="8">
        <f>YEAR(Sales_data[[#This Row],[Order Date]])</f>
        <v>2014</v>
      </c>
      <c r="C617" s="8">
        <f>MONTH(Sales_data[[#This Row],[Order Date]])</f>
        <v>9</v>
      </c>
      <c r="D617" s="8" t="str">
        <f>TEXT(Sales_data[[#This Row],[Order Date]],"mmm")</f>
        <v>Sep</v>
      </c>
      <c r="E617" t="s">
        <v>18</v>
      </c>
      <c r="F617" t="s">
        <v>25</v>
      </c>
      <c r="G617" t="s">
        <v>32</v>
      </c>
      <c r="H617" t="s">
        <v>36</v>
      </c>
      <c r="I617" t="s">
        <v>44</v>
      </c>
      <c r="J617" s="7">
        <v>1361.02</v>
      </c>
      <c r="K617" s="8">
        <v>6</v>
      </c>
      <c r="L617" s="7">
        <v>142.19999999999999</v>
      </c>
    </row>
    <row r="618" spans="1:12" x14ac:dyDescent="0.2">
      <c r="A618" s="2">
        <v>41897</v>
      </c>
      <c r="B618" s="8">
        <f>YEAR(Sales_data[[#This Row],[Order Date]])</f>
        <v>2014</v>
      </c>
      <c r="C618" s="8">
        <f>MONTH(Sales_data[[#This Row],[Order Date]])</f>
        <v>9</v>
      </c>
      <c r="D618" s="8" t="str">
        <f>TEXT(Sales_data[[#This Row],[Order Date]],"mmm")</f>
        <v>Sep</v>
      </c>
      <c r="E618" t="s">
        <v>21</v>
      </c>
      <c r="F618" t="s">
        <v>31</v>
      </c>
      <c r="G618" t="s">
        <v>33</v>
      </c>
      <c r="H618" t="s">
        <v>43</v>
      </c>
      <c r="I618" t="s">
        <v>51</v>
      </c>
      <c r="J618" s="7">
        <v>1012.51</v>
      </c>
      <c r="K618" s="8">
        <v>2</v>
      </c>
      <c r="L618" s="7">
        <v>247.71</v>
      </c>
    </row>
    <row r="619" spans="1:12" x14ac:dyDescent="0.2">
      <c r="A619" s="2">
        <v>41897</v>
      </c>
      <c r="B619" s="8">
        <f>YEAR(Sales_data[[#This Row],[Order Date]])</f>
        <v>2014</v>
      </c>
      <c r="C619" s="8">
        <f>MONTH(Sales_data[[#This Row],[Order Date]])</f>
        <v>9</v>
      </c>
      <c r="D619" s="8" t="str">
        <f>TEXT(Sales_data[[#This Row],[Order Date]],"mmm")</f>
        <v>Sep</v>
      </c>
      <c r="E619" t="s">
        <v>19</v>
      </c>
      <c r="F619" t="s">
        <v>23</v>
      </c>
      <c r="G619" t="s">
        <v>34</v>
      </c>
      <c r="H619" t="s">
        <v>38</v>
      </c>
      <c r="I619" t="s">
        <v>46</v>
      </c>
      <c r="J619" s="7">
        <v>1224.26</v>
      </c>
      <c r="K619" s="8">
        <v>3</v>
      </c>
      <c r="L619" s="7">
        <v>289.26</v>
      </c>
    </row>
    <row r="620" spans="1:12" x14ac:dyDescent="0.2">
      <c r="A620" s="2">
        <v>41898</v>
      </c>
      <c r="B620" s="8">
        <f>YEAR(Sales_data[[#This Row],[Order Date]])</f>
        <v>2014</v>
      </c>
      <c r="C620" s="8">
        <f>MONTH(Sales_data[[#This Row],[Order Date]])</f>
        <v>9</v>
      </c>
      <c r="D620" s="8" t="str">
        <f>TEXT(Sales_data[[#This Row],[Order Date]],"mmm")</f>
        <v>Sep</v>
      </c>
      <c r="E620" t="s">
        <v>13</v>
      </c>
      <c r="F620" t="s">
        <v>29</v>
      </c>
      <c r="G620" t="s">
        <v>32</v>
      </c>
      <c r="H620" t="s">
        <v>38</v>
      </c>
      <c r="I620" t="s">
        <v>49</v>
      </c>
      <c r="J620" s="7">
        <v>740.25</v>
      </c>
      <c r="K620" s="8">
        <v>4</v>
      </c>
      <c r="L620" s="7">
        <v>5.75</v>
      </c>
    </row>
    <row r="621" spans="1:12" x14ac:dyDescent="0.2">
      <c r="A621" s="2">
        <v>41898</v>
      </c>
      <c r="B621" s="8">
        <f>YEAR(Sales_data[[#This Row],[Order Date]])</f>
        <v>2014</v>
      </c>
      <c r="C621" s="8">
        <f>MONTH(Sales_data[[#This Row],[Order Date]])</f>
        <v>9</v>
      </c>
      <c r="D621" s="8" t="str">
        <f>TEXT(Sales_data[[#This Row],[Order Date]],"mmm")</f>
        <v>Sep</v>
      </c>
      <c r="E621" t="s">
        <v>15</v>
      </c>
      <c r="F621" t="s">
        <v>22</v>
      </c>
      <c r="G621" t="s">
        <v>33</v>
      </c>
      <c r="H621" t="s">
        <v>35</v>
      </c>
      <c r="I621" t="s">
        <v>51</v>
      </c>
      <c r="J621" s="7">
        <v>1896.63</v>
      </c>
      <c r="K621" s="8">
        <v>3</v>
      </c>
      <c r="L621" s="7">
        <v>261.45999999999998</v>
      </c>
    </row>
    <row r="622" spans="1:12" x14ac:dyDescent="0.2">
      <c r="A622" s="2">
        <v>41898</v>
      </c>
      <c r="B622" s="8">
        <f>YEAR(Sales_data[[#This Row],[Order Date]])</f>
        <v>2014</v>
      </c>
      <c r="C622" s="8">
        <f>MONTH(Sales_data[[#This Row],[Order Date]])</f>
        <v>9</v>
      </c>
      <c r="D622" s="8" t="str">
        <f>TEXT(Sales_data[[#This Row],[Order Date]],"mmm")</f>
        <v>Sep</v>
      </c>
      <c r="E622" t="s">
        <v>13</v>
      </c>
      <c r="F622" t="s">
        <v>26</v>
      </c>
      <c r="G622" t="s">
        <v>34</v>
      </c>
      <c r="H622" t="s">
        <v>37</v>
      </c>
      <c r="I622" t="s">
        <v>51</v>
      </c>
      <c r="J622" s="7">
        <v>1202.21</v>
      </c>
      <c r="K622" s="8">
        <v>5</v>
      </c>
      <c r="L622" s="7">
        <v>223.01</v>
      </c>
    </row>
    <row r="623" spans="1:12" x14ac:dyDescent="0.2">
      <c r="A623" s="2">
        <v>41899</v>
      </c>
      <c r="B623" s="8">
        <f>YEAR(Sales_data[[#This Row],[Order Date]])</f>
        <v>2014</v>
      </c>
      <c r="C623" s="8">
        <f>MONTH(Sales_data[[#This Row],[Order Date]])</f>
        <v>9</v>
      </c>
      <c r="D623" s="8" t="str">
        <f>TEXT(Sales_data[[#This Row],[Order Date]],"mmm")</f>
        <v>Sep</v>
      </c>
      <c r="E623" t="s">
        <v>19</v>
      </c>
      <c r="F623" t="s">
        <v>31</v>
      </c>
      <c r="G623" t="s">
        <v>32</v>
      </c>
      <c r="H623" t="s">
        <v>40</v>
      </c>
      <c r="I623" t="s">
        <v>51</v>
      </c>
      <c r="J623" s="7">
        <v>1009.24</v>
      </c>
      <c r="K623" s="8">
        <v>9</v>
      </c>
      <c r="L623" s="7">
        <v>-133.08000000000001</v>
      </c>
    </row>
    <row r="624" spans="1:12" x14ac:dyDescent="0.2">
      <c r="A624" s="2">
        <v>41900</v>
      </c>
      <c r="B624" s="8">
        <f>YEAR(Sales_data[[#This Row],[Order Date]])</f>
        <v>2014</v>
      </c>
      <c r="C624" s="8">
        <f>MONTH(Sales_data[[#This Row],[Order Date]])</f>
        <v>9</v>
      </c>
      <c r="D624" s="8" t="str">
        <f>TEXT(Sales_data[[#This Row],[Order Date]],"mmm")</f>
        <v>Sep</v>
      </c>
      <c r="E624" t="s">
        <v>9</v>
      </c>
      <c r="F624" t="s">
        <v>24</v>
      </c>
      <c r="G624" t="s">
        <v>32</v>
      </c>
      <c r="H624" t="s">
        <v>40</v>
      </c>
      <c r="I624" t="s">
        <v>52</v>
      </c>
      <c r="J624" s="7">
        <v>404.76</v>
      </c>
      <c r="K624" s="8">
        <v>1</v>
      </c>
      <c r="L624" s="7">
        <v>345.17</v>
      </c>
    </row>
    <row r="625" spans="1:12" x14ac:dyDescent="0.2">
      <c r="A625" s="2">
        <v>41901</v>
      </c>
      <c r="B625" s="8">
        <f>YEAR(Sales_data[[#This Row],[Order Date]])</f>
        <v>2014</v>
      </c>
      <c r="C625" s="8">
        <f>MONTH(Sales_data[[#This Row],[Order Date]])</f>
        <v>9</v>
      </c>
      <c r="D625" s="8" t="str">
        <f>TEXT(Sales_data[[#This Row],[Order Date]],"mmm")</f>
        <v>Sep</v>
      </c>
      <c r="E625" t="s">
        <v>19</v>
      </c>
      <c r="F625" t="s">
        <v>31</v>
      </c>
      <c r="G625" t="s">
        <v>34</v>
      </c>
      <c r="H625" t="s">
        <v>42</v>
      </c>
      <c r="I625" t="s">
        <v>47</v>
      </c>
      <c r="J625" s="7">
        <v>1506.79</v>
      </c>
      <c r="K625" s="8">
        <v>8</v>
      </c>
      <c r="L625" s="7">
        <v>-195.56</v>
      </c>
    </row>
    <row r="626" spans="1:12" x14ac:dyDescent="0.2">
      <c r="A626" s="2">
        <v>41902</v>
      </c>
      <c r="B626" s="8">
        <f>YEAR(Sales_data[[#This Row],[Order Date]])</f>
        <v>2014</v>
      </c>
      <c r="C626" s="8">
        <f>MONTH(Sales_data[[#This Row],[Order Date]])</f>
        <v>9</v>
      </c>
      <c r="D626" s="8" t="str">
        <f>TEXT(Sales_data[[#This Row],[Order Date]],"mmm")</f>
        <v>Sep</v>
      </c>
      <c r="E626" t="s">
        <v>11</v>
      </c>
      <c r="F626" t="s">
        <v>31</v>
      </c>
      <c r="G626" t="s">
        <v>32</v>
      </c>
      <c r="H626" t="s">
        <v>43</v>
      </c>
      <c r="I626" t="s">
        <v>47</v>
      </c>
      <c r="J626" s="7">
        <v>1279.6300000000001</v>
      </c>
      <c r="K626" s="8">
        <v>3</v>
      </c>
      <c r="L626" s="7">
        <v>90.32</v>
      </c>
    </row>
    <row r="627" spans="1:12" x14ac:dyDescent="0.2">
      <c r="A627" s="2">
        <v>41902</v>
      </c>
      <c r="B627" s="8">
        <f>YEAR(Sales_data[[#This Row],[Order Date]])</f>
        <v>2014</v>
      </c>
      <c r="C627" s="8">
        <f>MONTH(Sales_data[[#This Row],[Order Date]])</f>
        <v>9</v>
      </c>
      <c r="D627" s="8" t="str">
        <f>TEXT(Sales_data[[#This Row],[Order Date]],"mmm")</f>
        <v>Sep</v>
      </c>
      <c r="E627" t="s">
        <v>20</v>
      </c>
      <c r="F627" t="s">
        <v>24</v>
      </c>
      <c r="G627" t="s">
        <v>33</v>
      </c>
      <c r="H627" t="s">
        <v>43</v>
      </c>
      <c r="I627" t="s">
        <v>44</v>
      </c>
      <c r="J627" s="7">
        <v>223.83</v>
      </c>
      <c r="K627" s="8">
        <v>7</v>
      </c>
      <c r="L627" s="7">
        <v>24.9</v>
      </c>
    </row>
    <row r="628" spans="1:12" x14ac:dyDescent="0.2">
      <c r="A628" s="2">
        <v>41903</v>
      </c>
      <c r="B628" s="8">
        <f>YEAR(Sales_data[[#This Row],[Order Date]])</f>
        <v>2014</v>
      </c>
      <c r="C628" s="8">
        <f>MONTH(Sales_data[[#This Row],[Order Date]])</f>
        <v>9</v>
      </c>
      <c r="D628" s="8" t="str">
        <f>TEXT(Sales_data[[#This Row],[Order Date]],"mmm")</f>
        <v>Sep</v>
      </c>
      <c r="E628" t="s">
        <v>17</v>
      </c>
      <c r="F628" t="s">
        <v>30</v>
      </c>
      <c r="G628" t="s">
        <v>32</v>
      </c>
      <c r="H628" t="s">
        <v>40</v>
      </c>
      <c r="I628" t="s">
        <v>45</v>
      </c>
      <c r="J628" s="7">
        <v>1184.33</v>
      </c>
      <c r="K628" s="8">
        <v>4</v>
      </c>
      <c r="L628" s="7">
        <v>-142.68</v>
      </c>
    </row>
    <row r="629" spans="1:12" x14ac:dyDescent="0.2">
      <c r="A629" s="2">
        <v>41906</v>
      </c>
      <c r="B629" s="8">
        <f>YEAR(Sales_data[[#This Row],[Order Date]])</f>
        <v>2014</v>
      </c>
      <c r="C629" s="8">
        <f>MONTH(Sales_data[[#This Row],[Order Date]])</f>
        <v>9</v>
      </c>
      <c r="D629" s="8" t="str">
        <f>TEXT(Sales_data[[#This Row],[Order Date]],"mmm")</f>
        <v>Sep</v>
      </c>
      <c r="E629" t="s">
        <v>14</v>
      </c>
      <c r="F629" t="s">
        <v>24</v>
      </c>
      <c r="G629" t="s">
        <v>32</v>
      </c>
      <c r="H629" t="s">
        <v>40</v>
      </c>
      <c r="I629" t="s">
        <v>46</v>
      </c>
      <c r="J629" s="7">
        <v>389.71</v>
      </c>
      <c r="K629" s="8">
        <v>3</v>
      </c>
      <c r="L629" s="7">
        <v>-111.93</v>
      </c>
    </row>
    <row r="630" spans="1:12" x14ac:dyDescent="0.2">
      <c r="A630" s="2">
        <v>41907</v>
      </c>
      <c r="B630" s="8">
        <f>YEAR(Sales_data[[#This Row],[Order Date]])</f>
        <v>2014</v>
      </c>
      <c r="C630" s="8">
        <f>MONTH(Sales_data[[#This Row],[Order Date]])</f>
        <v>9</v>
      </c>
      <c r="D630" s="8" t="str">
        <f>TEXT(Sales_data[[#This Row],[Order Date]],"mmm")</f>
        <v>Sep</v>
      </c>
      <c r="E630" t="s">
        <v>9</v>
      </c>
      <c r="F630" t="s">
        <v>24</v>
      </c>
      <c r="G630" t="s">
        <v>32</v>
      </c>
      <c r="H630" t="s">
        <v>37</v>
      </c>
      <c r="I630" t="s">
        <v>53</v>
      </c>
      <c r="J630" s="7">
        <v>1257.3</v>
      </c>
      <c r="K630" s="8">
        <v>4</v>
      </c>
      <c r="L630" s="7">
        <v>-104.42</v>
      </c>
    </row>
    <row r="631" spans="1:12" x14ac:dyDescent="0.2">
      <c r="A631" s="2">
        <v>41908</v>
      </c>
      <c r="B631" s="8">
        <f>YEAR(Sales_data[[#This Row],[Order Date]])</f>
        <v>2014</v>
      </c>
      <c r="C631" s="8">
        <f>MONTH(Sales_data[[#This Row],[Order Date]])</f>
        <v>9</v>
      </c>
      <c r="D631" s="8" t="str">
        <f>TEXT(Sales_data[[#This Row],[Order Date]],"mmm")</f>
        <v>Sep</v>
      </c>
      <c r="E631" t="s">
        <v>12</v>
      </c>
      <c r="F631" t="s">
        <v>25</v>
      </c>
      <c r="G631" t="s">
        <v>32</v>
      </c>
      <c r="H631" t="s">
        <v>38</v>
      </c>
      <c r="I631" t="s">
        <v>45</v>
      </c>
      <c r="J631" s="7">
        <v>1410.83</v>
      </c>
      <c r="K631" s="8">
        <v>9</v>
      </c>
      <c r="L631" s="7">
        <v>326.10000000000002</v>
      </c>
    </row>
    <row r="632" spans="1:12" x14ac:dyDescent="0.2">
      <c r="A632" s="2">
        <v>41908</v>
      </c>
      <c r="B632" s="8">
        <f>YEAR(Sales_data[[#This Row],[Order Date]])</f>
        <v>2014</v>
      </c>
      <c r="C632" s="8">
        <f>MONTH(Sales_data[[#This Row],[Order Date]])</f>
        <v>9</v>
      </c>
      <c r="D632" s="8" t="str">
        <f>TEXT(Sales_data[[#This Row],[Order Date]],"mmm")</f>
        <v>Sep</v>
      </c>
      <c r="E632" t="s">
        <v>15</v>
      </c>
      <c r="F632" t="s">
        <v>26</v>
      </c>
      <c r="G632" t="s">
        <v>33</v>
      </c>
      <c r="H632" t="s">
        <v>43</v>
      </c>
      <c r="I632" t="s">
        <v>48</v>
      </c>
      <c r="J632" s="7">
        <v>11.8</v>
      </c>
      <c r="K632" s="8">
        <v>1</v>
      </c>
      <c r="L632" s="7">
        <v>149.07</v>
      </c>
    </row>
    <row r="633" spans="1:12" x14ac:dyDescent="0.2">
      <c r="A633" s="2">
        <v>41908</v>
      </c>
      <c r="B633" s="8">
        <f>YEAR(Sales_data[[#This Row],[Order Date]])</f>
        <v>2014</v>
      </c>
      <c r="C633" s="8">
        <f>MONTH(Sales_data[[#This Row],[Order Date]])</f>
        <v>9</v>
      </c>
      <c r="D633" s="8" t="str">
        <f>TEXT(Sales_data[[#This Row],[Order Date]],"mmm")</f>
        <v>Sep</v>
      </c>
      <c r="E633" t="s">
        <v>18</v>
      </c>
      <c r="F633" t="s">
        <v>23</v>
      </c>
      <c r="G633" t="s">
        <v>33</v>
      </c>
      <c r="H633" t="s">
        <v>41</v>
      </c>
      <c r="I633" t="s">
        <v>44</v>
      </c>
      <c r="J633" s="7">
        <v>1473.93</v>
      </c>
      <c r="K633" s="8">
        <v>2</v>
      </c>
      <c r="L633" s="7">
        <v>32.86</v>
      </c>
    </row>
    <row r="634" spans="1:12" x14ac:dyDescent="0.2">
      <c r="A634" s="2">
        <v>41908</v>
      </c>
      <c r="B634" s="8">
        <f>YEAR(Sales_data[[#This Row],[Order Date]])</f>
        <v>2014</v>
      </c>
      <c r="C634" s="8">
        <f>MONTH(Sales_data[[#This Row],[Order Date]])</f>
        <v>9</v>
      </c>
      <c r="D634" s="8" t="str">
        <f>TEXT(Sales_data[[#This Row],[Order Date]],"mmm")</f>
        <v>Sep</v>
      </c>
      <c r="E634" t="s">
        <v>13</v>
      </c>
      <c r="F634" t="s">
        <v>29</v>
      </c>
      <c r="G634" t="s">
        <v>33</v>
      </c>
      <c r="H634" t="s">
        <v>40</v>
      </c>
      <c r="I634" t="s">
        <v>45</v>
      </c>
      <c r="J634" s="7">
        <v>696.91</v>
      </c>
      <c r="K634" s="8">
        <v>7</v>
      </c>
      <c r="L634" s="7">
        <v>-103.03</v>
      </c>
    </row>
    <row r="635" spans="1:12" x14ac:dyDescent="0.2">
      <c r="A635" s="2">
        <v>41908</v>
      </c>
      <c r="B635" s="8">
        <f>YEAR(Sales_data[[#This Row],[Order Date]])</f>
        <v>2014</v>
      </c>
      <c r="C635" s="8">
        <f>MONTH(Sales_data[[#This Row],[Order Date]])</f>
        <v>9</v>
      </c>
      <c r="D635" s="8" t="str">
        <f>TEXT(Sales_data[[#This Row],[Order Date]],"mmm")</f>
        <v>Sep</v>
      </c>
      <c r="E635" t="s">
        <v>12</v>
      </c>
      <c r="F635" t="s">
        <v>30</v>
      </c>
      <c r="G635" t="s">
        <v>33</v>
      </c>
      <c r="H635" t="s">
        <v>43</v>
      </c>
      <c r="I635" t="s">
        <v>48</v>
      </c>
      <c r="J635" s="7">
        <v>1418.97</v>
      </c>
      <c r="K635" s="8">
        <v>7</v>
      </c>
      <c r="L635" s="7">
        <v>106.14</v>
      </c>
    </row>
    <row r="636" spans="1:12" x14ac:dyDescent="0.2">
      <c r="A636" s="2">
        <v>41909</v>
      </c>
      <c r="B636" s="8">
        <f>YEAR(Sales_data[[#This Row],[Order Date]])</f>
        <v>2014</v>
      </c>
      <c r="C636" s="8">
        <f>MONTH(Sales_data[[#This Row],[Order Date]])</f>
        <v>9</v>
      </c>
      <c r="D636" s="8" t="str">
        <f>TEXT(Sales_data[[#This Row],[Order Date]],"mmm")</f>
        <v>Sep</v>
      </c>
      <c r="E636" t="s">
        <v>18</v>
      </c>
      <c r="F636" t="s">
        <v>24</v>
      </c>
      <c r="G636" t="s">
        <v>33</v>
      </c>
      <c r="H636" t="s">
        <v>41</v>
      </c>
      <c r="I636" t="s">
        <v>51</v>
      </c>
      <c r="J636" s="7">
        <v>1818.69</v>
      </c>
      <c r="K636" s="8">
        <v>9</v>
      </c>
      <c r="L636" s="7">
        <v>8.4700000000000006</v>
      </c>
    </row>
    <row r="637" spans="1:12" x14ac:dyDescent="0.2">
      <c r="A637" s="2">
        <v>41910</v>
      </c>
      <c r="B637" s="8">
        <f>YEAR(Sales_data[[#This Row],[Order Date]])</f>
        <v>2014</v>
      </c>
      <c r="C637" s="8">
        <f>MONTH(Sales_data[[#This Row],[Order Date]])</f>
        <v>9</v>
      </c>
      <c r="D637" s="8" t="str">
        <f>TEXT(Sales_data[[#This Row],[Order Date]],"mmm")</f>
        <v>Sep</v>
      </c>
      <c r="E637" t="s">
        <v>18</v>
      </c>
      <c r="F637" t="s">
        <v>31</v>
      </c>
      <c r="G637" t="s">
        <v>33</v>
      </c>
      <c r="H637" t="s">
        <v>41</v>
      </c>
      <c r="I637" t="s">
        <v>47</v>
      </c>
      <c r="J637" s="7">
        <v>540.09</v>
      </c>
      <c r="K637" s="8">
        <v>3</v>
      </c>
      <c r="L637" s="7">
        <v>13.32</v>
      </c>
    </row>
    <row r="638" spans="1:12" x14ac:dyDescent="0.2">
      <c r="A638" s="2">
        <v>41913</v>
      </c>
      <c r="B638" s="8">
        <f>YEAR(Sales_data[[#This Row],[Order Date]])</f>
        <v>2014</v>
      </c>
      <c r="C638" s="8">
        <f>MONTH(Sales_data[[#This Row],[Order Date]])</f>
        <v>10</v>
      </c>
      <c r="D638" s="8" t="str">
        <f>TEXT(Sales_data[[#This Row],[Order Date]],"mmm")</f>
        <v>Oct</v>
      </c>
      <c r="E638" t="s">
        <v>11</v>
      </c>
      <c r="F638" t="s">
        <v>29</v>
      </c>
      <c r="G638" t="s">
        <v>32</v>
      </c>
      <c r="H638" t="s">
        <v>35</v>
      </c>
      <c r="I638" t="s">
        <v>48</v>
      </c>
      <c r="J638" s="7">
        <v>536.45000000000005</v>
      </c>
      <c r="K638" s="8">
        <v>9</v>
      </c>
      <c r="L638" s="7">
        <v>-114.98</v>
      </c>
    </row>
    <row r="639" spans="1:12" x14ac:dyDescent="0.2">
      <c r="A639" s="2">
        <v>41914</v>
      </c>
      <c r="B639" s="8">
        <f>YEAR(Sales_data[[#This Row],[Order Date]])</f>
        <v>2014</v>
      </c>
      <c r="C639" s="8">
        <f>MONTH(Sales_data[[#This Row],[Order Date]])</f>
        <v>10</v>
      </c>
      <c r="D639" s="8" t="str">
        <f>TEXT(Sales_data[[#This Row],[Order Date]],"mmm")</f>
        <v>Oct</v>
      </c>
      <c r="E639" t="s">
        <v>11</v>
      </c>
      <c r="F639" t="s">
        <v>26</v>
      </c>
      <c r="G639" t="s">
        <v>32</v>
      </c>
      <c r="H639" t="s">
        <v>38</v>
      </c>
      <c r="I639" t="s">
        <v>47</v>
      </c>
      <c r="J639" s="7">
        <v>272.3</v>
      </c>
      <c r="K639" s="8">
        <v>6</v>
      </c>
      <c r="L639" s="7">
        <v>-153.16999999999999</v>
      </c>
    </row>
    <row r="640" spans="1:12" x14ac:dyDescent="0.2">
      <c r="A640" s="2">
        <v>41914</v>
      </c>
      <c r="B640" s="8">
        <f>YEAR(Sales_data[[#This Row],[Order Date]])</f>
        <v>2014</v>
      </c>
      <c r="C640" s="8">
        <f>MONTH(Sales_data[[#This Row],[Order Date]])</f>
        <v>10</v>
      </c>
      <c r="D640" s="8" t="str">
        <f>TEXT(Sales_data[[#This Row],[Order Date]],"mmm")</f>
        <v>Oct</v>
      </c>
      <c r="E640" t="s">
        <v>19</v>
      </c>
      <c r="F640" t="s">
        <v>24</v>
      </c>
      <c r="G640" t="s">
        <v>33</v>
      </c>
      <c r="H640" t="s">
        <v>40</v>
      </c>
      <c r="I640" t="s">
        <v>50</v>
      </c>
      <c r="J640" s="7">
        <v>839.94</v>
      </c>
      <c r="K640" s="8">
        <v>5</v>
      </c>
      <c r="L640" s="7">
        <v>27.47</v>
      </c>
    </row>
    <row r="641" spans="1:12" x14ac:dyDescent="0.2">
      <c r="A641" s="2">
        <v>41915</v>
      </c>
      <c r="B641" s="8">
        <f>YEAR(Sales_data[[#This Row],[Order Date]])</f>
        <v>2014</v>
      </c>
      <c r="C641" s="8">
        <f>MONTH(Sales_data[[#This Row],[Order Date]])</f>
        <v>10</v>
      </c>
      <c r="D641" s="8" t="str">
        <f>TEXT(Sales_data[[#This Row],[Order Date]],"mmm")</f>
        <v>Oct</v>
      </c>
      <c r="E641" t="s">
        <v>19</v>
      </c>
      <c r="F641" t="s">
        <v>24</v>
      </c>
      <c r="G641" t="s">
        <v>33</v>
      </c>
      <c r="H641" t="s">
        <v>42</v>
      </c>
      <c r="I641" t="s">
        <v>53</v>
      </c>
      <c r="J641" s="7">
        <v>1828.02</v>
      </c>
      <c r="K641" s="8">
        <v>6</v>
      </c>
      <c r="L641" s="7">
        <v>125.74</v>
      </c>
    </row>
    <row r="642" spans="1:12" x14ac:dyDescent="0.2">
      <c r="A642" s="2">
        <v>41916</v>
      </c>
      <c r="B642" s="8">
        <f>YEAR(Sales_data[[#This Row],[Order Date]])</f>
        <v>2014</v>
      </c>
      <c r="C642" s="8">
        <f>MONTH(Sales_data[[#This Row],[Order Date]])</f>
        <v>10</v>
      </c>
      <c r="D642" s="8" t="str">
        <f>TEXT(Sales_data[[#This Row],[Order Date]],"mmm")</f>
        <v>Oct</v>
      </c>
      <c r="E642" t="s">
        <v>20</v>
      </c>
      <c r="F642" t="s">
        <v>25</v>
      </c>
      <c r="G642" t="s">
        <v>33</v>
      </c>
      <c r="H642" t="s">
        <v>38</v>
      </c>
      <c r="I642" t="s">
        <v>47</v>
      </c>
      <c r="J642" s="7">
        <v>1859.23</v>
      </c>
      <c r="K642" s="8">
        <v>8</v>
      </c>
      <c r="L642" s="7">
        <v>245.67</v>
      </c>
    </row>
    <row r="643" spans="1:12" x14ac:dyDescent="0.2">
      <c r="A643" s="2">
        <v>41917</v>
      </c>
      <c r="B643" s="8">
        <f>YEAR(Sales_data[[#This Row],[Order Date]])</f>
        <v>2014</v>
      </c>
      <c r="C643" s="8">
        <f>MONTH(Sales_data[[#This Row],[Order Date]])</f>
        <v>10</v>
      </c>
      <c r="D643" s="8" t="str">
        <f>TEXT(Sales_data[[#This Row],[Order Date]],"mmm")</f>
        <v>Oct</v>
      </c>
      <c r="E643" t="s">
        <v>20</v>
      </c>
      <c r="F643" t="s">
        <v>31</v>
      </c>
      <c r="G643" t="s">
        <v>32</v>
      </c>
      <c r="H643" t="s">
        <v>38</v>
      </c>
      <c r="I643" t="s">
        <v>44</v>
      </c>
      <c r="J643" s="7">
        <v>47.9</v>
      </c>
      <c r="K643" s="8">
        <v>9</v>
      </c>
      <c r="L643" s="7">
        <v>159.30000000000001</v>
      </c>
    </row>
    <row r="644" spans="1:12" x14ac:dyDescent="0.2">
      <c r="A644" s="2">
        <v>41919</v>
      </c>
      <c r="B644" s="8">
        <f>YEAR(Sales_data[[#This Row],[Order Date]])</f>
        <v>2014</v>
      </c>
      <c r="C644" s="8">
        <f>MONTH(Sales_data[[#This Row],[Order Date]])</f>
        <v>10</v>
      </c>
      <c r="D644" s="8" t="str">
        <f>TEXT(Sales_data[[#This Row],[Order Date]],"mmm")</f>
        <v>Oct</v>
      </c>
      <c r="E644" t="s">
        <v>21</v>
      </c>
      <c r="F644" t="s">
        <v>24</v>
      </c>
      <c r="G644" t="s">
        <v>32</v>
      </c>
      <c r="H644" t="s">
        <v>42</v>
      </c>
      <c r="I644" t="s">
        <v>47</v>
      </c>
      <c r="J644" s="7">
        <v>1942</v>
      </c>
      <c r="K644" s="8">
        <v>9</v>
      </c>
      <c r="L644" s="7">
        <v>220.74</v>
      </c>
    </row>
    <row r="645" spans="1:12" x14ac:dyDescent="0.2">
      <c r="A645" s="2">
        <v>41920</v>
      </c>
      <c r="B645" s="8">
        <f>YEAR(Sales_data[[#This Row],[Order Date]])</f>
        <v>2014</v>
      </c>
      <c r="C645" s="8">
        <f>MONTH(Sales_data[[#This Row],[Order Date]])</f>
        <v>10</v>
      </c>
      <c r="D645" s="8" t="str">
        <f>TEXT(Sales_data[[#This Row],[Order Date]],"mmm")</f>
        <v>Oct</v>
      </c>
      <c r="E645" t="s">
        <v>18</v>
      </c>
      <c r="F645" t="s">
        <v>22</v>
      </c>
      <c r="G645" t="s">
        <v>32</v>
      </c>
      <c r="H645" t="s">
        <v>36</v>
      </c>
      <c r="I645" t="s">
        <v>45</v>
      </c>
      <c r="J645" s="7">
        <v>1399.25</v>
      </c>
      <c r="K645" s="8">
        <v>8</v>
      </c>
      <c r="L645" s="7">
        <v>149.77000000000001</v>
      </c>
    </row>
    <row r="646" spans="1:12" x14ac:dyDescent="0.2">
      <c r="A646" s="2">
        <v>41920</v>
      </c>
      <c r="B646" s="8">
        <f>YEAR(Sales_data[[#This Row],[Order Date]])</f>
        <v>2014</v>
      </c>
      <c r="C646" s="8">
        <f>MONTH(Sales_data[[#This Row],[Order Date]])</f>
        <v>10</v>
      </c>
      <c r="D646" s="8" t="str">
        <f>TEXT(Sales_data[[#This Row],[Order Date]],"mmm")</f>
        <v>Oct</v>
      </c>
      <c r="E646" t="s">
        <v>19</v>
      </c>
      <c r="F646" t="s">
        <v>28</v>
      </c>
      <c r="G646" t="s">
        <v>33</v>
      </c>
      <c r="H646" t="s">
        <v>35</v>
      </c>
      <c r="I646" t="s">
        <v>50</v>
      </c>
      <c r="J646" s="7">
        <v>92.78</v>
      </c>
      <c r="K646" s="8">
        <v>8</v>
      </c>
      <c r="L646" s="7">
        <v>-91.85</v>
      </c>
    </row>
    <row r="647" spans="1:12" x14ac:dyDescent="0.2">
      <c r="A647" s="2">
        <v>41920</v>
      </c>
      <c r="B647" s="8">
        <f>YEAR(Sales_data[[#This Row],[Order Date]])</f>
        <v>2014</v>
      </c>
      <c r="C647" s="8">
        <f>MONTH(Sales_data[[#This Row],[Order Date]])</f>
        <v>10</v>
      </c>
      <c r="D647" s="8" t="str">
        <f>TEXT(Sales_data[[#This Row],[Order Date]],"mmm")</f>
        <v>Oct</v>
      </c>
      <c r="E647" t="s">
        <v>11</v>
      </c>
      <c r="F647" t="s">
        <v>24</v>
      </c>
      <c r="G647" t="s">
        <v>33</v>
      </c>
      <c r="H647" t="s">
        <v>43</v>
      </c>
      <c r="I647" t="s">
        <v>45</v>
      </c>
      <c r="J647" s="7">
        <v>1638.9</v>
      </c>
      <c r="K647" s="8">
        <v>6</v>
      </c>
      <c r="L647" s="7">
        <v>96.35</v>
      </c>
    </row>
    <row r="648" spans="1:12" x14ac:dyDescent="0.2">
      <c r="A648" s="2">
        <v>41921</v>
      </c>
      <c r="B648" s="8">
        <f>YEAR(Sales_data[[#This Row],[Order Date]])</f>
        <v>2014</v>
      </c>
      <c r="C648" s="8">
        <f>MONTH(Sales_data[[#This Row],[Order Date]])</f>
        <v>10</v>
      </c>
      <c r="D648" s="8" t="str">
        <f>TEXT(Sales_data[[#This Row],[Order Date]],"mmm")</f>
        <v>Oct</v>
      </c>
      <c r="E648" t="s">
        <v>12</v>
      </c>
      <c r="F648" t="s">
        <v>27</v>
      </c>
      <c r="G648" t="s">
        <v>33</v>
      </c>
      <c r="H648" t="s">
        <v>39</v>
      </c>
      <c r="I648" t="s">
        <v>46</v>
      </c>
      <c r="J648" s="7">
        <v>188.75</v>
      </c>
      <c r="K648" s="8">
        <v>5</v>
      </c>
      <c r="L648" s="7">
        <v>-13.39</v>
      </c>
    </row>
    <row r="649" spans="1:12" x14ac:dyDescent="0.2">
      <c r="A649" s="2">
        <v>41922</v>
      </c>
      <c r="B649" s="8">
        <f>YEAR(Sales_data[[#This Row],[Order Date]])</f>
        <v>2014</v>
      </c>
      <c r="C649" s="8">
        <f>MONTH(Sales_data[[#This Row],[Order Date]])</f>
        <v>10</v>
      </c>
      <c r="D649" s="8" t="str">
        <f>TEXT(Sales_data[[#This Row],[Order Date]],"mmm")</f>
        <v>Oct</v>
      </c>
      <c r="E649" t="s">
        <v>12</v>
      </c>
      <c r="F649" t="s">
        <v>27</v>
      </c>
      <c r="G649" t="s">
        <v>33</v>
      </c>
      <c r="H649" t="s">
        <v>39</v>
      </c>
      <c r="I649" t="s">
        <v>48</v>
      </c>
      <c r="J649" s="7">
        <v>90.61</v>
      </c>
      <c r="K649" s="8">
        <v>5</v>
      </c>
      <c r="L649" s="7">
        <v>128.58000000000001</v>
      </c>
    </row>
    <row r="650" spans="1:12" x14ac:dyDescent="0.2">
      <c r="A650" s="2">
        <v>41923</v>
      </c>
      <c r="B650" s="8">
        <f>YEAR(Sales_data[[#This Row],[Order Date]])</f>
        <v>2014</v>
      </c>
      <c r="C650" s="8">
        <f>MONTH(Sales_data[[#This Row],[Order Date]])</f>
        <v>10</v>
      </c>
      <c r="D650" s="8" t="str">
        <f>TEXT(Sales_data[[#This Row],[Order Date]],"mmm")</f>
        <v>Oct</v>
      </c>
      <c r="E650" t="s">
        <v>14</v>
      </c>
      <c r="F650" t="s">
        <v>29</v>
      </c>
      <c r="G650" t="s">
        <v>33</v>
      </c>
      <c r="H650" t="s">
        <v>41</v>
      </c>
      <c r="I650" t="s">
        <v>50</v>
      </c>
      <c r="J650" s="7">
        <v>176.77</v>
      </c>
      <c r="K650" s="8">
        <v>3</v>
      </c>
      <c r="L650" s="7">
        <v>-109.6</v>
      </c>
    </row>
    <row r="651" spans="1:12" x14ac:dyDescent="0.2">
      <c r="A651" s="2">
        <v>41927</v>
      </c>
      <c r="B651" s="8">
        <f>YEAR(Sales_data[[#This Row],[Order Date]])</f>
        <v>2014</v>
      </c>
      <c r="C651" s="8">
        <f>MONTH(Sales_data[[#This Row],[Order Date]])</f>
        <v>10</v>
      </c>
      <c r="D651" s="8" t="str">
        <f>TEXT(Sales_data[[#This Row],[Order Date]],"mmm")</f>
        <v>Oct</v>
      </c>
      <c r="E651" t="s">
        <v>19</v>
      </c>
      <c r="F651" t="s">
        <v>30</v>
      </c>
      <c r="G651" t="s">
        <v>33</v>
      </c>
      <c r="H651" t="s">
        <v>35</v>
      </c>
      <c r="I651" t="s">
        <v>51</v>
      </c>
      <c r="J651" s="7">
        <v>933.9</v>
      </c>
      <c r="K651" s="8">
        <v>7</v>
      </c>
      <c r="L651" s="7">
        <v>368.65</v>
      </c>
    </row>
    <row r="652" spans="1:12" x14ac:dyDescent="0.2">
      <c r="A652" s="2">
        <v>41928</v>
      </c>
      <c r="B652" s="8">
        <f>YEAR(Sales_data[[#This Row],[Order Date]])</f>
        <v>2014</v>
      </c>
      <c r="C652" s="8">
        <f>MONTH(Sales_data[[#This Row],[Order Date]])</f>
        <v>10</v>
      </c>
      <c r="D652" s="8" t="str">
        <f>TEXT(Sales_data[[#This Row],[Order Date]],"mmm")</f>
        <v>Oct</v>
      </c>
      <c r="E652" t="s">
        <v>12</v>
      </c>
      <c r="F652" t="s">
        <v>28</v>
      </c>
      <c r="G652" t="s">
        <v>32</v>
      </c>
      <c r="H652" t="s">
        <v>38</v>
      </c>
      <c r="I652" t="s">
        <v>52</v>
      </c>
      <c r="J652" s="7">
        <v>161.44</v>
      </c>
      <c r="K652" s="8">
        <v>5</v>
      </c>
      <c r="L652" s="7">
        <v>20.03</v>
      </c>
    </row>
    <row r="653" spans="1:12" x14ac:dyDescent="0.2">
      <c r="A653" s="2">
        <v>41928</v>
      </c>
      <c r="B653" s="8">
        <f>YEAR(Sales_data[[#This Row],[Order Date]])</f>
        <v>2014</v>
      </c>
      <c r="C653" s="8">
        <f>MONTH(Sales_data[[#This Row],[Order Date]])</f>
        <v>10</v>
      </c>
      <c r="D653" s="8" t="str">
        <f>TEXT(Sales_data[[#This Row],[Order Date]],"mmm")</f>
        <v>Oct</v>
      </c>
      <c r="E653" t="s">
        <v>9</v>
      </c>
      <c r="F653" t="s">
        <v>24</v>
      </c>
      <c r="G653" t="s">
        <v>34</v>
      </c>
      <c r="H653" t="s">
        <v>37</v>
      </c>
      <c r="I653" t="s">
        <v>49</v>
      </c>
      <c r="J653" s="7">
        <v>1787.98</v>
      </c>
      <c r="K653" s="8">
        <v>6</v>
      </c>
      <c r="L653" s="7">
        <v>18.13</v>
      </c>
    </row>
    <row r="654" spans="1:12" x14ac:dyDescent="0.2">
      <c r="A654" s="2">
        <v>41930</v>
      </c>
      <c r="B654" s="8">
        <f>YEAR(Sales_data[[#This Row],[Order Date]])</f>
        <v>2014</v>
      </c>
      <c r="C654" s="8">
        <f>MONTH(Sales_data[[#This Row],[Order Date]])</f>
        <v>10</v>
      </c>
      <c r="D654" s="8" t="str">
        <f>TEXT(Sales_data[[#This Row],[Order Date]],"mmm")</f>
        <v>Oct</v>
      </c>
      <c r="E654" t="s">
        <v>9</v>
      </c>
      <c r="F654" t="s">
        <v>23</v>
      </c>
      <c r="G654" t="s">
        <v>32</v>
      </c>
      <c r="H654" t="s">
        <v>41</v>
      </c>
      <c r="I654" t="s">
        <v>51</v>
      </c>
      <c r="J654" s="7">
        <v>195.13</v>
      </c>
      <c r="K654" s="8">
        <v>6</v>
      </c>
      <c r="L654" s="7">
        <v>66.209999999999994</v>
      </c>
    </row>
    <row r="655" spans="1:12" x14ac:dyDescent="0.2">
      <c r="A655" s="2">
        <v>41930</v>
      </c>
      <c r="B655" s="8">
        <f>YEAR(Sales_data[[#This Row],[Order Date]])</f>
        <v>2014</v>
      </c>
      <c r="C655" s="8">
        <f>MONTH(Sales_data[[#This Row],[Order Date]])</f>
        <v>10</v>
      </c>
      <c r="D655" s="8" t="str">
        <f>TEXT(Sales_data[[#This Row],[Order Date]],"mmm")</f>
        <v>Oct</v>
      </c>
      <c r="E655" t="s">
        <v>17</v>
      </c>
      <c r="F655" t="s">
        <v>25</v>
      </c>
      <c r="G655" t="s">
        <v>33</v>
      </c>
      <c r="H655" t="s">
        <v>41</v>
      </c>
      <c r="I655" t="s">
        <v>49</v>
      </c>
      <c r="J655" s="7">
        <v>1909.35</v>
      </c>
      <c r="K655" s="8">
        <v>7</v>
      </c>
      <c r="L655" s="7">
        <v>248.48</v>
      </c>
    </row>
    <row r="656" spans="1:12" x14ac:dyDescent="0.2">
      <c r="A656" s="2">
        <v>41931</v>
      </c>
      <c r="B656" s="8">
        <f>YEAR(Sales_data[[#This Row],[Order Date]])</f>
        <v>2014</v>
      </c>
      <c r="C656" s="8">
        <f>MONTH(Sales_data[[#This Row],[Order Date]])</f>
        <v>10</v>
      </c>
      <c r="D656" s="8" t="str">
        <f>TEXT(Sales_data[[#This Row],[Order Date]],"mmm")</f>
        <v>Oct</v>
      </c>
      <c r="E656" t="s">
        <v>11</v>
      </c>
      <c r="F656" t="s">
        <v>26</v>
      </c>
      <c r="G656" t="s">
        <v>33</v>
      </c>
      <c r="H656" t="s">
        <v>40</v>
      </c>
      <c r="I656" t="s">
        <v>44</v>
      </c>
      <c r="J656" s="7">
        <v>1781.7</v>
      </c>
      <c r="K656" s="8">
        <v>7</v>
      </c>
      <c r="L656" s="7">
        <v>267.05</v>
      </c>
    </row>
    <row r="657" spans="1:12" x14ac:dyDescent="0.2">
      <c r="A657" s="2">
        <v>41932</v>
      </c>
      <c r="B657" s="8">
        <f>YEAR(Sales_data[[#This Row],[Order Date]])</f>
        <v>2014</v>
      </c>
      <c r="C657" s="8">
        <f>MONTH(Sales_data[[#This Row],[Order Date]])</f>
        <v>10</v>
      </c>
      <c r="D657" s="8" t="str">
        <f>TEXT(Sales_data[[#This Row],[Order Date]],"mmm")</f>
        <v>Oct</v>
      </c>
      <c r="E657" t="s">
        <v>21</v>
      </c>
      <c r="F657" t="s">
        <v>22</v>
      </c>
      <c r="G657" t="s">
        <v>33</v>
      </c>
      <c r="H657" t="s">
        <v>36</v>
      </c>
      <c r="I657" t="s">
        <v>47</v>
      </c>
      <c r="J657" s="7">
        <v>957.05</v>
      </c>
      <c r="K657" s="8">
        <v>5</v>
      </c>
      <c r="L657" s="7">
        <v>-68.14</v>
      </c>
    </row>
    <row r="658" spans="1:12" x14ac:dyDescent="0.2">
      <c r="A658" s="2">
        <v>41933</v>
      </c>
      <c r="B658" s="8">
        <f>YEAR(Sales_data[[#This Row],[Order Date]])</f>
        <v>2014</v>
      </c>
      <c r="C658" s="8">
        <f>MONTH(Sales_data[[#This Row],[Order Date]])</f>
        <v>10</v>
      </c>
      <c r="D658" s="8" t="str">
        <f>TEXT(Sales_data[[#This Row],[Order Date]],"mmm")</f>
        <v>Oct</v>
      </c>
      <c r="E658" t="s">
        <v>10</v>
      </c>
      <c r="F658" t="s">
        <v>24</v>
      </c>
      <c r="G658" t="s">
        <v>34</v>
      </c>
      <c r="H658" t="s">
        <v>38</v>
      </c>
      <c r="I658" t="s">
        <v>50</v>
      </c>
      <c r="J658" s="7">
        <v>1873.77</v>
      </c>
      <c r="K658" s="8">
        <v>8</v>
      </c>
      <c r="L658" s="7">
        <v>358.96</v>
      </c>
    </row>
    <row r="659" spans="1:12" x14ac:dyDescent="0.2">
      <c r="A659" s="2">
        <v>41934</v>
      </c>
      <c r="B659" s="8">
        <f>YEAR(Sales_data[[#This Row],[Order Date]])</f>
        <v>2014</v>
      </c>
      <c r="C659" s="8">
        <f>MONTH(Sales_data[[#This Row],[Order Date]])</f>
        <v>10</v>
      </c>
      <c r="D659" s="8" t="str">
        <f>TEXT(Sales_data[[#This Row],[Order Date]],"mmm")</f>
        <v>Oct</v>
      </c>
      <c r="E659" t="s">
        <v>16</v>
      </c>
      <c r="F659" t="s">
        <v>30</v>
      </c>
      <c r="G659" t="s">
        <v>32</v>
      </c>
      <c r="H659" t="s">
        <v>42</v>
      </c>
      <c r="I659" t="s">
        <v>49</v>
      </c>
      <c r="J659" s="7">
        <v>32.67</v>
      </c>
      <c r="K659" s="8">
        <v>3</v>
      </c>
      <c r="L659" s="7">
        <v>-143.13999999999999</v>
      </c>
    </row>
    <row r="660" spans="1:12" x14ac:dyDescent="0.2">
      <c r="A660" s="2">
        <v>41935</v>
      </c>
      <c r="B660" s="8">
        <f>YEAR(Sales_data[[#This Row],[Order Date]])</f>
        <v>2014</v>
      </c>
      <c r="C660" s="8">
        <f>MONTH(Sales_data[[#This Row],[Order Date]])</f>
        <v>10</v>
      </c>
      <c r="D660" s="8" t="str">
        <f>TEXT(Sales_data[[#This Row],[Order Date]],"mmm")</f>
        <v>Oct</v>
      </c>
      <c r="E660" t="s">
        <v>13</v>
      </c>
      <c r="F660" t="s">
        <v>27</v>
      </c>
      <c r="G660" t="s">
        <v>33</v>
      </c>
      <c r="H660" t="s">
        <v>36</v>
      </c>
      <c r="I660" t="s">
        <v>52</v>
      </c>
      <c r="J660" s="7">
        <v>926.04</v>
      </c>
      <c r="K660" s="8">
        <v>2</v>
      </c>
      <c r="L660" s="7">
        <v>-171.05</v>
      </c>
    </row>
    <row r="661" spans="1:12" x14ac:dyDescent="0.2">
      <c r="A661" s="2">
        <v>41935</v>
      </c>
      <c r="B661" s="8">
        <f>YEAR(Sales_data[[#This Row],[Order Date]])</f>
        <v>2014</v>
      </c>
      <c r="C661" s="8">
        <f>MONTH(Sales_data[[#This Row],[Order Date]])</f>
        <v>10</v>
      </c>
      <c r="D661" s="8" t="str">
        <f>TEXT(Sales_data[[#This Row],[Order Date]],"mmm")</f>
        <v>Oct</v>
      </c>
      <c r="E661" t="s">
        <v>15</v>
      </c>
      <c r="F661" t="s">
        <v>24</v>
      </c>
      <c r="G661" t="s">
        <v>33</v>
      </c>
      <c r="H661" t="s">
        <v>42</v>
      </c>
      <c r="I661" t="s">
        <v>51</v>
      </c>
      <c r="J661" s="7">
        <v>1599.01</v>
      </c>
      <c r="K661" s="8">
        <v>7</v>
      </c>
      <c r="L661" s="7">
        <v>145.4</v>
      </c>
    </row>
    <row r="662" spans="1:12" x14ac:dyDescent="0.2">
      <c r="A662" s="2">
        <v>41936</v>
      </c>
      <c r="B662" s="8">
        <f>YEAR(Sales_data[[#This Row],[Order Date]])</f>
        <v>2014</v>
      </c>
      <c r="C662" s="8">
        <f>MONTH(Sales_data[[#This Row],[Order Date]])</f>
        <v>10</v>
      </c>
      <c r="D662" s="8" t="str">
        <f>TEXT(Sales_data[[#This Row],[Order Date]],"mmm")</f>
        <v>Oct</v>
      </c>
      <c r="E662" t="s">
        <v>21</v>
      </c>
      <c r="F662" t="s">
        <v>23</v>
      </c>
      <c r="G662" t="s">
        <v>34</v>
      </c>
      <c r="H662" t="s">
        <v>43</v>
      </c>
      <c r="I662" t="s">
        <v>49</v>
      </c>
      <c r="J662" s="7">
        <v>357.42</v>
      </c>
      <c r="K662" s="8">
        <v>7</v>
      </c>
      <c r="L662" s="7">
        <v>-186.83</v>
      </c>
    </row>
    <row r="663" spans="1:12" x14ac:dyDescent="0.2">
      <c r="A663" s="2">
        <v>41936</v>
      </c>
      <c r="B663" s="8">
        <f>YEAR(Sales_data[[#This Row],[Order Date]])</f>
        <v>2014</v>
      </c>
      <c r="C663" s="8">
        <f>MONTH(Sales_data[[#This Row],[Order Date]])</f>
        <v>10</v>
      </c>
      <c r="D663" s="8" t="str">
        <f>TEXT(Sales_data[[#This Row],[Order Date]],"mmm")</f>
        <v>Oct</v>
      </c>
      <c r="E663" t="s">
        <v>20</v>
      </c>
      <c r="F663" t="s">
        <v>29</v>
      </c>
      <c r="G663" t="s">
        <v>34</v>
      </c>
      <c r="H663" t="s">
        <v>35</v>
      </c>
      <c r="I663" t="s">
        <v>48</v>
      </c>
      <c r="J663" s="7">
        <v>1031.1500000000001</v>
      </c>
      <c r="K663" s="8">
        <v>6</v>
      </c>
      <c r="L663" s="7">
        <v>323.8</v>
      </c>
    </row>
    <row r="664" spans="1:12" x14ac:dyDescent="0.2">
      <c r="A664" s="2">
        <v>41937</v>
      </c>
      <c r="B664" s="8">
        <f>YEAR(Sales_data[[#This Row],[Order Date]])</f>
        <v>2014</v>
      </c>
      <c r="C664" s="8">
        <f>MONTH(Sales_data[[#This Row],[Order Date]])</f>
        <v>10</v>
      </c>
      <c r="D664" s="8" t="str">
        <f>TEXT(Sales_data[[#This Row],[Order Date]],"mmm")</f>
        <v>Oct</v>
      </c>
      <c r="E664" t="s">
        <v>10</v>
      </c>
      <c r="F664" t="s">
        <v>29</v>
      </c>
      <c r="G664" t="s">
        <v>32</v>
      </c>
      <c r="H664" t="s">
        <v>43</v>
      </c>
      <c r="I664" t="s">
        <v>52</v>
      </c>
      <c r="J664" s="7">
        <v>602.98</v>
      </c>
      <c r="K664" s="8">
        <v>5</v>
      </c>
      <c r="L664" s="7">
        <v>4.49</v>
      </c>
    </row>
    <row r="665" spans="1:12" x14ac:dyDescent="0.2">
      <c r="A665" s="2">
        <v>41938</v>
      </c>
      <c r="B665" s="8">
        <f>YEAR(Sales_data[[#This Row],[Order Date]])</f>
        <v>2014</v>
      </c>
      <c r="C665" s="8">
        <f>MONTH(Sales_data[[#This Row],[Order Date]])</f>
        <v>10</v>
      </c>
      <c r="D665" s="8" t="str">
        <f>TEXT(Sales_data[[#This Row],[Order Date]],"mmm")</f>
        <v>Oct</v>
      </c>
      <c r="E665" t="s">
        <v>19</v>
      </c>
      <c r="F665" t="s">
        <v>26</v>
      </c>
      <c r="G665" t="s">
        <v>33</v>
      </c>
      <c r="H665" t="s">
        <v>37</v>
      </c>
      <c r="I665" t="s">
        <v>52</v>
      </c>
      <c r="J665" s="7">
        <v>1058.8699999999999</v>
      </c>
      <c r="K665" s="8">
        <v>2</v>
      </c>
      <c r="L665" s="7">
        <v>332.63</v>
      </c>
    </row>
    <row r="666" spans="1:12" x14ac:dyDescent="0.2">
      <c r="A666" s="2">
        <v>41938</v>
      </c>
      <c r="B666" s="8">
        <f>YEAR(Sales_data[[#This Row],[Order Date]])</f>
        <v>2014</v>
      </c>
      <c r="C666" s="8">
        <f>MONTH(Sales_data[[#This Row],[Order Date]])</f>
        <v>10</v>
      </c>
      <c r="D666" s="8" t="str">
        <f>TEXT(Sales_data[[#This Row],[Order Date]],"mmm")</f>
        <v>Oct</v>
      </c>
      <c r="E666" t="s">
        <v>19</v>
      </c>
      <c r="F666" t="s">
        <v>25</v>
      </c>
      <c r="G666" t="s">
        <v>32</v>
      </c>
      <c r="H666" t="s">
        <v>35</v>
      </c>
      <c r="I666" t="s">
        <v>44</v>
      </c>
      <c r="J666" s="7">
        <v>953.91</v>
      </c>
      <c r="K666" s="8">
        <v>9</v>
      </c>
      <c r="L666" s="7">
        <v>49.48</v>
      </c>
    </row>
    <row r="667" spans="1:12" x14ac:dyDescent="0.2">
      <c r="A667" s="2">
        <v>41938</v>
      </c>
      <c r="B667" s="8">
        <f>YEAR(Sales_data[[#This Row],[Order Date]])</f>
        <v>2014</v>
      </c>
      <c r="C667" s="8">
        <f>MONTH(Sales_data[[#This Row],[Order Date]])</f>
        <v>10</v>
      </c>
      <c r="D667" s="8" t="str">
        <f>TEXT(Sales_data[[#This Row],[Order Date]],"mmm")</f>
        <v>Oct</v>
      </c>
      <c r="E667" t="s">
        <v>10</v>
      </c>
      <c r="F667" t="s">
        <v>24</v>
      </c>
      <c r="G667" t="s">
        <v>32</v>
      </c>
      <c r="H667" t="s">
        <v>41</v>
      </c>
      <c r="I667" t="s">
        <v>48</v>
      </c>
      <c r="J667" s="7">
        <v>316.41000000000003</v>
      </c>
      <c r="K667" s="8">
        <v>8</v>
      </c>
      <c r="L667" s="7">
        <v>351.02</v>
      </c>
    </row>
    <row r="668" spans="1:12" x14ac:dyDescent="0.2">
      <c r="A668" s="2">
        <v>41939</v>
      </c>
      <c r="B668" s="8">
        <f>YEAR(Sales_data[[#This Row],[Order Date]])</f>
        <v>2014</v>
      </c>
      <c r="C668" s="8">
        <f>MONTH(Sales_data[[#This Row],[Order Date]])</f>
        <v>10</v>
      </c>
      <c r="D668" s="8" t="str">
        <f>TEXT(Sales_data[[#This Row],[Order Date]],"mmm")</f>
        <v>Oct</v>
      </c>
      <c r="E668" t="s">
        <v>14</v>
      </c>
      <c r="F668" t="s">
        <v>23</v>
      </c>
      <c r="G668" t="s">
        <v>33</v>
      </c>
      <c r="H668" t="s">
        <v>41</v>
      </c>
      <c r="I668" t="s">
        <v>53</v>
      </c>
      <c r="J668" s="7">
        <v>73.900000000000006</v>
      </c>
      <c r="K668" s="8">
        <v>1</v>
      </c>
      <c r="L668" s="7">
        <v>224.78</v>
      </c>
    </row>
    <row r="669" spans="1:12" x14ac:dyDescent="0.2">
      <c r="A669" s="2">
        <v>41940</v>
      </c>
      <c r="B669" s="8">
        <f>YEAR(Sales_data[[#This Row],[Order Date]])</f>
        <v>2014</v>
      </c>
      <c r="C669" s="8">
        <f>MONTH(Sales_data[[#This Row],[Order Date]])</f>
        <v>10</v>
      </c>
      <c r="D669" s="8" t="str">
        <f>TEXT(Sales_data[[#This Row],[Order Date]],"mmm")</f>
        <v>Oct</v>
      </c>
      <c r="E669" t="s">
        <v>19</v>
      </c>
      <c r="F669" t="s">
        <v>24</v>
      </c>
      <c r="G669" t="s">
        <v>33</v>
      </c>
      <c r="H669" t="s">
        <v>37</v>
      </c>
      <c r="I669" t="s">
        <v>45</v>
      </c>
      <c r="J669" s="7">
        <v>1354.87</v>
      </c>
      <c r="K669" s="8">
        <v>7</v>
      </c>
      <c r="L669" s="7">
        <v>372.34</v>
      </c>
    </row>
    <row r="670" spans="1:12" x14ac:dyDescent="0.2">
      <c r="A670" s="2">
        <v>41940</v>
      </c>
      <c r="B670" s="8">
        <f>YEAR(Sales_data[[#This Row],[Order Date]])</f>
        <v>2014</v>
      </c>
      <c r="C670" s="8">
        <f>MONTH(Sales_data[[#This Row],[Order Date]])</f>
        <v>10</v>
      </c>
      <c r="D670" s="8" t="str">
        <f>TEXT(Sales_data[[#This Row],[Order Date]],"mmm")</f>
        <v>Oct</v>
      </c>
      <c r="E670" t="s">
        <v>16</v>
      </c>
      <c r="F670" t="s">
        <v>25</v>
      </c>
      <c r="G670" t="s">
        <v>34</v>
      </c>
      <c r="H670" t="s">
        <v>42</v>
      </c>
      <c r="I670" t="s">
        <v>50</v>
      </c>
      <c r="J670" s="7">
        <v>492.41</v>
      </c>
      <c r="K670" s="8">
        <v>3</v>
      </c>
      <c r="L670" s="7">
        <v>2.15</v>
      </c>
    </row>
    <row r="671" spans="1:12" x14ac:dyDescent="0.2">
      <c r="A671" s="2">
        <v>41940</v>
      </c>
      <c r="B671" s="8">
        <f>YEAR(Sales_data[[#This Row],[Order Date]])</f>
        <v>2014</v>
      </c>
      <c r="C671" s="8">
        <f>MONTH(Sales_data[[#This Row],[Order Date]])</f>
        <v>10</v>
      </c>
      <c r="D671" s="8" t="str">
        <f>TEXT(Sales_data[[#This Row],[Order Date]],"mmm")</f>
        <v>Oct</v>
      </c>
      <c r="E671" t="s">
        <v>10</v>
      </c>
      <c r="F671" t="s">
        <v>31</v>
      </c>
      <c r="G671" t="s">
        <v>34</v>
      </c>
      <c r="H671" t="s">
        <v>43</v>
      </c>
      <c r="I671" t="s">
        <v>52</v>
      </c>
      <c r="J671" s="7">
        <v>1719.04</v>
      </c>
      <c r="K671" s="8">
        <v>6</v>
      </c>
      <c r="L671" s="7">
        <v>296.14999999999998</v>
      </c>
    </row>
    <row r="672" spans="1:12" x14ac:dyDescent="0.2">
      <c r="A672" s="2">
        <v>41941</v>
      </c>
      <c r="B672" s="8">
        <f>YEAR(Sales_data[[#This Row],[Order Date]])</f>
        <v>2014</v>
      </c>
      <c r="C672" s="8">
        <f>MONTH(Sales_data[[#This Row],[Order Date]])</f>
        <v>10</v>
      </c>
      <c r="D672" s="8" t="str">
        <f>TEXT(Sales_data[[#This Row],[Order Date]],"mmm")</f>
        <v>Oct</v>
      </c>
      <c r="E672" t="s">
        <v>9</v>
      </c>
      <c r="F672" t="s">
        <v>30</v>
      </c>
      <c r="G672" t="s">
        <v>33</v>
      </c>
      <c r="H672" t="s">
        <v>43</v>
      </c>
      <c r="I672" t="s">
        <v>46</v>
      </c>
      <c r="J672" s="7">
        <v>1586.99</v>
      </c>
      <c r="K672" s="8">
        <v>8</v>
      </c>
      <c r="L672" s="7">
        <v>-7.73</v>
      </c>
    </row>
    <row r="673" spans="1:12" x14ac:dyDescent="0.2">
      <c r="A673" s="2">
        <v>41942</v>
      </c>
      <c r="B673" s="8">
        <f>YEAR(Sales_data[[#This Row],[Order Date]])</f>
        <v>2014</v>
      </c>
      <c r="C673" s="8">
        <f>MONTH(Sales_data[[#This Row],[Order Date]])</f>
        <v>10</v>
      </c>
      <c r="D673" s="8" t="str">
        <f>TEXT(Sales_data[[#This Row],[Order Date]],"mmm")</f>
        <v>Oct</v>
      </c>
      <c r="E673" t="s">
        <v>20</v>
      </c>
      <c r="F673" t="s">
        <v>31</v>
      </c>
      <c r="G673" t="s">
        <v>32</v>
      </c>
      <c r="H673" t="s">
        <v>41</v>
      </c>
      <c r="I673" t="s">
        <v>46</v>
      </c>
      <c r="J673" s="7">
        <v>1667.23</v>
      </c>
      <c r="K673" s="8">
        <v>4</v>
      </c>
      <c r="L673" s="7">
        <v>356.63</v>
      </c>
    </row>
    <row r="674" spans="1:12" x14ac:dyDescent="0.2">
      <c r="A674" s="2">
        <v>41944</v>
      </c>
      <c r="B674" s="8">
        <f>YEAR(Sales_data[[#This Row],[Order Date]])</f>
        <v>2014</v>
      </c>
      <c r="C674" s="8">
        <f>MONTH(Sales_data[[#This Row],[Order Date]])</f>
        <v>11</v>
      </c>
      <c r="D674" s="8" t="str">
        <f>TEXT(Sales_data[[#This Row],[Order Date]],"mmm")</f>
        <v>Nov</v>
      </c>
      <c r="E674" t="s">
        <v>15</v>
      </c>
      <c r="F674" t="s">
        <v>30</v>
      </c>
      <c r="G674" t="s">
        <v>34</v>
      </c>
      <c r="H674" t="s">
        <v>36</v>
      </c>
      <c r="I674" t="s">
        <v>46</v>
      </c>
      <c r="J674" s="7">
        <v>352.48</v>
      </c>
      <c r="K674" s="8">
        <v>4</v>
      </c>
      <c r="L674" s="7">
        <v>150.71</v>
      </c>
    </row>
    <row r="675" spans="1:12" x14ac:dyDescent="0.2">
      <c r="A675" s="2">
        <v>41946</v>
      </c>
      <c r="B675" s="8">
        <f>YEAR(Sales_data[[#This Row],[Order Date]])</f>
        <v>2014</v>
      </c>
      <c r="C675" s="8">
        <f>MONTH(Sales_data[[#This Row],[Order Date]])</f>
        <v>11</v>
      </c>
      <c r="D675" s="8" t="str">
        <f>TEXT(Sales_data[[#This Row],[Order Date]],"mmm")</f>
        <v>Nov</v>
      </c>
      <c r="E675" t="s">
        <v>15</v>
      </c>
      <c r="F675" t="s">
        <v>29</v>
      </c>
      <c r="G675" t="s">
        <v>32</v>
      </c>
      <c r="H675" t="s">
        <v>37</v>
      </c>
      <c r="I675" t="s">
        <v>50</v>
      </c>
      <c r="J675" s="7">
        <v>1346.77</v>
      </c>
      <c r="K675" s="8">
        <v>6</v>
      </c>
      <c r="L675" s="7">
        <v>231.79</v>
      </c>
    </row>
    <row r="676" spans="1:12" x14ac:dyDescent="0.2">
      <c r="A676" s="2">
        <v>41946</v>
      </c>
      <c r="B676" s="8">
        <f>YEAR(Sales_data[[#This Row],[Order Date]])</f>
        <v>2014</v>
      </c>
      <c r="C676" s="8">
        <f>MONTH(Sales_data[[#This Row],[Order Date]])</f>
        <v>11</v>
      </c>
      <c r="D676" s="8" t="str">
        <f>TEXT(Sales_data[[#This Row],[Order Date]],"mmm")</f>
        <v>Nov</v>
      </c>
      <c r="E676" t="s">
        <v>10</v>
      </c>
      <c r="F676" t="s">
        <v>27</v>
      </c>
      <c r="G676" t="s">
        <v>34</v>
      </c>
      <c r="H676" t="s">
        <v>38</v>
      </c>
      <c r="I676" t="s">
        <v>47</v>
      </c>
      <c r="J676" s="7">
        <v>81.709999999999994</v>
      </c>
      <c r="K676" s="8">
        <v>8</v>
      </c>
      <c r="L676" s="7">
        <v>312.77999999999997</v>
      </c>
    </row>
    <row r="677" spans="1:12" x14ac:dyDescent="0.2">
      <c r="A677" s="2">
        <v>41948</v>
      </c>
      <c r="B677" s="8">
        <f>YEAR(Sales_data[[#This Row],[Order Date]])</f>
        <v>2014</v>
      </c>
      <c r="C677" s="8">
        <f>MONTH(Sales_data[[#This Row],[Order Date]])</f>
        <v>11</v>
      </c>
      <c r="D677" s="8" t="str">
        <f>TEXT(Sales_data[[#This Row],[Order Date]],"mmm")</f>
        <v>Nov</v>
      </c>
      <c r="E677" t="s">
        <v>20</v>
      </c>
      <c r="F677" t="s">
        <v>28</v>
      </c>
      <c r="G677" t="s">
        <v>32</v>
      </c>
      <c r="H677" t="s">
        <v>42</v>
      </c>
      <c r="I677" t="s">
        <v>51</v>
      </c>
      <c r="J677" s="7">
        <v>88.11</v>
      </c>
      <c r="K677" s="8">
        <v>6</v>
      </c>
      <c r="L677" s="7">
        <v>262.54000000000002</v>
      </c>
    </row>
    <row r="678" spans="1:12" x14ac:dyDescent="0.2">
      <c r="A678" s="2">
        <v>41950</v>
      </c>
      <c r="B678" s="8">
        <f>YEAR(Sales_data[[#This Row],[Order Date]])</f>
        <v>2014</v>
      </c>
      <c r="C678" s="8">
        <f>MONTH(Sales_data[[#This Row],[Order Date]])</f>
        <v>11</v>
      </c>
      <c r="D678" s="8" t="str">
        <f>TEXT(Sales_data[[#This Row],[Order Date]],"mmm")</f>
        <v>Nov</v>
      </c>
      <c r="E678" t="s">
        <v>18</v>
      </c>
      <c r="F678" t="s">
        <v>30</v>
      </c>
      <c r="G678" t="s">
        <v>33</v>
      </c>
      <c r="H678" t="s">
        <v>38</v>
      </c>
      <c r="I678" t="s">
        <v>52</v>
      </c>
      <c r="J678" s="7">
        <v>1067.3499999999999</v>
      </c>
      <c r="K678" s="8">
        <v>4</v>
      </c>
      <c r="L678" s="7">
        <v>354.93</v>
      </c>
    </row>
    <row r="679" spans="1:12" x14ac:dyDescent="0.2">
      <c r="A679" s="2">
        <v>41950</v>
      </c>
      <c r="B679" s="8">
        <f>YEAR(Sales_data[[#This Row],[Order Date]])</f>
        <v>2014</v>
      </c>
      <c r="C679" s="8">
        <f>MONTH(Sales_data[[#This Row],[Order Date]])</f>
        <v>11</v>
      </c>
      <c r="D679" s="8" t="str">
        <f>TEXT(Sales_data[[#This Row],[Order Date]],"mmm")</f>
        <v>Nov</v>
      </c>
      <c r="E679" t="s">
        <v>21</v>
      </c>
      <c r="F679" t="s">
        <v>26</v>
      </c>
      <c r="G679" t="s">
        <v>33</v>
      </c>
      <c r="H679" t="s">
        <v>41</v>
      </c>
      <c r="I679" t="s">
        <v>44</v>
      </c>
      <c r="J679" s="7">
        <v>687.15</v>
      </c>
      <c r="K679" s="8">
        <v>1</v>
      </c>
      <c r="L679" s="7">
        <v>190.95</v>
      </c>
    </row>
    <row r="680" spans="1:12" x14ac:dyDescent="0.2">
      <c r="A680" s="2">
        <v>41950</v>
      </c>
      <c r="B680" s="8">
        <f>YEAR(Sales_data[[#This Row],[Order Date]])</f>
        <v>2014</v>
      </c>
      <c r="C680" s="8">
        <f>MONTH(Sales_data[[#This Row],[Order Date]])</f>
        <v>11</v>
      </c>
      <c r="D680" s="8" t="str">
        <f>TEXT(Sales_data[[#This Row],[Order Date]],"mmm")</f>
        <v>Nov</v>
      </c>
      <c r="E680" t="s">
        <v>9</v>
      </c>
      <c r="F680" t="s">
        <v>26</v>
      </c>
      <c r="G680" t="s">
        <v>32</v>
      </c>
      <c r="H680" t="s">
        <v>41</v>
      </c>
      <c r="I680" t="s">
        <v>53</v>
      </c>
      <c r="J680" s="7">
        <v>988.7</v>
      </c>
      <c r="K680" s="8">
        <v>7</v>
      </c>
      <c r="L680" s="7">
        <v>32.15</v>
      </c>
    </row>
    <row r="681" spans="1:12" x14ac:dyDescent="0.2">
      <c r="A681" s="2">
        <v>41951</v>
      </c>
      <c r="B681" s="8">
        <f>YEAR(Sales_data[[#This Row],[Order Date]])</f>
        <v>2014</v>
      </c>
      <c r="C681" s="8">
        <f>MONTH(Sales_data[[#This Row],[Order Date]])</f>
        <v>11</v>
      </c>
      <c r="D681" s="8" t="str">
        <f>TEXT(Sales_data[[#This Row],[Order Date]],"mmm")</f>
        <v>Nov</v>
      </c>
      <c r="E681" t="s">
        <v>21</v>
      </c>
      <c r="F681" t="s">
        <v>31</v>
      </c>
      <c r="G681" t="s">
        <v>33</v>
      </c>
      <c r="H681" t="s">
        <v>40</v>
      </c>
      <c r="I681" t="s">
        <v>52</v>
      </c>
      <c r="J681" s="7">
        <v>881.18</v>
      </c>
      <c r="K681" s="8">
        <v>4</v>
      </c>
      <c r="L681" s="7">
        <v>-32.200000000000003</v>
      </c>
    </row>
    <row r="682" spans="1:12" x14ac:dyDescent="0.2">
      <c r="A682" s="2">
        <v>41956</v>
      </c>
      <c r="B682" s="8">
        <f>YEAR(Sales_data[[#This Row],[Order Date]])</f>
        <v>2014</v>
      </c>
      <c r="C682" s="8">
        <f>MONTH(Sales_data[[#This Row],[Order Date]])</f>
        <v>11</v>
      </c>
      <c r="D682" s="8" t="str">
        <f>TEXT(Sales_data[[#This Row],[Order Date]],"mmm")</f>
        <v>Nov</v>
      </c>
      <c r="E682" t="s">
        <v>19</v>
      </c>
      <c r="F682" t="s">
        <v>25</v>
      </c>
      <c r="G682" t="s">
        <v>34</v>
      </c>
      <c r="H682" t="s">
        <v>39</v>
      </c>
      <c r="I682" t="s">
        <v>46</v>
      </c>
      <c r="J682" s="7">
        <v>646.11</v>
      </c>
      <c r="K682" s="8">
        <v>2</v>
      </c>
      <c r="L682" s="7">
        <v>210.44</v>
      </c>
    </row>
    <row r="683" spans="1:12" x14ac:dyDescent="0.2">
      <c r="A683" s="2">
        <v>41956</v>
      </c>
      <c r="B683" s="8">
        <f>YEAR(Sales_data[[#This Row],[Order Date]])</f>
        <v>2014</v>
      </c>
      <c r="C683" s="8">
        <f>MONTH(Sales_data[[#This Row],[Order Date]])</f>
        <v>11</v>
      </c>
      <c r="D683" s="8" t="str">
        <f>TEXT(Sales_data[[#This Row],[Order Date]],"mmm")</f>
        <v>Nov</v>
      </c>
      <c r="E683" t="s">
        <v>13</v>
      </c>
      <c r="F683" t="s">
        <v>25</v>
      </c>
      <c r="G683" t="s">
        <v>34</v>
      </c>
      <c r="H683" t="s">
        <v>43</v>
      </c>
      <c r="I683" t="s">
        <v>47</v>
      </c>
      <c r="J683" s="7">
        <v>195.64</v>
      </c>
      <c r="K683" s="8">
        <v>6</v>
      </c>
      <c r="L683" s="7">
        <v>141.83000000000001</v>
      </c>
    </row>
    <row r="684" spans="1:12" x14ac:dyDescent="0.2">
      <c r="A684" s="2">
        <v>41956</v>
      </c>
      <c r="B684" s="8">
        <f>YEAR(Sales_data[[#This Row],[Order Date]])</f>
        <v>2014</v>
      </c>
      <c r="C684" s="8">
        <f>MONTH(Sales_data[[#This Row],[Order Date]])</f>
        <v>11</v>
      </c>
      <c r="D684" s="8" t="str">
        <f>TEXT(Sales_data[[#This Row],[Order Date]],"mmm")</f>
        <v>Nov</v>
      </c>
      <c r="E684" t="s">
        <v>14</v>
      </c>
      <c r="F684" t="s">
        <v>29</v>
      </c>
      <c r="G684" t="s">
        <v>32</v>
      </c>
      <c r="H684" t="s">
        <v>39</v>
      </c>
      <c r="I684" t="s">
        <v>49</v>
      </c>
      <c r="J684" s="7">
        <v>1983.43</v>
      </c>
      <c r="K684" s="8">
        <v>4</v>
      </c>
      <c r="L684" s="7">
        <v>-176.53</v>
      </c>
    </row>
    <row r="685" spans="1:12" x14ac:dyDescent="0.2">
      <c r="A685" s="2">
        <v>41957</v>
      </c>
      <c r="B685" s="8">
        <f>YEAR(Sales_data[[#This Row],[Order Date]])</f>
        <v>2014</v>
      </c>
      <c r="C685" s="8">
        <f>MONTH(Sales_data[[#This Row],[Order Date]])</f>
        <v>11</v>
      </c>
      <c r="D685" s="8" t="str">
        <f>TEXT(Sales_data[[#This Row],[Order Date]],"mmm")</f>
        <v>Nov</v>
      </c>
      <c r="E685" t="s">
        <v>14</v>
      </c>
      <c r="F685" t="s">
        <v>30</v>
      </c>
      <c r="G685" t="s">
        <v>32</v>
      </c>
      <c r="H685" t="s">
        <v>36</v>
      </c>
      <c r="I685" t="s">
        <v>48</v>
      </c>
      <c r="J685" s="7">
        <v>1182.3499999999999</v>
      </c>
      <c r="K685" s="8">
        <v>1</v>
      </c>
      <c r="L685" s="7">
        <v>106.48</v>
      </c>
    </row>
    <row r="686" spans="1:12" x14ac:dyDescent="0.2">
      <c r="A686" s="2">
        <v>41958</v>
      </c>
      <c r="B686" s="8">
        <f>YEAR(Sales_data[[#This Row],[Order Date]])</f>
        <v>2014</v>
      </c>
      <c r="C686" s="8">
        <f>MONTH(Sales_data[[#This Row],[Order Date]])</f>
        <v>11</v>
      </c>
      <c r="D686" s="8" t="str">
        <f>TEXT(Sales_data[[#This Row],[Order Date]],"mmm")</f>
        <v>Nov</v>
      </c>
      <c r="E686" t="s">
        <v>14</v>
      </c>
      <c r="F686" t="s">
        <v>22</v>
      </c>
      <c r="G686" t="s">
        <v>34</v>
      </c>
      <c r="H686" t="s">
        <v>39</v>
      </c>
      <c r="I686" t="s">
        <v>50</v>
      </c>
      <c r="J686" s="7">
        <v>1172.6099999999999</v>
      </c>
      <c r="K686" s="8">
        <v>4</v>
      </c>
      <c r="L686" s="7">
        <v>189.72</v>
      </c>
    </row>
    <row r="687" spans="1:12" x14ac:dyDescent="0.2">
      <c r="A687" s="2">
        <v>41958</v>
      </c>
      <c r="B687" s="8">
        <f>YEAR(Sales_data[[#This Row],[Order Date]])</f>
        <v>2014</v>
      </c>
      <c r="C687" s="8">
        <f>MONTH(Sales_data[[#This Row],[Order Date]])</f>
        <v>11</v>
      </c>
      <c r="D687" s="8" t="str">
        <f>TEXT(Sales_data[[#This Row],[Order Date]],"mmm")</f>
        <v>Nov</v>
      </c>
      <c r="E687" t="s">
        <v>15</v>
      </c>
      <c r="F687" t="s">
        <v>29</v>
      </c>
      <c r="G687" t="s">
        <v>33</v>
      </c>
      <c r="H687" t="s">
        <v>39</v>
      </c>
      <c r="I687" t="s">
        <v>52</v>
      </c>
      <c r="J687" s="7">
        <v>1146</v>
      </c>
      <c r="K687" s="8">
        <v>2</v>
      </c>
      <c r="L687" s="7">
        <v>64.22</v>
      </c>
    </row>
    <row r="688" spans="1:12" x14ac:dyDescent="0.2">
      <c r="A688" s="2">
        <v>41959</v>
      </c>
      <c r="B688" s="8">
        <f>YEAR(Sales_data[[#This Row],[Order Date]])</f>
        <v>2014</v>
      </c>
      <c r="C688" s="8">
        <f>MONTH(Sales_data[[#This Row],[Order Date]])</f>
        <v>11</v>
      </c>
      <c r="D688" s="8" t="str">
        <f>TEXT(Sales_data[[#This Row],[Order Date]],"mmm")</f>
        <v>Nov</v>
      </c>
      <c r="E688" t="s">
        <v>16</v>
      </c>
      <c r="F688" t="s">
        <v>24</v>
      </c>
      <c r="G688" t="s">
        <v>32</v>
      </c>
      <c r="H688" t="s">
        <v>42</v>
      </c>
      <c r="I688" t="s">
        <v>53</v>
      </c>
      <c r="J688" s="7">
        <v>352.67</v>
      </c>
      <c r="K688" s="8">
        <v>9</v>
      </c>
      <c r="L688" s="7">
        <v>139</v>
      </c>
    </row>
    <row r="689" spans="1:12" x14ac:dyDescent="0.2">
      <c r="A689" s="2">
        <v>41959</v>
      </c>
      <c r="B689" s="8">
        <f>YEAR(Sales_data[[#This Row],[Order Date]])</f>
        <v>2014</v>
      </c>
      <c r="C689" s="8">
        <f>MONTH(Sales_data[[#This Row],[Order Date]])</f>
        <v>11</v>
      </c>
      <c r="D689" s="8" t="str">
        <f>TEXT(Sales_data[[#This Row],[Order Date]],"mmm")</f>
        <v>Nov</v>
      </c>
      <c r="E689" t="s">
        <v>9</v>
      </c>
      <c r="F689" t="s">
        <v>31</v>
      </c>
      <c r="G689" t="s">
        <v>32</v>
      </c>
      <c r="H689" t="s">
        <v>35</v>
      </c>
      <c r="I689" t="s">
        <v>48</v>
      </c>
      <c r="J689" s="7">
        <v>1878.83</v>
      </c>
      <c r="K689" s="8">
        <v>5</v>
      </c>
      <c r="L689" s="7">
        <v>281.29000000000002</v>
      </c>
    </row>
    <row r="690" spans="1:12" x14ac:dyDescent="0.2">
      <c r="A690" s="2">
        <v>41959</v>
      </c>
      <c r="B690" s="8">
        <f>YEAR(Sales_data[[#This Row],[Order Date]])</f>
        <v>2014</v>
      </c>
      <c r="C690" s="8">
        <f>MONTH(Sales_data[[#This Row],[Order Date]])</f>
        <v>11</v>
      </c>
      <c r="D690" s="8" t="str">
        <f>TEXT(Sales_data[[#This Row],[Order Date]],"mmm")</f>
        <v>Nov</v>
      </c>
      <c r="E690" t="s">
        <v>13</v>
      </c>
      <c r="F690" t="s">
        <v>26</v>
      </c>
      <c r="G690" t="s">
        <v>32</v>
      </c>
      <c r="H690" t="s">
        <v>37</v>
      </c>
      <c r="I690" t="s">
        <v>45</v>
      </c>
      <c r="J690" s="7">
        <v>1183.77</v>
      </c>
      <c r="K690" s="8">
        <v>7</v>
      </c>
      <c r="L690" s="7">
        <v>182.37</v>
      </c>
    </row>
    <row r="691" spans="1:12" x14ac:dyDescent="0.2">
      <c r="A691" s="2">
        <v>41960</v>
      </c>
      <c r="B691" s="8">
        <f>YEAR(Sales_data[[#This Row],[Order Date]])</f>
        <v>2014</v>
      </c>
      <c r="C691" s="8">
        <f>MONTH(Sales_data[[#This Row],[Order Date]])</f>
        <v>11</v>
      </c>
      <c r="D691" s="8" t="str">
        <f>TEXT(Sales_data[[#This Row],[Order Date]],"mmm")</f>
        <v>Nov</v>
      </c>
      <c r="E691" t="s">
        <v>9</v>
      </c>
      <c r="F691" t="s">
        <v>31</v>
      </c>
      <c r="G691" t="s">
        <v>32</v>
      </c>
      <c r="H691" t="s">
        <v>39</v>
      </c>
      <c r="I691" t="s">
        <v>51</v>
      </c>
      <c r="J691" s="7">
        <v>1238.53</v>
      </c>
      <c r="K691" s="8">
        <v>7</v>
      </c>
      <c r="L691" s="7">
        <v>316.41000000000003</v>
      </c>
    </row>
    <row r="692" spans="1:12" x14ac:dyDescent="0.2">
      <c r="A692" s="2">
        <v>41961</v>
      </c>
      <c r="B692" s="8">
        <f>YEAR(Sales_data[[#This Row],[Order Date]])</f>
        <v>2014</v>
      </c>
      <c r="C692" s="8">
        <f>MONTH(Sales_data[[#This Row],[Order Date]])</f>
        <v>11</v>
      </c>
      <c r="D692" s="8" t="str">
        <f>TEXT(Sales_data[[#This Row],[Order Date]],"mmm")</f>
        <v>Nov</v>
      </c>
      <c r="E692" t="s">
        <v>10</v>
      </c>
      <c r="F692" t="s">
        <v>26</v>
      </c>
      <c r="G692" t="s">
        <v>32</v>
      </c>
      <c r="H692" t="s">
        <v>38</v>
      </c>
      <c r="I692" t="s">
        <v>46</v>
      </c>
      <c r="J692" s="7">
        <v>575.37</v>
      </c>
      <c r="K692" s="8">
        <v>4</v>
      </c>
      <c r="L692" s="7">
        <v>219.82</v>
      </c>
    </row>
    <row r="693" spans="1:12" x14ac:dyDescent="0.2">
      <c r="A693" s="2">
        <v>41962</v>
      </c>
      <c r="B693" s="8">
        <f>YEAR(Sales_data[[#This Row],[Order Date]])</f>
        <v>2014</v>
      </c>
      <c r="C693" s="8">
        <f>MONTH(Sales_data[[#This Row],[Order Date]])</f>
        <v>11</v>
      </c>
      <c r="D693" s="8" t="str">
        <f>TEXT(Sales_data[[#This Row],[Order Date]],"mmm")</f>
        <v>Nov</v>
      </c>
      <c r="E693" t="s">
        <v>19</v>
      </c>
      <c r="F693" t="s">
        <v>25</v>
      </c>
      <c r="G693" t="s">
        <v>32</v>
      </c>
      <c r="H693" t="s">
        <v>42</v>
      </c>
      <c r="I693" t="s">
        <v>46</v>
      </c>
      <c r="J693" s="7">
        <v>1505.84</v>
      </c>
      <c r="K693" s="8">
        <v>3</v>
      </c>
      <c r="L693" s="7">
        <v>54.36</v>
      </c>
    </row>
    <row r="694" spans="1:12" x14ac:dyDescent="0.2">
      <c r="A694" s="2">
        <v>41962</v>
      </c>
      <c r="B694" s="8">
        <f>YEAR(Sales_data[[#This Row],[Order Date]])</f>
        <v>2014</v>
      </c>
      <c r="C694" s="8">
        <f>MONTH(Sales_data[[#This Row],[Order Date]])</f>
        <v>11</v>
      </c>
      <c r="D694" s="8" t="str">
        <f>TEXT(Sales_data[[#This Row],[Order Date]],"mmm")</f>
        <v>Nov</v>
      </c>
      <c r="E694" t="s">
        <v>12</v>
      </c>
      <c r="F694" t="s">
        <v>26</v>
      </c>
      <c r="G694" t="s">
        <v>32</v>
      </c>
      <c r="H694" t="s">
        <v>38</v>
      </c>
      <c r="I694" t="s">
        <v>53</v>
      </c>
      <c r="J694" s="7">
        <v>62.43</v>
      </c>
      <c r="K694" s="8">
        <v>3</v>
      </c>
      <c r="L694" s="7">
        <v>231.29</v>
      </c>
    </row>
    <row r="695" spans="1:12" x14ac:dyDescent="0.2">
      <c r="A695" s="2">
        <v>41963</v>
      </c>
      <c r="B695" s="8">
        <f>YEAR(Sales_data[[#This Row],[Order Date]])</f>
        <v>2014</v>
      </c>
      <c r="C695" s="8">
        <f>MONTH(Sales_data[[#This Row],[Order Date]])</f>
        <v>11</v>
      </c>
      <c r="D695" s="8" t="str">
        <f>TEXT(Sales_data[[#This Row],[Order Date]],"mmm")</f>
        <v>Nov</v>
      </c>
      <c r="E695" t="s">
        <v>13</v>
      </c>
      <c r="F695" t="s">
        <v>28</v>
      </c>
      <c r="G695" t="s">
        <v>33</v>
      </c>
      <c r="H695" t="s">
        <v>40</v>
      </c>
      <c r="I695" t="s">
        <v>46</v>
      </c>
      <c r="J695" s="7">
        <v>889.89</v>
      </c>
      <c r="K695" s="8">
        <v>1</v>
      </c>
      <c r="L695" s="7">
        <v>-152.32</v>
      </c>
    </row>
    <row r="696" spans="1:12" x14ac:dyDescent="0.2">
      <c r="A696" s="2">
        <v>41963</v>
      </c>
      <c r="B696" s="8">
        <f>YEAR(Sales_data[[#This Row],[Order Date]])</f>
        <v>2014</v>
      </c>
      <c r="C696" s="8">
        <f>MONTH(Sales_data[[#This Row],[Order Date]])</f>
        <v>11</v>
      </c>
      <c r="D696" s="8" t="str">
        <f>TEXT(Sales_data[[#This Row],[Order Date]],"mmm")</f>
        <v>Nov</v>
      </c>
      <c r="E696" t="s">
        <v>17</v>
      </c>
      <c r="F696" t="s">
        <v>27</v>
      </c>
      <c r="G696" t="s">
        <v>33</v>
      </c>
      <c r="H696" t="s">
        <v>42</v>
      </c>
      <c r="I696" t="s">
        <v>53</v>
      </c>
      <c r="J696" s="7">
        <v>946.3</v>
      </c>
      <c r="K696" s="8">
        <v>7</v>
      </c>
      <c r="L696" s="7">
        <v>191.12</v>
      </c>
    </row>
    <row r="697" spans="1:12" x14ac:dyDescent="0.2">
      <c r="A697" s="2">
        <v>41963</v>
      </c>
      <c r="B697" s="8">
        <f>YEAR(Sales_data[[#This Row],[Order Date]])</f>
        <v>2014</v>
      </c>
      <c r="C697" s="8">
        <f>MONTH(Sales_data[[#This Row],[Order Date]])</f>
        <v>11</v>
      </c>
      <c r="D697" s="8" t="str">
        <f>TEXT(Sales_data[[#This Row],[Order Date]],"mmm")</f>
        <v>Nov</v>
      </c>
      <c r="E697" t="s">
        <v>18</v>
      </c>
      <c r="F697" t="s">
        <v>23</v>
      </c>
      <c r="G697" t="s">
        <v>34</v>
      </c>
      <c r="H697" t="s">
        <v>36</v>
      </c>
      <c r="I697" t="s">
        <v>51</v>
      </c>
      <c r="J697" s="7">
        <v>955.64</v>
      </c>
      <c r="K697" s="8">
        <v>7</v>
      </c>
      <c r="L697" s="7">
        <v>-42.72</v>
      </c>
    </row>
    <row r="698" spans="1:12" x14ac:dyDescent="0.2">
      <c r="A698" s="2">
        <v>41964</v>
      </c>
      <c r="B698" s="8">
        <f>YEAR(Sales_data[[#This Row],[Order Date]])</f>
        <v>2014</v>
      </c>
      <c r="C698" s="8">
        <f>MONTH(Sales_data[[#This Row],[Order Date]])</f>
        <v>11</v>
      </c>
      <c r="D698" s="8" t="str">
        <f>TEXT(Sales_data[[#This Row],[Order Date]],"mmm")</f>
        <v>Nov</v>
      </c>
      <c r="E698" t="s">
        <v>10</v>
      </c>
      <c r="F698" t="s">
        <v>26</v>
      </c>
      <c r="G698" t="s">
        <v>33</v>
      </c>
      <c r="H698" t="s">
        <v>43</v>
      </c>
      <c r="I698" t="s">
        <v>49</v>
      </c>
      <c r="J698" s="7">
        <v>1453.53</v>
      </c>
      <c r="K698" s="8">
        <v>5</v>
      </c>
      <c r="L698" s="7">
        <v>313.77999999999997</v>
      </c>
    </row>
    <row r="699" spans="1:12" x14ac:dyDescent="0.2">
      <c r="A699" s="2">
        <v>41964</v>
      </c>
      <c r="B699" s="8">
        <f>YEAR(Sales_data[[#This Row],[Order Date]])</f>
        <v>2014</v>
      </c>
      <c r="C699" s="8">
        <f>MONTH(Sales_data[[#This Row],[Order Date]])</f>
        <v>11</v>
      </c>
      <c r="D699" s="8" t="str">
        <f>TEXT(Sales_data[[#This Row],[Order Date]],"mmm")</f>
        <v>Nov</v>
      </c>
      <c r="E699" t="s">
        <v>12</v>
      </c>
      <c r="F699" t="s">
        <v>30</v>
      </c>
      <c r="G699" t="s">
        <v>34</v>
      </c>
      <c r="H699" t="s">
        <v>36</v>
      </c>
      <c r="I699" t="s">
        <v>53</v>
      </c>
      <c r="J699" s="7">
        <v>1750.27</v>
      </c>
      <c r="K699" s="8">
        <v>4</v>
      </c>
      <c r="L699" s="7">
        <v>-156.21</v>
      </c>
    </row>
    <row r="700" spans="1:12" x14ac:dyDescent="0.2">
      <c r="A700" s="2">
        <v>41964</v>
      </c>
      <c r="B700" s="8">
        <f>YEAR(Sales_data[[#This Row],[Order Date]])</f>
        <v>2014</v>
      </c>
      <c r="C700" s="8">
        <f>MONTH(Sales_data[[#This Row],[Order Date]])</f>
        <v>11</v>
      </c>
      <c r="D700" s="8" t="str">
        <f>TEXT(Sales_data[[#This Row],[Order Date]],"mmm")</f>
        <v>Nov</v>
      </c>
      <c r="E700" t="s">
        <v>10</v>
      </c>
      <c r="F700" t="s">
        <v>24</v>
      </c>
      <c r="G700" t="s">
        <v>33</v>
      </c>
      <c r="H700" t="s">
        <v>35</v>
      </c>
      <c r="I700" t="s">
        <v>51</v>
      </c>
      <c r="J700" s="7">
        <v>1874.01</v>
      </c>
      <c r="K700" s="8">
        <v>2</v>
      </c>
      <c r="L700" s="7">
        <v>165.92</v>
      </c>
    </row>
    <row r="701" spans="1:12" x14ac:dyDescent="0.2">
      <c r="A701" s="2">
        <v>41965</v>
      </c>
      <c r="B701" s="8">
        <f>YEAR(Sales_data[[#This Row],[Order Date]])</f>
        <v>2014</v>
      </c>
      <c r="C701" s="8">
        <f>MONTH(Sales_data[[#This Row],[Order Date]])</f>
        <v>11</v>
      </c>
      <c r="D701" s="8" t="str">
        <f>TEXT(Sales_data[[#This Row],[Order Date]],"mmm")</f>
        <v>Nov</v>
      </c>
      <c r="E701" t="s">
        <v>11</v>
      </c>
      <c r="F701" t="s">
        <v>25</v>
      </c>
      <c r="G701" t="s">
        <v>32</v>
      </c>
      <c r="H701" t="s">
        <v>39</v>
      </c>
      <c r="I701" t="s">
        <v>52</v>
      </c>
      <c r="J701" s="7">
        <v>372.85</v>
      </c>
      <c r="K701" s="8">
        <v>7</v>
      </c>
      <c r="L701" s="7">
        <v>-140.59</v>
      </c>
    </row>
    <row r="702" spans="1:12" x14ac:dyDescent="0.2">
      <c r="A702" s="2">
        <v>41966</v>
      </c>
      <c r="B702" s="8">
        <f>YEAR(Sales_data[[#This Row],[Order Date]])</f>
        <v>2014</v>
      </c>
      <c r="C702" s="8">
        <f>MONTH(Sales_data[[#This Row],[Order Date]])</f>
        <v>11</v>
      </c>
      <c r="D702" s="8" t="str">
        <f>TEXT(Sales_data[[#This Row],[Order Date]],"mmm")</f>
        <v>Nov</v>
      </c>
      <c r="E702" t="s">
        <v>15</v>
      </c>
      <c r="F702" t="s">
        <v>30</v>
      </c>
      <c r="G702" t="s">
        <v>34</v>
      </c>
      <c r="H702" t="s">
        <v>35</v>
      </c>
      <c r="I702" t="s">
        <v>46</v>
      </c>
      <c r="J702" s="7">
        <v>670.83</v>
      </c>
      <c r="K702" s="8">
        <v>1</v>
      </c>
      <c r="L702" s="7">
        <v>-115.46</v>
      </c>
    </row>
    <row r="703" spans="1:12" x14ac:dyDescent="0.2">
      <c r="A703" s="2">
        <v>41967</v>
      </c>
      <c r="B703" s="8">
        <f>YEAR(Sales_data[[#This Row],[Order Date]])</f>
        <v>2014</v>
      </c>
      <c r="C703" s="8">
        <f>MONTH(Sales_data[[#This Row],[Order Date]])</f>
        <v>11</v>
      </c>
      <c r="D703" s="8" t="str">
        <f>TEXT(Sales_data[[#This Row],[Order Date]],"mmm")</f>
        <v>Nov</v>
      </c>
      <c r="E703" t="s">
        <v>19</v>
      </c>
      <c r="F703" t="s">
        <v>30</v>
      </c>
      <c r="G703" t="s">
        <v>32</v>
      </c>
      <c r="H703" t="s">
        <v>40</v>
      </c>
      <c r="I703" t="s">
        <v>44</v>
      </c>
      <c r="J703" s="7">
        <v>1787.54</v>
      </c>
      <c r="K703" s="8">
        <v>5</v>
      </c>
      <c r="L703" s="7">
        <v>-51.46</v>
      </c>
    </row>
    <row r="704" spans="1:12" x14ac:dyDescent="0.2">
      <c r="A704" s="2">
        <v>41971</v>
      </c>
      <c r="B704" s="8">
        <f>YEAR(Sales_data[[#This Row],[Order Date]])</f>
        <v>2014</v>
      </c>
      <c r="C704" s="8">
        <f>MONTH(Sales_data[[#This Row],[Order Date]])</f>
        <v>11</v>
      </c>
      <c r="D704" s="8" t="str">
        <f>TEXT(Sales_data[[#This Row],[Order Date]],"mmm")</f>
        <v>Nov</v>
      </c>
      <c r="E704" t="s">
        <v>21</v>
      </c>
      <c r="F704" t="s">
        <v>24</v>
      </c>
      <c r="G704" t="s">
        <v>32</v>
      </c>
      <c r="H704" t="s">
        <v>35</v>
      </c>
      <c r="I704" t="s">
        <v>50</v>
      </c>
      <c r="J704" s="7">
        <v>585.46</v>
      </c>
      <c r="K704" s="8">
        <v>7</v>
      </c>
      <c r="L704" s="7">
        <v>85.35</v>
      </c>
    </row>
    <row r="705" spans="1:12" x14ac:dyDescent="0.2">
      <c r="A705" s="2">
        <v>41971</v>
      </c>
      <c r="B705" s="8">
        <f>YEAR(Sales_data[[#This Row],[Order Date]])</f>
        <v>2014</v>
      </c>
      <c r="C705" s="8">
        <f>MONTH(Sales_data[[#This Row],[Order Date]])</f>
        <v>11</v>
      </c>
      <c r="D705" s="8" t="str">
        <f>TEXT(Sales_data[[#This Row],[Order Date]],"mmm")</f>
        <v>Nov</v>
      </c>
      <c r="E705" t="s">
        <v>18</v>
      </c>
      <c r="F705" t="s">
        <v>28</v>
      </c>
      <c r="G705" t="s">
        <v>34</v>
      </c>
      <c r="H705" t="s">
        <v>35</v>
      </c>
      <c r="I705" t="s">
        <v>45</v>
      </c>
      <c r="J705" s="7">
        <v>1184.7</v>
      </c>
      <c r="K705" s="8">
        <v>9</v>
      </c>
      <c r="L705" s="7">
        <v>244.28</v>
      </c>
    </row>
    <row r="706" spans="1:12" x14ac:dyDescent="0.2">
      <c r="A706" s="2">
        <v>41972</v>
      </c>
      <c r="B706" s="8">
        <f>YEAR(Sales_data[[#This Row],[Order Date]])</f>
        <v>2014</v>
      </c>
      <c r="C706" s="8">
        <f>MONTH(Sales_data[[#This Row],[Order Date]])</f>
        <v>11</v>
      </c>
      <c r="D706" s="8" t="str">
        <f>TEXT(Sales_data[[#This Row],[Order Date]],"mmm")</f>
        <v>Nov</v>
      </c>
      <c r="E706" t="s">
        <v>15</v>
      </c>
      <c r="F706" t="s">
        <v>24</v>
      </c>
      <c r="G706" t="s">
        <v>32</v>
      </c>
      <c r="H706" t="s">
        <v>39</v>
      </c>
      <c r="I706" t="s">
        <v>44</v>
      </c>
      <c r="J706" s="7">
        <v>997.39</v>
      </c>
      <c r="K706" s="8">
        <v>8</v>
      </c>
      <c r="L706" s="7">
        <v>207.7</v>
      </c>
    </row>
    <row r="707" spans="1:12" x14ac:dyDescent="0.2">
      <c r="A707" s="2">
        <v>41973</v>
      </c>
      <c r="B707" s="8">
        <f>YEAR(Sales_data[[#This Row],[Order Date]])</f>
        <v>2014</v>
      </c>
      <c r="C707" s="8">
        <f>MONTH(Sales_data[[#This Row],[Order Date]])</f>
        <v>11</v>
      </c>
      <c r="D707" s="8" t="str">
        <f>TEXT(Sales_data[[#This Row],[Order Date]],"mmm")</f>
        <v>Nov</v>
      </c>
      <c r="E707" t="s">
        <v>17</v>
      </c>
      <c r="F707" t="s">
        <v>27</v>
      </c>
      <c r="G707" t="s">
        <v>33</v>
      </c>
      <c r="H707" t="s">
        <v>41</v>
      </c>
      <c r="I707" t="s">
        <v>52</v>
      </c>
      <c r="J707" s="7">
        <v>930.1</v>
      </c>
      <c r="K707" s="8">
        <v>5</v>
      </c>
      <c r="L707" s="7">
        <v>-172.58</v>
      </c>
    </row>
    <row r="708" spans="1:12" x14ac:dyDescent="0.2">
      <c r="A708" s="2">
        <v>41973</v>
      </c>
      <c r="B708" s="8">
        <f>YEAR(Sales_data[[#This Row],[Order Date]])</f>
        <v>2014</v>
      </c>
      <c r="C708" s="8">
        <f>MONTH(Sales_data[[#This Row],[Order Date]])</f>
        <v>11</v>
      </c>
      <c r="D708" s="8" t="str">
        <f>TEXT(Sales_data[[#This Row],[Order Date]],"mmm")</f>
        <v>Nov</v>
      </c>
      <c r="E708" t="s">
        <v>20</v>
      </c>
      <c r="F708" t="s">
        <v>25</v>
      </c>
      <c r="G708" t="s">
        <v>34</v>
      </c>
      <c r="H708" t="s">
        <v>42</v>
      </c>
      <c r="I708" t="s">
        <v>52</v>
      </c>
      <c r="J708" s="7">
        <v>981.79</v>
      </c>
      <c r="K708" s="8">
        <v>3</v>
      </c>
      <c r="L708" s="7">
        <v>-20.53</v>
      </c>
    </row>
    <row r="709" spans="1:12" x14ac:dyDescent="0.2">
      <c r="A709" s="2">
        <v>41973</v>
      </c>
      <c r="B709" s="8">
        <f>YEAR(Sales_data[[#This Row],[Order Date]])</f>
        <v>2014</v>
      </c>
      <c r="C709" s="8">
        <f>MONTH(Sales_data[[#This Row],[Order Date]])</f>
        <v>11</v>
      </c>
      <c r="D709" s="8" t="str">
        <f>TEXT(Sales_data[[#This Row],[Order Date]],"mmm")</f>
        <v>Nov</v>
      </c>
      <c r="E709" t="s">
        <v>19</v>
      </c>
      <c r="F709" t="s">
        <v>28</v>
      </c>
      <c r="G709" t="s">
        <v>32</v>
      </c>
      <c r="H709" t="s">
        <v>41</v>
      </c>
      <c r="I709" t="s">
        <v>45</v>
      </c>
      <c r="J709" s="7">
        <v>1581.45</v>
      </c>
      <c r="K709" s="8">
        <v>4</v>
      </c>
      <c r="L709" s="7">
        <v>-48.17</v>
      </c>
    </row>
    <row r="710" spans="1:12" x14ac:dyDescent="0.2">
      <c r="A710" s="2">
        <v>41974</v>
      </c>
      <c r="B710" s="8">
        <f>YEAR(Sales_data[[#This Row],[Order Date]])</f>
        <v>2014</v>
      </c>
      <c r="C710" s="8">
        <f>MONTH(Sales_data[[#This Row],[Order Date]])</f>
        <v>12</v>
      </c>
      <c r="D710" s="8" t="str">
        <f>TEXT(Sales_data[[#This Row],[Order Date]],"mmm")</f>
        <v>Dec</v>
      </c>
      <c r="E710" t="s">
        <v>12</v>
      </c>
      <c r="F710" t="s">
        <v>23</v>
      </c>
      <c r="G710" t="s">
        <v>33</v>
      </c>
      <c r="H710" t="s">
        <v>40</v>
      </c>
      <c r="I710" t="s">
        <v>53</v>
      </c>
      <c r="J710" s="7">
        <v>1732.8</v>
      </c>
      <c r="K710" s="8">
        <v>9</v>
      </c>
      <c r="L710" s="7">
        <v>104.07</v>
      </c>
    </row>
    <row r="711" spans="1:12" x14ac:dyDescent="0.2">
      <c r="A711" s="2">
        <v>41974</v>
      </c>
      <c r="B711" s="8">
        <f>YEAR(Sales_data[[#This Row],[Order Date]])</f>
        <v>2014</v>
      </c>
      <c r="C711" s="8">
        <f>MONTH(Sales_data[[#This Row],[Order Date]])</f>
        <v>12</v>
      </c>
      <c r="D711" s="8" t="str">
        <f>TEXT(Sales_data[[#This Row],[Order Date]],"mmm")</f>
        <v>Dec</v>
      </c>
      <c r="E711" t="s">
        <v>20</v>
      </c>
      <c r="F711" t="s">
        <v>25</v>
      </c>
      <c r="G711" t="s">
        <v>34</v>
      </c>
      <c r="H711" t="s">
        <v>37</v>
      </c>
      <c r="I711" t="s">
        <v>51</v>
      </c>
      <c r="J711" s="7">
        <v>1318.31</v>
      </c>
      <c r="K711" s="8">
        <v>4</v>
      </c>
      <c r="L711" s="7">
        <v>-156.87</v>
      </c>
    </row>
    <row r="712" spans="1:12" x14ac:dyDescent="0.2">
      <c r="A712" s="2">
        <v>41974</v>
      </c>
      <c r="B712" s="8">
        <f>YEAR(Sales_data[[#This Row],[Order Date]])</f>
        <v>2014</v>
      </c>
      <c r="C712" s="8">
        <f>MONTH(Sales_data[[#This Row],[Order Date]])</f>
        <v>12</v>
      </c>
      <c r="D712" s="8" t="str">
        <f>TEXT(Sales_data[[#This Row],[Order Date]],"mmm")</f>
        <v>Dec</v>
      </c>
      <c r="E712" t="s">
        <v>19</v>
      </c>
      <c r="F712" t="s">
        <v>22</v>
      </c>
      <c r="G712" t="s">
        <v>33</v>
      </c>
      <c r="H712" t="s">
        <v>40</v>
      </c>
      <c r="I712" t="s">
        <v>52</v>
      </c>
      <c r="J712" s="7">
        <v>1242</v>
      </c>
      <c r="K712" s="8">
        <v>6</v>
      </c>
      <c r="L712" s="7">
        <v>-40.79</v>
      </c>
    </row>
    <row r="713" spans="1:12" x14ac:dyDescent="0.2">
      <c r="A713" s="2">
        <v>41976</v>
      </c>
      <c r="B713" s="8">
        <f>YEAR(Sales_data[[#This Row],[Order Date]])</f>
        <v>2014</v>
      </c>
      <c r="C713" s="8">
        <f>MONTH(Sales_data[[#This Row],[Order Date]])</f>
        <v>12</v>
      </c>
      <c r="D713" s="8" t="str">
        <f>TEXT(Sales_data[[#This Row],[Order Date]],"mmm")</f>
        <v>Dec</v>
      </c>
      <c r="E713" t="s">
        <v>14</v>
      </c>
      <c r="F713" t="s">
        <v>22</v>
      </c>
      <c r="G713" t="s">
        <v>32</v>
      </c>
      <c r="H713" t="s">
        <v>42</v>
      </c>
      <c r="I713" t="s">
        <v>53</v>
      </c>
      <c r="J713" s="7">
        <v>1579.28</v>
      </c>
      <c r="K713" s="8">
        <v>5</v>
      </c>
      <c r="L713" s="7">
        <v>-65.34</v>
      </c>
    </row>
    <row r="714" spans="1:12" x14ac:dyDescent="0.2">
      <c r="A714" s="2">
        <v>41977</v>
      </c>
      <c r="B714" s="8">
        <f>YEAR(Sales_data[[#This Row],[Order Date]])</f>
        <v>2014</v>
      </c>
      <c r="C714" s="8">
        <f>MONTH(Sales_data[[#This Row],[Order Date]])</f>
        <v>12</v>
      </c>
      <c r="D714" s="8" t="str">
        <f>TEXT(Sales_data[[#This Row],[Order Date]],"mmm")</f>
        <v>Dec</v>
      </c>
      <c r="E714" t="s">
        <v>10</v>
      </c>
      <c r="F714" t="s">
        <v>25</v>
      </c>
      <c r="G714" t="s">
        <v>32</v>
      </c>
      <c r="H714" t="s">
        <v>39</v>
      </c>
      <c r="I714" t="s">
        <v>51</v>
      </c>
      <c r="J714" s="7">
        <v>1116.9100000000001</v>
      </c>
      <c r="K714" s="8">
        <v>5</v>
      </c>
      <c r="L714" s="7">
        <v>37.729999999999997</v>
      </c>
    </row>
    <row r="715" spans="1:12" x14ac:dyDescent="0.2">
      <c r="A715" s="2">
        <v>41978</v>
      </c>
      <c r="B715" s="8">
        <f>YEAR(Sales_data[[#This Row],[Order Date]])</f>
        <v>2014</v>
      </c>
      <c r="C715" s="8">
        <f>MONTH(Sales_data[[#This Row],[Order Date]])</f>
        <v>12</v>
      </c>
      <c r="D715" s="8" t="str">
        <f>TEXT(Sales_data[[#This Row],[Order Date]],"mmm")</f>
        <v>Dec</v>
      </c>
      <c r="E715" t="s">
        <v>19</v>
      </c>
      <c r="F715" t="s">
        <v>27</v>
      </c>
      <c r="G715" t="s">
        <v>33</v>
      </c>
      <c r="H715" t="s">
        <v>38</v>
      </c>
      <c r="I715" t="s">
        <v>51</v>
      </c>
      <c r="J715" s="7">
        <v>346.42</v>
      </c>
      <c r="K715" s="8">
        <v>1</v>
      </c>
      <c r="L715" s="7">
        <v>138.16999999999999</v>
      </c>
    </row>
    <row r="716" spans="1:12" x14ac:dyDescent="0.2">
      <c r="A716" s="2">
        <v>41979</v>
      </c>
      <c r="B716" s="8">
        <f>YEAR(Sales_data[[#This Row],[Order Date]])</f>
        <v>2014</v>
      </c>
      <c r="C716" s="8">
        <f>MONTH(Sales_data[[#This Row],[Order Date]])</f>
        <v>12</v>
      </c>
      <c r="D716" s="8" t="str">
        <f>TEXT(Sales_data[[#This Row],[Order Date]],"mmm")</f>
        <v>Dec</v>
      </c>
      <c r="E716" t="s">
        <v>15</v>
      </c>
      <c r="F716" t="s">
        <v>27</v>
      </c>
      <c r="G716" t="s">
        <v>32</v>
      </c>
      <c r="H716" t="s">
        <v>39</v>
      </c>
      <c r="I716" t="s">
        <v>53</v>
      </c>
      <c r="J716" s="7">
        <v>515.5</v>
      </c>
      <c r="K716" s="8">
        <v>9</v>
      </c>
      <c r="L716" s="7">
        <v>-44.37</v>
      </c>
    </row>
    <row r="717" spans="1:12" x14ac:dyDescent="0.2">
      <c r="A717" s="2">
        <v>41981</v>
      </c>
      <c r="B717" s="8">
        <f>YEAR(Sales_data[[#This Row],[Order Date]])</f>
        <v>2014</v>
      </c>
      <c r="C717" s="8">
        <f>MONTH(Sales_data[[#This Row],[Order Date]])</f>
        <v>12</v>
      </c>
      <c r="D717" s="8" t="str">
        <f>TEXT(Sales_data[[#This Row],[Order Date]],"mmm")</f>
        <v>Dec</v>
      </c>
      <c r="E717" t="s">
        <v>21</v>
      </c>
      <c r="F717" t="s">
        <v>26</v>
      </c>
      <c r="G717" t="s">
        <v>34</v>
      </c>
      <c r="H717" t="s">
        <v>36</v>
      </c>
      <c r="I717" t="s">
        <v>49</v>
      </c>
      <c r="J717" s="7">
        <v>724.55</v>
      </c>
      <c r="K717" s="8">
        <v>5</v>
      </c>
      <c r="L717" s="7">
        <v>304.55</v>
      </c>
    </row>
    <row r="718" spans="1:12" x14ac:dyDescent="0.2">
      <c r="A718" s="2">
        <v>41983</v>
      </c>
      <c r="B718" s="8">
        <f>YEAR(Sales_data[[#This Row],[Order Date]])</f>
        <v>2014</v>
      </c>
      <c r="C718" s="8">
        <f>MONTH(Sales_data[[#This Row],[Order Date]])</f>
        <v>12</v>
      </c>
      <c r="D718" s="8" t="str">
        <f>TEXT(Sales_data[[#This Row],[Order Date]],"mmm")</f>
        <v>Dec</v>
      </c>
      <c r="E718" t="s">
        <v>13</v>
      </c>
      <c r="F718" t="s">
        <v>22</v>
      </c>
      <c r="G718" t="s">
        <v>33</v>
      </c>
      <c r="H718" t="s">
        <v>35</v>
      </c>
      <c r="I718" t="s">
        <v>52</v>
      </c>
      <c r="J718" s="7">
        <v>757.24</v>
      </c>
      <c r="K718" s="8">
        <v>7</v>
      </c>
      <c r="L718" s="7">
        <v>274.62</v>
      </c>
    </row>
    <row r="719" spans="1:12" x14ac:dyDescent="0.2">
      <c r="A719" s="2">
        <v>41983</v>
      </c>
      <c r="B719" s="8">
        <f>YEAR(Sales_data[[#This Row],[Order Date]])</f>
        <v>2014</v>
      </c>
      <c r="C719" s="8">
        <f>MONTH(Sales_data[[#This Row],[Order Date]])</f>
        <v>12</v>
      </c>
      <c r="D719" s="8" t="str">
        <f>TEXT(Sales_data[[#This Row],[Order Date]],"mmm")</f>
        <v>Dec</v>
      </c>
      <c r="E719" t="s">
        <v>17</v>
      </c>
      <c r="F719" t="s">
        <v>31</v>
      </c>
      <c r="G719" t="s">
        <v>34</v>
      </c>
      <c r="H719" t="s">
        <v>41</v>
      </c>
      <c r="I719" t="s">
        <v>53</v>
      </c>
      <c r="J719" s="7">
        <v>1393.75</v>
      </c>
      <c r="K719" s="8">
        <v>8</v>
      </c>
      <c r="L719" s="7">
        <v>362.82</v>
      </c>
    </row>
    <row r="720" spans="1:12" x14ac:dyDescent="0.2">
      <c r="A720" s="2">
        <v>41983</v>
      </c>
      <c r="B720" s="8">
        <f>YEAR(Sales_data[[#This Row],[Order Date]])</f>
        <v>2014</v>
      </c>
      <c r="C720" s="8">
        <f>MONTH(Sales_data[[#This Row],[Order Date]])</f>
        <v>12</v>
      </c>
      <c r="D720" s="8" t="str">
        <f>TEXT(Sales_data[[#This Row],[Order Date]],"mmm")</f>
        <v>Dec</v>
      </c>
      <c r="E720" t="s">
        <v>9</v>
      </c>
      <c r="F720" t="s">
        <v>27</v>
      </c>
      <c r="G720" t="s">
        <v>32</v>
      </c>
      <c r="H720" t="s">
        <v>36</v>
      </c>
      <c r="I720" t="s">
        <v>52</v>
      </c>
      <c r="J720" s="7">
        <v>640.03</v>
      </c>
      <c r="K720" s="8">
        <v>7</v>
      </c>
      <c r="L720" s="7">
        <v>-187.81</v>
      </c>
    </row>
    <row r="721" spans="1:12" x14ac:dyDescent="0.2">
      <c r="A721" s="2">
        <v>41984</v>
      </c>
      <c r="B721" s="8">
        <f>YEAR(Sales_data[[#This Row],[Order Date]])</f>
        <v>2014</v>
      </c>
      <c r="C721" s="8">
        <f>MONTH(Sales_data[[#This Row],[Order Date]])</f>
        <v>12</v>
      </c>
      <c r="D721" s="8" t="str">
        <f>TEXT(Sales_data[[#This Row],[Order Date]],"mmm")</f>
        <v>Dec</v>
      </c>
      <c r="E721" t="s">
        <v>17</v>
      </c>
      <c r="F721" t="s">
        <v>31</v>
      </c>
      <c r="G721" t="s">
        <v>33</v>
      </c>
      <c r="H721" t="s">
        <v>35</v>
      </c>
      <c r="I721" t="s">
        <v>49</v>
      </c>
      <c r="J721" s="7">
        <v>1556.12</v>
      </c>
      <c r="K721" s="8">
        <v>4</v>
      </c>
      <c r="L721" s="7">
        <v>317.98</v>
      </c>
    </row>
    <row r="722" spans="1:12" x14ac:dyDescent="0.2">
      <c r="A722" s="2">
        <v>41984</v>
      </c>
      <c r="B722" s="8">
        <f>YEAR(Sales_data[[#This Row],[Order Date]])</f>
        <v>2014</v>
      </c>
      <c r="C722" s="8">
        <f>MONTH(Sales_data[[#This Row],[Order Date]])</f>
        <v>12</v>
      </c>
      <c r="D722" s="8" t="str">
        <f>TEXT(Sales_data[[#This Row],[Order Date]],"mmm")</f>
        <v>Dec</v>
      </c>
      <c r="E722" t="s">
        <v>14</v>
      </c>
      <c r="F722" t="s">
        <v>25</v>
      </c>
      <c r="G722" t="s">
        <v>33</v>
      </c>
      <c r="H722" t="s">
        <v>39</v>
      </c>
      <c r="I722" t="s">
        <v>47</v>
      </c>
      <c r="J722" s="7">
        <v>259.97000000000003</v>
      </c>
      <c r="K722" s="8">
        <v>6</v>
      </c>
      <c r="L722" s="7">
        <v>-162.88</v>
      </c>
    </row>
    <row r="723" spans="1:12" x14ac:dyDescent="0.2">
      <c r="A723" s="2">
        <v>41984</v>
      </c>
      <c r="B723" s="8">
        <f>YEAR(Sales_data[[#This Row],[Order Date]])</f>
        <v>2014</v>
      </c>
      <c r="C723" s="8">
        <f>MONTH(Sales_data[[#This Row],[Order Date]])</f>
        <v>12</v>
      </c>
      <c r="D723" s="8" t="str">
        <f>TEXT(Sales_data[[#This Row],[Order Date]],"mmm")</f>
        <v>Dec</v>
      </c>
      <c r="E723" t="s">
        <v>10</v>
      </c>
      <c r="F723" t="s">
        <v>29</v>
      </c>
      <c r="G723" t="s">
        <v>33</v>
      </c>
      <c r="H723" t="s">
        <v>35</v>
      </c>
      <c r="I723" t="s">
        <v>53</v>
      </c>
      <c r="J723" s="7">
        <v>1430.69</v>
      </c>
      <c r="K723" s="8">
        <v>2</v>
      </c>
      <c r="L723" s="7">
        <v>-110.47</v>
      </c>
    </row>
    <row r="724" spans="1:12" x14ac:dyDescent="0.2">
      <c r="A724" s="2">
        <v>41984</v>
      </c>
      <c r="B724" s="8">
        <f>YEAR(Sales_data[[#This Row],[Order Date]])</f>
        <v>2014</v>
      </c>
      <c r="C724" s="8">
        <f>MONTH(Sales_data[[#This Row],[Order Date]])</f>
        <v>12</v>
      </c>
      <c r="D724" s="8" t="str">
        <f>TEXT(Sales_data[[#This Row],[Order Date]],"mmm")</f>
        <v>Dec</v>
      </c>
      <c r="E724" t="s">
        <v>18</v>
      </c>
      <c r="F724" t="s">
        <v>30</v>
      </c>
      <c r="G724" t="s">
        <v>34</v>
      </c>
      <c r="H724" t="s">
        <v>41</v>
      </c>
      <c r="I724" t="s">
        <v>47</v>
      </c>
      <c r="J724" s="7">
        <v>423.42</v>
      </c>
      <c r="K724" s="8">
        <v>6</v>
      </c>
      <c r="L724" s="7">
        <v>265.14</v>
      </c>
    </row>
    <row r="725" spans="1:12" x14ac:dyDescent="0.2">
      <c r="A725" s="2">
        <v>41985</v>
      </c>
      <c r="B725" s="8">
        <f>YEAR(Sales_data[[#This Row],[Order Date]])</f>
        <v>2014</v>
      </c>
      <c r="C725" s="8">
        <f>MONTH(Sales_data[[#This Row],[Order Date]])</f>
        <v>12</v>
      </c>
      <c r="D725" s="8" t="str">
        <f>TEXT(Sales_data[[#This Row],[Order Date]],"mmm")</f>
        <v>Dec</v>
      </c>
      <c r="E725" t="s">
        <v>14</v>
      </c>
      <c r="F725" t="s">
        <v>29</v>
      </c>
      <c r="G725" t="s">
        <v>33</v>
      </c>
      <c r="H725" t="s">
        <v>42</v>
      </c>
      <c r="I725" t="s">
        <v>48</v>
      </c>
      <c r="J725" s="7">
        <v>1258.96</v>
      </c>
      <c r="K725" s="8">
        <v>8</v>
      </c>
      <c r="L725" s="7">
        <v>334.33</v>
      </c>
    </row>
    <row r="726" spans="1:12" x14ac:dyDescent="0.2">
      <c r="A726" s="2">
        <v>41986</v>
      </c>
      <c r="B726" s="8">
        <f>YEAR(Sales_data[[#This Row],[Order Date]])</f>
        <v>2014</v>
      </c>
      <c r="C726" s="8">
        <f>MONTH(Sales_data[[#This Row],[Order Date]])</f>
        <v>12</v>
      </c>
      <c r="D726" s="8" t="str">
        <f>TEXT(Sales_data[[#This Row],[Order Date]],"mmm")</f>
        <v>Dec</v>
      </c>
      <c r="E726" t="s">
        <v>11</v>
      </c>
      <c r="F726" t="s">
        <v>31</v>
      </c>
      <c r="G726" t="s">
        <v>33</v>
      </c>
      <c r="H726" t="s">
        <v>39</v>
      </c>
      <c r="I726" t="s">
        <v>48</v>
      </c>
      <c r="J726" s="7">
        <v>1957.2</v>
      </c>
      <c r="K726" s="8">
        <v>8</v>
      </c>
      <c r="L726" s="7">
        <v>388.23</v>
      </c>
    </row>
    <row r="727" spans="1:12" x14ac:dyDescent="0.2">
      <c r="A727" s="2">
        <v>41987</v>
      </c>
      <c r="B727" s="8">
        <f>YEAR(Sales_data[[#This Row],[Order Date]])</f>
        <v>2014</v>
      </c>
      <c r="C727" s="8">
        <f>MONTH(Sales_data[[#This Row],[Order Date]])</f>
        <v>12</v>
      </c>
      <c r="D727" s="8" t="str">
        <f>TEXT(Sales_data[[#This Row],[Order Date]],"mmm")</f>
        <v>Dec</v>
      </c>
      <c r="E727" t="s">
        <v>15</v>
      </c>
      <c r="F727" t="s">
        <v>31</v>
      </c>
      <c r="G727" t="s">
        <v>34</v>
      </c>
      <c r="H727" t="s">
        <v>40</v>
      </c>
      <c r="I727" t="s">
        <v>49</v>
      </c>
      <c r="J727" s="7">
        <v>1287.1300000000001</v>
      </c>
      <c r="K727" s="8">
        <v>6</v>
      </c>
      <c r="L727" s="7">
        <v>-146.16999999999999</v>
      </c>
    </row>
    <row r="728" spans="1:12" x14ac:dyDescent="0.2">
      <c r="A728" s="2">
        <v>41988</v>
      </c>
      <c r="B728" s="8">
        <f>YEAR(Sales_data[[#This Row],[Order Date]])</f>
        <v>2014</v>
      </c>
      <c r="C728" s="8">
        <f>MONTH(Sales_data[[#This Row],[Order Date]])</f>
        <v>12</v>
      </c>
      <c r="D728" s="8" t="str">
        <f>TEXT(Sales_data[[#This Row],[Order Date]],"mmm")</f>
        <v>Dec</v>
      </c>
      <c r="E728" t="s">
        <v>13</v>
      </c>
      <c r="F728" t="s">
        <v>30</v>
      </c>
      <c r="G728" t="s">
        <v>34</v>
      </c>
      <c r="H728" t="s">
        <v>39</v>
      </c>
      <c r="I728" t="s">
        <v>52</v>
      </c>
      <c r="J728" s="7">
        <v>733.02</v>
      </c>
      <c r="K728" s="8">
        <v>6</v>
      </c>
      <c r="L728" s="7">
        <v>394.65</v>
      </c>
    </row>
    <row r="729" spans="1:12" x14ac:dyDescent="0.2">
      <c r="A729" s="2">
        <v>41988</v>
      </c>
      <c r="B729" s="8">
        <f>YEAR(Sales_data[[#This Row],[Order Date]])</f>
        <v>2014</v>
      </c>
      <c r="C729" s="8">
        <f>MONTH(Sales_data[[#This Row],[Order Date]])</f>
        <v>12</v>
      </c>
      <c r="D729" s="8" t="str">
        <f>TEXT(Sales_data[[#This Row],[Order Date]],"mmm")</f>
        <v>Dec</v>
      </c>
      <c r="E729" t="s">
        <v>19</v>
      </c>
      <c r="F729" t="s">
        <v>24</v>
      </c>
      <c r="G729" t="s">
        <v>33</v>
      </c>
      <c r="H729" t="s">
        <v>40</v>
      </c>
      <c r="I729" t="s">
        <v>50</v>
      </c>
      <c r="J729" s="7">
        <v>53.04</v>
      </c>
      <c r="K729" s="8">
        <v>2</v>
      </c>
      <c r="L729" s="7">
        <v>165.83</v>
      </c>
    </row>
    <row r="730" spans="1:12" x14ac:dyDescent="0.2">
      <c r="A730" s="2">
        <v>41988</v>
      </c>
      <c r="B730" s="8">
        <f>YEAR(Sales_data[[#This Row],[Order Date]])</f>
        <v>2014</v>
      </c>
      <c r="C730" s="8">
        <f>MONTH(Sales_data[[#This Row],[Order Date]])</f>
        <v>12</v>
      </c>
      <c r="D730" s="8" t="str">
        <f>TEXT(Sales_data[[#This Row],[Order Date]],"mmm")</f>
        <v>Dec</v>
      </c>
      <c r="E730" t="s">
        <v>20</v>
      </c>
      <c r="F730" t="s">
        <v>22</v>
      </c>
      <c r="G730" t="s">
        <v>34</v>
      </c>
      <c r="H730" t="s">
        <v>39</v>
      </c>
      <c r="I730" t="s">
        <v>50</v>
      </c>
      <c r="J730" s="7">
        <v>1585.36</v>
      </c>
      <c r="K730" s="8">
        <v>9</v>
      </c>
      <c r="L730" s="7">
        <v>-104.21</v>
      </c>
    </row>
    <row r="731" spans="1:12" x14ac:dyDescent="0.2">
      <c r="A731" s="2">
        <v>41988</v>
      </c>
      <c r="B731" s="8">
        <f>YEAR(Sales_data[[#This Row],[Order Date]])</f>
        <v>2014</v>
      </c>
      <c r="C731" s="8">
        <f>MONTH(Sales_data[[#This Row],[Order Date]])</f>
        <v>12</v>
      </c>
      <c r="D731" s="8" t="str">
        <f>TEXT(Sales_data[[#This Row],[Order Date]],"mmm")</f>
        <v>Dec</v>
      </c>
      <c r="E731" t="s">
        <v>13</v>
      </c>
      <c r="F731" t="s">
        <v>31</v>
      </c>
      <c r="G731" t="s">
        <v>34</v>
      </c>
      <c r="H731" t="s">
        <v>37</v>
      </c>
      <c r="I731" t="s">
        <v>48</v>
      </c>
      <c r="J731" s="7">
        <v>454.75</v>
      </c>
      <c r="K731" s="8">
        <v>5</v>
      </c>
      <c r="L731" s="7">
        <v>65.239999999999995</v>
      </c>
    </row>
    <row r="732" spans="1:12" x14ac:dyDescent="0.2">
      <c r="A732" s="2">
        <v>41989</v>
      </c>
      <c r="B732" s="8">
        <f>YEAR(Sales_data[[#This Row],[Order Date]])</f>
        <v>2014</v>
      </c>
      <c r="C732" s="8">
        <f>MONTH(Sales_data[[#This Row],[Order Date]])</f>
        <v>12</v>
      </c>
      <c r="D732" s="8" t="str">
        <f>TEXT(Sales_data[[#This Row],[Order Date]],"mmm")</f>
        <v>Dec</v>
      </c>
      <c r="E732" t="s">
        <v>9</v>
      </c>
      <c r="F732" t="s">
        <v>30</v>
      </c>
      <c r="G732" t="s">
        <v>33</v>
      </c>
      <c r="H732" t="s">
        <v>42</v>
      </c>
      <c r="I732" t="s">
        <v>45</v>
      </c>
      <c r="J732" s="7">
        <v>70.540000000000006</v>
      </c>
      <c r="K732" s="8">
        <v>5</v>
      </c>
      <c r="L732" s="7">
        <v>340.02</v>
      </c>
    </row>
    <row r="733" spans="1:12" x14ac:dyDescent="0.2">
      <c r="A733" s="2">
        <v>41991</v>
      </c>
      <c r="B733" s="8">
        <f>YEAR(Sales_data[[#This Row],[Order Date]])</f>
        <v>2014</v>
      </c>
      <c r="C733" s="8">
        <f>MONTH(Sales_data[[#This Row],[Order Date]])</f>
        <v>12</v>
      </c>
      <c r="D733" s="8" t="str">
        <f>TEXT(Sales_data[[#This Row],[Order Date]],"mmm")</f>
        <v>Dec</v>
      </c>
      <c r="E733" t="s">
        <v>17</v>
      </c>
      <c r="F733" t="s">
        <v>24</v>
      </c>
      <c r="G733" t="s">
        <v>33</v>
      </c>
      <c r="H733" t="s">
        <v>40</v>
      </c>
      <c r="I733" t="s">
        <v>51</v>
      </c>
      <c r="J733" s="7">
        <v>409.23</v>
      </c>
      <c r="K733" s="8">
        <v>7</v>
      </c>
      <c r="L733" s="7">
        <v>272.62</v>
      </c>
    </row>
    <row r="734" spans="1:12" x14ac:dyDescent="0.2">
      <c r="A734" s="2">
        <v>41992</v>
      </c>
      <c r="B734" s="8">
        <f>YEAR(Sales_data[[#This Row],[Order Date]])</f>
        <v>2014</v>
      </c>
      <c r="C734" s="8">
        <f>MONTH(Sales_data[[#This Row],[Order Date]])</f>
        <v>12</v>
      </c>
      <c r="D734" s="8" t="str">
        <f>TEXT(Sales_data[[#This Row],[Order Date]],"mmm")</f>
        <v>Dec</v>
      </c>
      <c r="E734" t="s">
        <v>13</v>
      </c>
      <c r="F734" t="s">
        <v>26</v>
      </c>
      <c r="G734" t="s">
        <v>32</v>
      </c>
      <c r="H734" t="s">
        <v>40</v>
      </c>
      <c r="I734" t="s">
        <v>49</v>
      </c>
      <c r="J734" s="7">
        <v>1021.73</v>
      </c>
      <c r="K734" s="8">
        <v>8</v>
      </c>
      <c r="L734" s="7">
        <v>300.04000000000002</v>
      </c>
    </row>
    <row r="735" spans="1:12" x14ac:dyDescent="0.2">
      <c r="A735" s="2">
        <v>41993</v>
      </c>
      <c r="B735" s="8">
        <f>YEAR(Sales_data[[#This Row],[Order Date]])</f>
        <v>2014</v>
      </c>
      <c r="C735" s="8">
        <f>MONTH(Sales_data[[#This Row],[Order Date]])</f>
        <v>12</v>
      </c>
      <c r="D735" s="8" t="str">
        <f>TEXT(Sales_data[[#This Row],[Order Date]],"mmm")</f>
        <v>Dec</v>
      </c>
      <c r="E735" t="s">
        <v>9</v>
      </c>
      <c r="F735" t="s">
        <v>29</v>
      </c>
      <c r="G735" t="s">
        <v>32</v>
      </c>
      <c r="H735" t="s">
        <v>37</v>
      </c>
      <c r="I735" t="s">
        <v>46</v>
      </c>
      <c r="J735" s="7">
        <v>1039.6300000000001</v>
      </c>
      <c r="K735" s="8">
        <v>9</v>
      </c>
      <c r="L735" s="7">
        <v>338.1</v>
      </c>
    </row>
    <row r="736" spans="1:12" x14ac:dyDescent="0.2">
      <c r="A736" s="2">
        <v>41994</v>
      </c>
      <c r="B736" s="8">
        <f>YEAR(Sales_data[[#This Row],[Order Date]])</f>
        <v>2014</v>
      </c>
      <c r="C736" s="8">
        <f>MONTH(Sales_data[[#This Row],[Order Date]])</f>
        <v>12</v>
      </c>
      <c r="D736" s="8" t="str">
        <f>TEXT(Sales_data[[#This Row],[Order Date]],"mmm")</f>
        <v>Dec</v>
      </c>
      <c r="E736" t="s">
        <v>15</v>
      </c>
      <c r="F736" t="s">
        <v>28</v>
      </c>
      <c r="G736" t="s">
        <v>32</v>
      </c>
      <c r="H736" t="s">
        <v>42</v>
      </c>
      <c r="I736" t="s">
        <v>49</v>
      </c>
      <c r="J736" s="7">
        <v>1792.67</v>
      </c>
      <c r="K736" s="8">
        <v>4</v>
      </c>
      <c r="L736" s="7">
        <v>-131.19</v>
      </c>
    </row>
    <row r="737" spans="1:12" x14ac:dyDescent="0.2">
      <c r="A737" s="2">
        <v>41995</v>
      </c>
      <c r="B737" s="8">
        <f>YEAR(Sales_data[[#This Row],[Order Date]])</f>
        <v>2014</v>
      </c>
      <c r="C737" s="8">
        <f>MONTH(Sales_data[[#This Row],[Order Date]])</f>
        <v>12</v>
      </c>
      <c r="D737" s="8" t="str">
        <f>TEXT(Sales_data[[#This Row],[Order Date]],"mmm")</f>
        <v>Dec</v>
      </c>
      <c r="E737" t="s">
        <v>12</v>
      </c>
      <c r="F737" t="s">
        <v>24</v>
      </c>
      <c r="G737" t="s">
        <v>32</v>
      </c>
      <c r="H737" t="s">
        <v>37</v>
      </c>
      <c r="I737" t="s">
        <v>45</v>
      </c>
      <c r="J737" s="7">
        <v>407.46</v>
      </c>
      <c r="K737" s="8">
        <v>1</v>
      </c>
      <c r="L737" s="7">
        <v>145.02000000000001</v>
      </c>
    </row>
    <row r="738" spans="1:12" x14ac:dyDescent="0.2">
      <c r="A738" s="2">
        <v>41996</v>
      </c>
      <c r="B738" s="8">
        <f>YEAR(Sales_data[[#This Row],[Order Date]])</f>
        <v>2014</v>
      </c>
      <c r="C738" s="8">
        <f>MONTH(Sales_data[[#This Row],[Order Date]])</f>
        <v>12</v>
      </c>
      <c r="D738" s="8" t="str">
        <f>TEXT(Sales_data[[#This Row],[Order Date]],"mmm")</f>
        <v>Dec</v>
      </c>
      <c r="E738" t="s">
        <v>10</v>
      </c>
      <c r="F738" t="s">
        <v>22</v>
      </c>
      <c r="G738" t="s">
        <v>33</v>
      </c>
      <c r="H738" t="s">
        <v>40</v>
      </c>
      <c r="I738" t="s">
        <v>53</v>
      </c>
      <c r="J738" s="7">
        <v>218.06</v>
      </c>
      <c r="K738" s="8">
        <v>3</v>
      </c>
      <c r="L738" s="7">
        <v>58.72</v>
      </c>
    </row>
    <row r="739" spans="1:12" x14ac:dyDescent="0.2">
      <c r="A739" s="2">
        <v>41997</v>
      </c>
      <c r="B739" s="8">
        <f>YEAR(Sales_data[[#This Row],[Order Date]])</f>
        <v>2014</v>
      </c>
      <c r="C739" s="8">
        <f>MONTH(Sales_data[[#This Row],[Order Date]])</f>
        <v>12</v>
      </c>
      <c r="D739" s="8" t="str">
        <f>TEXT(Sales_data[[#This Row],[Order Date]],"mmm")</f>
        <v>Dec</v>
      </c>
      <c r="E739" t="s">
        <v>11</v>
      </c>
      <c r="F739" t="s">
        <v>27</v>
      </c>
      <c r="G739" t="s">
        <v>34</v>
      </c>
      <c r="H739" t="s">
        <v>38</v>
      </c>
      <c r="I739" t="s">
        <v>53</v>
      </c>
      <c r="J739" s="7">
        <v>410.91</v>
      </c>
      <c r="K739" s="8">
        <v>9</v>
      </c>
      <c r="L739" s="7">
        <v>16.579999999999998</v>
      </c>
    </row>
    <row r="740" spans="1:12" x14ac:dyDescent="0.2">
      <c r="A740" s="2">
        <v>41998</v>
      </c>
      <c r="B740" s="8">
        <f>YEAR(Sales_data[[#This Row],[Order Date]])</f>
        <v>2014</v>
      </c>
      <c r="C740" s="8">
        <f>MONTH(Sales_data[[#This Row],[Order Date]])</f>
        <v>12</v>
      </c>
      <c r="D740" s="8" t="str">
        <f>TEXT(Sales_data[[#This Row],[Order Date]],"mmm")</f>
        <v>Dec</v>
      </c>
      <c r="E740" t="s">
        <v>16</v>
      </c>
      <c r="F740" t="s">
        <v>27</v>
      </c>
      <c r="G740" t="s">
        <v>32</v>
      </c>
      <c r="H740" t="s">
        <v>42</v>
      </c>
      <c r="I740" t="s">
        <v>50</v>
      </c>
      <c r="J740" s="7">
        <v>1741.11</v>
      </c>
      <c r="K740" s="8">
        <v>2</v>
      </c>
      <c r="L740" s="7">
        <v>-19.239999999999998</v>
      </c>
    </row>
    <row r="741" spans="1:12" x14ac:dyDescent="0.2">
      <c r="A741" s="2">
        <v>41999</v>
      </c>
      <c r="B741" s="8">
        <f>YEAR(Sales_data[[#This Row],[Order Date]])</f>
        <v>2014</v>
      </c>
      <c r="C741" s="8">
        <f>MONTH(Sales_data[[#This Row],[Order Date]])</f>
        <v>12</v>
      </c>
      <c r="D741" s="8" t="str">
        <f>TEXT(Sales_data[[#This Row],[Order Date]],"mmm")</f>
        <v>Dec</v>
      </c>
      <c r="E741" t="s">
        <v>21</v>
      </c>
      <c r="F741" t="s">
        <v>25</v>
      </c>
      <c r="G741" t="s">
        <v>33</v>
      </c>
      <c r="H741" t="s">
        <v>37</v>
      </c>
      <c r="I741" t="s">
        <v>51</v>
      </c>
      <c r="J741" s="7">
        <v>714.27</v>
      </c>
      <c r="K741" s="8">
        <v>8</v>
      </c>
      <c r="L741" s="7">
        <v>208.03</v>
      </c>
    </row>
    <row r="742" spans="1:12" x14ac:dyDescent="0.2">
      <c r="A742" s="2">
        <v>42000</v>
      </c>
      <c r="B742" s="8">
        <f>YEAR(Sales_data[[#This Row],[Order Date]])</f>
        <v>2014</v>
      </c>
      <c r="C742" s="8">
        <f>MONTH(Sales_data[[#This Row],[Order Date]])</f>
        <v>12</v>
      </c>
      <c r="D742" s="8" t="str">
        <f>TEXT(Sales_data[[#This Row],[Order Date]],"mmm")</f>
        <v>Dec</v>
      </c>
      <c r="E742" t="s">
        <v>9</v>
      </c>
      <c r="F742" t="s">
        <v>25</v>
      </c>
      <c r="G742" t="s">
        <v>34</v>
      </c>
      <c r="H742" t="s">
        <v>42</v>
      </c>
      <c r="I742" t="s">
        <v>45</v>
      </c>
      <c r="J742" s="7">
        <v>1841.19</v>
      </c>
      <c r="K742" s="8">
        <v>4</v>
      </c>
      <c r="L742" s="7">
        <v>80.650000000000006</v>
      </c>
    </row>
    <row r="743" spans="1:12" x14ac:dyDescent="0.2">
      <c r="A743" s="2">
        <v>42000</v>
      </c>
      <c r="B743" s="8">
        <f>YEAR(Sales_data[[#This Row],[Order Date]])</f>
        <v>2014</v>
      </c>
      <c r="C743" s="8">
        <f>MONTH(Sales_data[[#This Row],[Order Date]])</f>
        <v>12</v>
      </c>
      <c r="D743" s="8" t="str">
        <f>TEXT(Sales_data[[#This Row],[Order Date]],"mmm")</f>
        <v>Dec</v>
      </c>
      <c r="E743" t="s">
        <v>11</v>
      </c>
      <c r="F743" t="s">
        <v>22</v>
      </c>
      <c r="G743" t="s">
        <v>33</v>
      </c>
      <c r="H743" t="s">
        <v>41</v>
      </c>
      <c r="I743" t="s">
        <v>46</v>
      </c>
      <c r="J743" s="7">
        <v>1150.57</v>
      </c>
      <c r="K743" s="8">
        <v>7</v>
      </c>
      <c r="L743" s="7">
        <v>171.48</v>
      </c>
    </row>
    <row r="744" spans="1:12" x14ac:dyDescent="0.2">
      <c r="A744" s="2">
        <v>42001</v>
      </c>
      <c r="B744" s="8">
        <f>YEAR(Sales_data[[#This Row],[Order Date]])</f>
        <v>2014</v>
      </c>
      <c r="C744" s="8">
        <f>MONTH(Sales_data[[#This Row],[Order Date]])</f>
        <v>12</v>
      </c>
      <c r="D744" s="8" t="str">
        <f>TEXT(Sales_data[[#This Row],[Order Date]],"mmm")</f>
        <v>Dec</v>
      </c>
      <c r="E744" t="s">
        <v>12</v>
      </c>
      <c r="F744" t="s">
        <v>26</v>
      </c>
      <c r="G744" t="s">
        <v>34</v>
      </c>
      <c r="H744" t="s">
        <v>36</v>
      </c>
      <c r="I744" t="s">
        <v>49</v>
      </c>
      <c r="J744" s="7">
        <v>821.69</v>
      </c>
      <c r="K744" s="8">
        <v>1</v>
      </c>
      <c r="L744" s="7">
        <v>-76.05</v>
      </c>
    </row>
    <row r="745" spans="1:12" x14ac:dyDescent="0.2">
      <c r="A745" s="2">
        <v>42001</v>
      </c>
      <c r="B745" s="8">
        <f>YEAR(Sales_data[[#This Row],[Order Date]])</f>
        <v>2014</v>
      </c>
      <c r="C745" s="8">
        <f>MONTH(Sales_data[[#This Row],[Order Date]])</f>
        <v>12</v>
      </c>
      <c r="D745" s="8" t="str">
        <f>TEXT(Sales_data[[#This Row],[Order Date]],"mmm")</f>
        <v>Dec</v>
      </c>
      <c r="E745" t="s">
        <v>18</v>
      </c>
      <c r="F745" t="s">
        <v>29</v>
      </c>
      <c r="G745" t="s">
        <v>34</v>
      </c>
      <c r="H745" t="s">
        <v>41</v>
      </c>
      <c r="I745" t="s">
        <v>45</v>
      </c>
      <c r="J745" s="7">
        <v>1688.42</v>
      </c>
      <c r="K745" s="8">
        <v>8</v>
      </c>
      <c r="L745" s="7">
        <v>139.34</v>
      </c>
    </row>
    <row r="746" spans="1:12" x14ac:dyDescent="0.2">
      <c r="A746" s="2">
        <v>42001</v>
      </c>
      <c r="B746" s="8">
        <f>YEAR(Sales_data[[#This Row],[Order Date]])</f>
        <v>2014</v>
      </c>
      <c r="C746" s="8">
        <f>MONTH(Sales_data[[#This Row],[Order Date]])</f>
        <v>12</v>
      </c>
      <c r="D746" s="8" t="str">
        <f>TEXT(Sales_data[[#This Row],[Order Date]],"mmm")</f>
        <v>Dec</v>
      </c>
      <c r="E746" t="s">
        <v>11</v>
      </c>
      <c r="F746" t="s">
        <v>24</v>
      </c>
      <c r="G746" t="s">
        <v>32</v>
      </c>
      <c r="H746" t="s">
        <v>35</v>
      </c>
      <c r="I746" t="s">
        <v>50</v>
      </c>
      <c r="J746" s="7">
        <v>1594.64</v>
      </c>
      <c r="K746" s="8">
        <v>3</v>
      </c>
      <c r="L746" s="7">
        <v>300.97000000000003</v>
      </c>
    </row>
    <row r="747" spans="1:12" x14ac:dyDescent="0.2">
      <c r="A747" s="2">
        <v>42001</v>
      </c>
      <c r="B747" s="8">
        <f>YEAR(Sales_data[[#This Row],[Order Date]])</f>
        <v>2014</v>
      </c>
      <c r="C747" s="8">
        <f>MONTH(Sales_data[[#This Row],[Order Date]])</f>
        <v>12</v>
      </c>
      <c r="D747" s="8" t="str">
        <f>TEXT(Sales_data[[#This Row],[Order Date]],"mmm")</f>
        <v>Dec</v>
      </c>
      <c r="E747" t="s">
        <v>17</v>
      </c>
      <c r="F747" t="s">
        <v>24</v>
      </c>
      <c r="G747" t="s">
        <v>32</v>
      </c>
      <c r="H747" t="s">
        <v>35</v>
      </c>
      <c r="I747" t="s">
        <v>44</v>
      </c>
      <c r="J747" s="7">
        <v>1789.66</v>
      </c>
      <c r="K747" s="8">
        <v>3</v>
      </c>
      <c r="L747" s="7">
        <v>-75.510000000000005</v>
      </c>
    </row>
    <row r="748" spans="1:12" x14ac:dyDescent="0.2">
      <c r="A748" s="2">
        <v>42003</v>
      </c>
      <c r="B748" s="8">
        <f>YEAR(Sales_data[[#This Row],[Order Date]])</f>
        <v>2014</v>
      </c>
      <c r="C748" s="8">
        <f>MONTH(Sales_data[[#This Row],[Order Date]])</f>
        <v>12</v>
      </c>
      <c r="D748" s="8" t="str">
        <f>TEXT(Sales_data[[#This Row],[Order Date]],"mmm")</f>
        <v>Dec</v>
      </c>
      <c r="E748" t="s">
        <v>20</v>
      </c>
      <c r="F748" t="s">
        <v>30</v>
      </c>
      <c r="G748" t="s">
        <v>32</v>
      </c>
      <c r="H748" t="s">
        <v>41</v>
      </c>
      <c r="I748" t="s">
        <v>46</v>
      </c>
      <c r="J748" s="7">
        <v>844.31</v>
      </c>
      <c r="K748" s="8">
        <v>9</v>
      </c>
      <c r="L748" s="7">
        <v>17.079999999999998</v>
      </c>
    </row>
    <row r="749" spans="1:12" x14ac:dyDescent="0.2">
      <c r="A749" s="2">
        <v>42003</v>
      </c>
      <c r="B749" s="8">
        <f>YEAR(Sales_data[[#This Row],[Order Date]])</f>
        <v>2014</v>
      </c>
      <c r="C749" s="8">
        <f>MONTH(Sales_data[[#This Row],[Order Date]])</f>
        <v>12</v>
      </c>
      <c r="D749" s="8" t="str">
        <f>TEXT(Sales_data[[#This Row],[Order Date]],"mmm")</f>
        <v>Dec</v>
      </c>
      <c r="E749" t="s">
        <v>13</v>
      </c>
      <c r="F749" t="s">
        <v>23</v>
      </c>
      <c r="G749" t="s">
        <v>33</v>
      </c>
      <c r="H749" t="s">
        <v>39</v>
      </c>
      <c r="I749" t="s">
        <v>46</v>
      </c>
      <c r="J749" s="7">
        <v>26.14</v>
      </c>
      <c r="K749" s="8">
        <v>9</v>
      </c>
      <c r="L749" s="7">
        <v>-41.58</v>
      </c>
    </row>
    <row r="750" spans="1:12" x14ac:dyDescent="0.2">
      <c r="A750" s="2">
        <v>42004</v>
      </c>
      <c r="B750" s="8">
        <f>YEAR(Sales_data[[#This Row],[Order Date]])</f>
        <v>2014</v>
      </c>
      <c r="C750" s="8">
        <f>MONTH(Sales_data[[#This Row],[Order Date]])</f>
        <v>12</v>
      </c>
      <c r="D750" s="8" t="str">
        <f>TEXT(Sales_data[[#This Row],[Order Date]],"mmm")</f>
        <v>Dec</v>
      </c>
      <c r="E750" t="s">
        <v>14</v>
      </c>
      <c r="F750" t="s">
        <v>24</v>
      </c>
      <c r="G750" t="s">
        <v>34</v>
      </c>
      <c r="H750" t="s">
        <v>41</v>
      </c>
      <c r="I750" t="s">
        <v>45</v>
      </c>
      <c r="J750" s="7">
        <v>1895.99</v>
      </c>
      <c r="K750" s="8">
        <v>8</v>
      </c>
      <c r="L750" s="7">
        <v>122.25</v>
      </c>
    </row>
    <row r="751" spans="1:12" x14ac:dyDescent="0.2">
      <c r="A751" s="2">
        <v>42004</v>
      </c>
      <c r="B751" s="8">
        <f>YEAR(Sales_data[[#This Row],[Order Date]])</f>
        <v>2014</v>
      </c>
      <c r="C751" s="8">
        <f>MONTH(Sales_data[[#This Row],[Order Date]])</f>
        <v>12</v>
      </c>
      <c r="D751" s="8" t="str">
        <f>TEXT(Sales_data[[#This Row],[Order Date]],"mmm")</f>
        <v>Dec</v>
      </c>
      <c r="E751" t="s">
        <v>21</v>
      </c>
      <c r="F751" t="s">
        <v>25</v>
      </c>
      <c r="G751" t="s">
        <v>33</v>
      </c>
      <c r="H751" t="s">
        <v>38</v>
      </c>
      <c r="I751" t="s">
        <v>53</v>
      </c>
      <c r="J751" s="7">
        <v>652.14</v>
      </c>
      <c r="K751" s="8">
        <v>2</v>
      </c>
      <c r="L751" s="7">
        <v>115.04</v>
      </c>
    </row>
    <row r="752" spans="1:12" x14ac:dyDescent="0.2">
      <c r="A752" s="2">
        <v>42005</v>
      </c>
      <c r="B752" s="8">
        <f>YEAR(Sales_data[[#This Row],[Order Date]])</f>
        <v>2015</v>
      </c>
      <c r="C752" s="8">
        <f>MONTH(Sales_data[[#This Row],[Order Date]])</f>
        <v>1</v>
      </c>
      <c r="D752" s="8" t="str">
        <f>TEXT(Sales_data[[#This Row],[Order Date]],"mmm")</f>
        <v>Jan</v>
      </c>
      <c r="E752" t="s">
        <v>19</v>
      </c>
      <c r="F752" t="s">
        <v>28</v>
      </c>
      <c r="G752" t="s">
        <v>34</v>
      </c>
      <c r="H752" t="s">
        <v>37</v>
      </c>
      <c r="I752" t="s">
        <v>50</v>
      </c>
      <c r="J752" s="7">
        <v>738.84</v>
      </c>
      <c r="K752" s="8">
        <v>3</v>
      </c>
      <c r="L752" s="7">
        <v>253.61</v>
      </c>
    </row>
    <row r="753" spans="1:12" x14ac:dyDescent="0.2">
      <c r="A753" s="2">
        <v>42006</v>
      </c>
      <c r="B753" s="8">
        <f>YEAR(Sales_data[[#This Row],[Order Date]])</f>
        <v>2015</v>
      </c>
      <c r="C753" s="8">
        <f>MONTH(Sales_data[[#This Row],[Order Date]])</f>
        <v>1</v>
      </c>
      <c r="D753" s="8" t="str">
        <f>TEXT(Sales_data[[#This Row],[Order Date]],"mmm")</f>
        <v>Jan</v>
      </c>
      <c r="E753" t="s">
        <v>11</v>
      </c>
      <c r="F753" t="s">
        <v>31</v>
      </c>
      <c r="G753" t="s">
        <v>32</v>
      </c>
      <c r="H753" t="s">
        <v>43</v>
      </c>
      <c r="I753" t="s">
        <v>45</v>
      </c>
      <c r="J753" s="7">
        <v>132.4</v>
      </c>
      <c r="K753" s="8">
        <v>4</v>
      </c>
      <c r="L753" s="7">
        <v>336.12</v>
      </c>
    </row>
    <row r="754" spans="1:12" x14ac:dyDescent="0.2">
      <c r="A754" s="2">
        <v>42006</v>
      </c>
      <c r="B754" s="8">
        <f>YEAR(Sales_data[[#This Row],[Order Date]])</f>
        <v>2015</v>
      </c>
      <c r="C754" s="8">
        <f>MONTH(Sales_data[[#This Row],[Order Date]])</f>
        <v>1</v>
      </c>
      <c r="D754" s="8" t="str">
        <f>TEXT(Sales_data[[#This Row],[Order Date]],"mmm")</f>
        <v>Jan</v>
      </c>
      <c r="E754" t="s">
        <v>15</v>
      </c>
      <c r="F754" t="s">
        <v>24</v>
      </c>
      <c r="G754" t="s">
        <v>32</v>
      </c>
      <c r="H754" t="s">
        <v>41</v>
      </c>
      <c r="I754" t="s">
        <v>50</v>
      </c>
      <c r="J754" s="7">
        <v>1888.14</v>
      </c>
      <c r="K754" s="8">
        <v>5</v>
      </c>
      <c r="L754" s="7">
        <v>-22.83</v>
      </c>
    </row>
    <row r="755" spans="1:12" x14ac:dyDescent="0.2">
      <c r="A755" s="2">
        <v>42007</v>
      </c>
      <c r="B755" s="8">
        <f>YEAR(Sales_data[[#This Row],[Order Date]])</f>
        <v>2015</v>
      </c>
      <c r="C755" s="8">
        <f>MONTH(Sales_data[[#This Row],[Order Date]])</f>
        <v>1</v>
      </c>
      <c r="D755" s="8" t="str">
        <f>TEXT(Sales_data[[#This Row],[Order Date]],"mmm")</f>
        <v>Jan</v>
      </c>
      <c r="E755" t="s">
        <v>18</v>
      </c>
      <c r="F755" t="s">
        <v>26</v>
      </c>
      <c r="G755" t="s">
        <v>33</v>
      </c>
      <c r="H755" t="s">
        <v>38</v>
      </c>
      <c r="I755" t="s">
        <v>44</v>
      </c>
      <c r="J755" s="7">
        <v>482.66</v>
      </c>
      <c r="K755" s="8">
        <v>2</v>
      </c>
      <c r="L755" s="7">
        <v>-60.98</v>
      </c>
    </row>
    <row r="756" spans="1:12" x14ac:dyDescent="0.2">
      <c r="A756" s="2">
        <v>42009</v>
      </c>
      <c r="B756" s="8">
        <f>YEAR(Sales_data[[#This Row],[Order Date]])</f>
        <v>2015</v>
      </c>
      <c r="C756" s="8">
        <f>MONTH(Sales_data[[#This Row],[Order Date]])</f>
        <v>1</v>
      </c>
      <c r="D756" s="8" t="str">
        <f>TEXT(Sales_data[[#This Row],[Order Date]],"mmm")</f>
        <v>Jan</v>
      </c>
      <c r="E756" t="s">
        <v>11</v>
      </c>
      <c r="F756" t="s">
        <v>25</v>
      </c>
      <c r="G756" t="s">
        <v>34</v>
      </c>
      <c r="H756" t="s">
        <v>43</v>
      </c>
      <c r="I756" t="s">
        <v>47</v>
      </c>
      <c r="J756" s="7">
        <v>323.18</v>
      </c>
      <c r="K756" s="8">
        <v>2</v>
      </c>
      <c r="L756" s="7">
        <v>235.51</v>
      </c>
    </row>
    <row r="757" spans="1:12" x14ac:dyDescent="0.2">
      <c r="A757" s="2">
        <v>42009</v>
      </c>
      <c r="B757" s="8">
        <f>YEAR(Sales_data[[#This Row],[Order Date]])</f>
        <v>2015</v>
      </c>
      <c r="C757" s="8">
        <f>MONTH(Sales_data[[#This Row],[Order Date]])</f>
        <v>1</v>
      </c>
      <c r="D757" s="8" t="str">
        <f>TEXT(Sales_data[[#This Row],[Order Date]],"mmm")</f>
        <v>Jan</v>
      </c>
      <c r="E757" t="s">
        <v>11</v>
      </c>
      <c r="F757" t="s">
        <v>22</v>
      </c>
      <c r="G757" t="s">
        <v>33</v>
      </c>
      <c r="H757" t="s">
        <v>38</v>
      </c>
      <c r="I757" t="s">
        <v>53</v>
      </c>
      <c r="J757" s="7">
        <v>186.38</v>
      </c>
      <c r="K757" s="8">
        <v>3</v>
      </c>
      <c r="L757" s="7">
        <v>156.36000000000001</v>
      </c>
    </row>
    <row r="758" spans="1:12" x14ac:dyDescent="0.2">
      <c r="A758" s="2">
        <v>42010</v>
      </c>
      <c r="B758" s="8">
        <f>YEAR(Sales_data[[#This Row],[Order Date]])</f>
        <v>2015</v>
      </c>
      <c r="C758" s="8">
        <f>MONTH(Sales_data[[#This Row],[Order Date]])</f>
        <v>1</v>
      </c>
      <c r="D758" s="8" t="str">
        <f>TEXT(Sales_data[[#This Row],[Order Date]],"mmm")</f>
        <v>Jan</v>
      </c>
      <c r="E758" t="s">
        <v>12</v>
      </c>
      <c r="F758" t="s">
        <v>24</v>
      </c>
      <c r="G758" t="s">
        <v>32</v>
      </c>
      <c r="H758" t="s">
        <v>39</v>
      </c>
      <c r="I758" t="s">
        <v>47</v>
      </c>
      <c r="J758" s="7">
        <v>1294.0999999999999</v>
      </c>
      <c r="K758" s="8">
        <v>7</v>
      </c>
      <c r="L758" s="7">
        <v>-124.33</v>
      </c>
    </row>
    <row r="759" spans="1:12" x14ac:dyDescent="0.2">
      <c r="A759" s="2">
        <v>42010</v>
      </c>
      <c r="B759" s="8">
        <f>YEAR(Sales_data[[#This Row],[Order Date]])</f>
        <v>2015</v>
      </c>
      <c r="C759" s="8">
        <f>MONTH(Sales_data[[#This Row],[Order Date]])</f>
        <v>1</v>
      </c>
      <c r="D759" s="8" t="str">
        <f>TEXT(Sales_data[[#This Row],[Order Date]],"mmm")</f>
        <v>Jan</v>
      </c>
      <c r="E759" t="s">
        <v>21</v>
      </c>
      <c r="F759" t="s">
        <v>31</v>
      </c>
      <c r="G759" t="s">
        <v>34</v>
      </c>
      <c r="H759" t="s">
        <v>37</v>
      </c>
      <c r="I759" t="s">
        <v>48</v>
      </c>
      <c r="J759" s="7">
        <v>66.98</v>
      </c>
      <c r="K759" s="8">
        <v>8</v>
      </c>
      <c r="L759" s="7">
        <v>234.5</v>
      </c>
    </row>
    <row r="760" spans="1:12" x14ac:dyDescent="0.2">
      <c r="A760" s="2">
        <v>42012</v>
      </c>
      <c r="B760" s="8">
        <f>YEAR(Sales_data[[#This Row],[Order Date]])</f>
        <v>2015</v>
      </c>
      <c r="C760" s="8">
        <f>MONTH(Sales_data[[#This Row],[Order Date]])</f>
        <v>1</v>
      </c>
      <c r="D760" s="8" t="str">
        <f>TEXT(Sales_data[[#This Row],[Order Date]],"mmm")</f>
        <v>Jan</v>
      </c>
      <c r="E760" t="s">
        <v>15</v>
      </c>
      <c r="F760" t="s">
        <v>31</v>
      </c>
      <c r="G760" t="s">
        <v>34</v>
      </c>
      <c r="H760" t="s">
        <v>39</v>
      </c>
      <c r="I760" t="s">
        <v>52</v>
      </c>
      <c r="J760" s="7">
        <v>1934.75</v>
      </c>
      <c r="K760" s="8">
        <v>8</v>
      </c>
      <c r="L760" s="7">
        <v>96.33</v>
      </c>
    </row>
    <row r="761" spans="1:12" x14ac:dyDescent="0.2">
      <c r="A761" s="2">
        <v>42012</v>
      </c>
      <c r="B761" s="8">
        <f>YEAR(Sales_data[[#This Row],[Order Date]])</f>
        <v>2015</v>
      </c>
      <c r="C761" s="8">
        <f>MONTH(Sales_data[[#This Row],[Order Date]])</f>
        <v>1</v>
      </c>
      <c r="D761" s="8" t="str">
        <f>TEXT(Sales_data[[#This Row],[Order Date]],"mmm")</f>
        <v>Jan</v>
      </c>
      <c r="E761" t="s">
        <v>13</v>
      </c>
      <c r="F761" t="s">
        <v>23</v>
      </c>
      <c r="G761" t="s">
        <v>32</v>
      </c>
      <c r="H761" t="s">
        <v>39</v>
      </c>
      <c r="I761" t="s">
        <v>47</v>
      </c>
      <c r="J761" s="7">
        <v>1751.32</v>
      </c>
      <c r="K761" s="8">
        <v>5</v>
      </c>
      <c r="L761" s="7">
        <v>34.979999999999997</v>
      </c>
    </row>
    <row r="762" spans="1:12" x14ac:dyDescent="0.2">
      <c r="A762" s="2">
        <v>42013</v>
      </c>
      <c r="B762" s="8">
        <f>YEAR(Sales_data[[#This Row],[Order Date]])</f>
        <v>2015</v>
      </c>
      <c r="C762" s="8">
        <f>MONTH(Sales_data[[#This Row],[Order Date]])</f>
        <v>1</v>
      </c>
      <c r="D762" s="8" t="str">
        <f>TEXT(Sales_data[[#This Row],[Order Date]],"mmm")</f>
        <v>Jan</v>
      </c>
      <c r="E762" t="s">
        <v>12</v>
      </c>
      <c r="F762" t="s">
        <v>26</v>
      </c>
      <c r="G762" t="s">
        <v>32</v>
      </c>
      <c r="H762" t="s">
        <v>39</v>
      </c>
      <c r="I762" t="s">
        <v>48</v>
      </c>
      <c r="J762" s="7">
        <v>391.63</v>
      </c>
      <c r="K762" s="8">
        <v>3</v>
      </c>
      <c r="L762" s="7">
        <v>-42.07</v>
      </c>
    </row>
    <row r="763" spans="1:12" x14ac:dyDescent="0.2">
      <c r="A763" s="2">
        <v>42013</v>
      </c>
      <c r="B763" s="8">
        <f>YEAR(Sales_data[[#This Row],[Order Date]])</f>
        <v>2015</v>
      </c>
      <c r="C763" s="8">
        <f>MONTH(Sales_data[[#This Row],[Order Date]])</f>
        <v>1</v>
      </c>
      <c r="D763" s="8" t="str">
        <f>TEXT(Sales_data[[#This Row],[Order Date]],"mmm")</f>
        <v>Jan</v>
      </c>
      <c r="E763" t="s">
        <v>10</v>
      </c>
      <c r="F763" t="s">
        <v>23</v>
      </c>
      <c r="G763" t="s">
        <v>32</v>
      </c>
      <c r="H763" t="s">
        <v>42</v>
      </c>
      <c r="I763" t="s">
        <v>44</v>
      </c>
      <c r="J763" s="7">
        <v>712.48</v>
      </c>
      <c r="K763" s="8">
        <v>2</v>
      </c>
      <c r="L763" s="7">
        <v>53.97</v>
      </c>
    </row>
    <row r="764" spans="1:12" x14ac:dyDescent="0.2">
      <c r="A764" s="2">
        <v>42013</v>
      </c>
      <c r="B764" s="8">
        <f>YEAR(Sales_data[[#This Row],[Order Date]])</f>
        <v>2015</v>
      </c>
      <c r="C764" s="8">
        <f>MONTH(Sales_data[[#This Row],[Order Date]])</f>
        <v>1</v>
      </c>
      <c r="D764" s="8" t="str">
        <f>TEXT(Sales_data[[#This Row],[Order Date]],"mmm")</f>
        <v>Jan</v>
      </c>
      <c r="E764" t="s">
        <v>15</v>
      </c>
      <c r="F764" t="s">
        <v>31</v>
      </c>
      <c r="G764" t="s">
        <v>32</v>
      </c>
      <c r="H764" t="s">
        <v>41</v>
      </c>
      <c r="I764" t="s">
        <v>51</v>
      </c>
      <c r="J764" s="7">
        <v>326.97000000000003</v>
      </c>
      <c r="K764" s="8">
        <v>1</v>
      </c>
      <c r="L764" s="7">
        <v>138.27000000000001</v>
      </c>
    </row>
    <row r="765" spans="1:12" x14ac:dyDescent="0.2">
      <c r="A765" s="2">
        <v>42014</v>
      </c>
      <c r="B765" s="8">
        <f>YEAR(Sales_data[[#This Row],[Order Date]])</f>
        <v>2015</v>
      </c>
      <c r="C765" s="8">
        <f>MONTH(Sales_data[[#This Row],[Order Date]])</f>
        <v>1</v>
      </c>
      <c r="D765" s="8" t="str">
        <f>TEXT(Sales_data[[#This Row],[Order Date]],"mmm")</f>
        <v>Jan</v>
      </c>
      <c r="E765" t="s">
        <v>14</v>
      </c>
      <c r="F765" t="s">
        <v>24</v>
      </c>
      <c r="G765" t="s">
        <v>33</v>
      </c>
      <c r="H765" t="s">
        <v>35</v>
      </c>
      <c r="I765" t="s">
        <v>52</v>
      </c>
      <c r="J765" s="7">
        <v>681.1</v>
      </c>
      <c r="K765" s="8">
        <v>7</v>
      </c>
      <c r="L765" s="7">
        <v>352.75</v>
      </c>
    </row>
    <row r="766" spans="1:12" x14ac:dyDescent="0.2">
      <c r="A766" s="2">
        <v>42015</v>
      </c>
      <c r="B766" s="8">
        <f>YEAR(Sales_data[[#This Row],[Order Date]])</f>
        <v>2015</v>
      </c>
      <c r="C766" s="8">
        <f>MONTH(Sales_data[[#This Row],[Order Date]])</f>
        <v>1</v>
      </c>
      <c r="D766" s="8" t="str">
        <f>TEXT(Sales_data[[#This Row],[Order Date]],"mmm")</f>
        <v>Jan</v>
      </c>
      <c r="E766" t="s">
        <v>10</v>
      </c>
      <c r="F766" t="s">
        <v>26</v>
      </c>
      <c r="G766" t="s">
        <v>32</v>
      </c>
      <c r="H766" t="s">
        <v>36</v>
      </c>
      <c r="I766" t="s">
        <v>48</v>
      </c>
      <c r="J766" s="7">
        <v>1471.63</v>
      </c>
      <c r="K766" s="8">
        <v>5</v>
      </c>
      <c r="L766" s="7">
        <v>-179.67</v>
      </c>
    </row>
    <row r="767" spans="1:12" x14ac:dyDescent="0.2">
      <c r="A767" s="2">
        <v>42017</v>
      </c>
      <c r="B767" s="8">
        <f>YEAR(Sales_data[[#This Row],[Order Date]])</f>
        <v>2015</v>
      </c>
      <c r="C767" s="8">
        <f>MONTH(Sales_data[[#This Row],[Order Date]])</f>
        <v>1</v>
      </c>
      <c r="D767" s="8" t="str">
        <f>TEXT(Sales_data[[#This Row],[Order Date]],"mmm")</f>
        <v>Jan</v>
      </c>
      <c r="E767" t="s">
        <v>13</v>
      </c>
      <c r="F767" t="s">
        <v>27</v>
      </c>
      <c r="G767" t="s">
        <v>32</v>
      </c>
      <c r="H767" t="s">
        <v>42</v>
      </c>
      <c r="I767" t="s">
        <v>48</v>
      </c>
      <c r="J767" s="7">
        <v>1723.41</v>
      </c>
      <c r="K767" s="8">
        <v>1</v>
      </c>
      <c r="L767" s="7">
        <v>-142.05000000000001</v>
      </c>
    </row>
    <row r="768" spans="1:12" x14ac:dyDescent="0.2">
      <c r="A768" s="2">
        <v>42018</v>
      </c>
      <c r="B768" s="8">
        <f>YEAR(Sales_data[[#This Row],[Order Date]])</f>
        <v>2015</v>
      </c>
      <c r="C768" s="8">
        <f>MONTH(Sales_data[[#This Row],[Order Date]])</f>
        <v>1</v>
      </c>
      <c r="D768" s="8" t="str">
        <f>TEXT(Sales_data[[#This Row],[Order Date]],"mmm")</f>
        <v>Jan</v>
      </c>
      <c r="E768" t="s">
        <v>20</v>
      </c>
      <c r="F768" t="s">
        <v>24</v>
      </c>
      <c r="G768" t="s">
        <v>33</v>
      </c>
      <c r="H768" t="s">
        <v>35</v>
      </c>
      <c r="I768" t="s">
        <v>44</v>
      </c>
      <c r="J768" s="7">
        <v>399.38</v>
      </c>
      <c r="K768" s="8">
        <v>4</v>
      </c>
      <c r="L768" s="7">
        <v>366.93</v>
      </c>
    </row>
    <row r="769" spans="1:12" x14ac:dyDescent="0.2">
      <c r="A769" s="2">
        <v>42020</v>
      </c>
      <c r="B769" s="8">
        <f>YEAR(Sales_data[[#This Row],[Order Date]])</f>
        <v>2015</v>
      </c>
      <c r="C769" s="8">
        <f>MONTH(Sales_data[[#This Row],[Order Date]])</f>
        <v>1</v>
      </c>
      <c r="D769" s="8" t="str">
        <f>TEXT(Sales_data[[#This Row],[Order Date]],"mmm")</f>
        <v>Jan</v>
      </c>
      <c r="E769" t="s">
        <v>18</v>
      </c>
      <c r="F769" t="s">
        <v>30</v>
      </c>
      <c r="G769" t="s">
        <v>34</v>
      </c>
      <c r="H769" t="s">
        <v>39</v>
      </c>
      <c r="I769" t="s">
        <v>53</v>
      </c>
      <c r="J769" s="7">
        <v>973.24</v>
      </c>
      <c r="K769" s="8">
        <v>2</v>
      </c>
      <c r="L769" s="7">
        <v>79.17</v>
      </c>
    </row>
    <row r="770" spans="1:12" x14ac:dyDescent="0.2">
      <c r="A770" s="2">
        <v>42022</v>
      </c>
      <c r="B770" s="8">
        <f>YEAR(Sales_data[[#This Row],[Order Date]])</f>
        <v>2015</v>
      </c>
      <c r="C770" s="8">
        <f>MONTH(Sales_data[[#This Row],[Order Date]])</f>
        <v>1</v>
      </c>
      <c r="D770" s="8" t="str">
        <f>TEXT(Sales_data[[#This Row],[Order Date]],"mmm")</f>
        <v>Jan</v>
      </c>
      <c r="E770" t="s">
        <v>18</v>
      </c>
      <c r="F770" t="s">
        <v>23</v>
      </c>
      <c r="G770" t="s">
        <v>33</v>
      </c>
      <c r="H770" t="s">
        <v>35</v>
      </c>
      <c r="I770" t="s">
        <v>48</v>
      </c>
      <c r="J770" s="7">
        <v>1055.6099999999999</v>
      </c>
      <c r="K770" s="8">
        <v>2</v>
      </c>
      <c r="L770" s="7">
        <v>72.95</v>
      </c>
    </row>
    <row r="771" spans="1:12" x14ac:dyDescent="0.2">
      <c r="A771" s="2">
        <v>42022</v>
      </c>
      <c r="B771" s="8">
        <f>YEAR(Sales_data[[#This Row],[Order Date]])</f>
        <v>2015</v>
      </c>
      <c r="C771" s="8">
        <f>MONTH(Sales_data[[#This Row],[Order Date]])</f>
        <v>1</v>
      </c>
      <c r="D771" s="8" t="str">
        <f>TEXT(Sales_data[[#This Row],[Order Date]],"mmm")</f>
        <v>Jan</v>
      </c>
      <c r="E771" t="s">
        <v>9</v>
      </c>
      <c r="F771" t="s">
        <v>29</v>
      </c>
      <c r="G771" t="s">
        <v>34</v>
      </c>
      <c r="H771" t="s">
        <v>39</v>
      </c>
      <c r="I771" t="s">
        <v>53</v>
      </c>
      <c r="J771" s="7">
        <v>120.91</v>
      </c>
      <c r="K771" s="8">
        <v>4</v>
      </c>
      <c r="L771" s="7">
        <v>120.09</v>
      </c>
    </row>
    <row r="772" spans="1:12" x14ac:dyDescent="0.2">
      <c r="A772" s="2">
        <v>42022</v>
      </c>
      <c r="B772" s="8">
        <f>YEAR(Sales_data[[#This Row],[Order Date]])</f>
        <v>2015</v>
      </c>
      <c r="C772" s="8">
        <f>MONTH(Sales_data[[#This Row],[Order Date]])</f>
        <v>1</v>
      </c>
      <c r="D772" s="8" t="str">
        <f>TEXT(Sales_data[[#This Row],[Order Date]],"mmm")</f>
        <v>Jan</v>
      </c>
      <c r="E772" t="s">
        <v>13</v>
      </c>
      <c r="F772" t="s">
        <v>30</v>
      </c>
      <c r="G772" t="s">
        <v>34</v>
      </c>
      <c r="H772" t="s">
        <v>38</v>
      </c>
      <c r="I772" t="s">
        <v>45</v>
      </c>
      <c r="J772" s="7">
        <v>1857.76</v>
      </c>
      <c r="K772" s="8">
        <v>5</v>
      </c>
      <c r="L772" s="7">
        <v>197.83</v>
      </c>
    </row>
    <row r="773" spans="1:12" x14ac:dyDescent="0.2">
      <c r="A773" s="2">
        <v>42023</v>
      </c>
      <c r="B773" s="8">
        <f>YEAR(Sales_data[[#This Row],[Order Date]])</f>
        <v>2015</v>
      </c>
      <c r="C773" s="8">
        <f>MONTH(Sales_data[[#This Row],[Order Date]])</f>
        <v>1</v>
      </c>
      <c r="D773" s="8" t="str">
        <f>TEXT(Sales_data[[#This Row],[Order Date]],"mmm")</f>
        <v>Jan</v>
      </c>
      <c r="E773" t="s">
        <v>9</v>
      </c>
      <c r="F773" t="s">
        <v>28</v>
      </c>
      <c r="G773" t="s">
        <v>32</v>
      </c>
      <c r="H773" t="s">
        <v>43</v>
      </c>
      <c r="I773" t="s">
        <v>46</v>
      </c>
      <c r="J773" s="7">
        <v>276.61</v>
      </c>
      <c r="K773" s="8">
        <v>2</v>
      </c>
      <c r="L773" s="7">
        <v>-142.61000000000001</v>
      </c>
    </row>
    <row r="774" spans="1:12" x14ac:dyDescent="0.2">
      <c r="A774" s="2">
        <v>42024</v>
      </c>
      <c r="B774" s="8">
        <f>YEAR(Sales_data[[#This Row],[Order Date]])</f>
        <v>2015</v>
      </c>
      <c r="C774" s="8">
        <f>MONTH(Sales_data[[#This Row],[Order Date]])</f>
        <v>1</v>
      </c>
      <c r="D774" s="8" t="str">
        <f>TEXT(Sales_data[[#This Row],[Order Date]],"mmm")</f>
        <v>Jan</v>
      </c>
      <c r="E774" t="s">
        <v>14</v>
      </c>
      <c r="F774" t="s">
        <v>22</v>
      </c>
      <c r="G774" t="s">
        <v>33</v>
      </c>
      <c r="H774" t="s">
        <v>41</v>
      </c>
      <c r="I774" t="s">
        <v>47</v>
      </c>
      <c r="J774" s="7">
        <v>1528.94</v>
      </c>
      <c r="K774" s="8">
        <v>4</v>
      </c>
      <c r="L774" s="7">
        <v>113.77</v>
      </c>
    </row>
    <row r="775" spans="1:12" x14ac:dyDescent="0.2">
      <c r="A775" s="2">
        <v>42024</v>
      </c>
      <c r="B775" s="8">
        <f>YEAR(Sales_data[[#This Row],[Order Date]])</f>
        <v>2015</v>
      </c>
      <c r="C775" s="8">
        <f>MONTH(Sales_data[[#This Row],[Order Date]])</f>
        <v>1</v>
      </c>
      <c r="D775" s="8" t="str">
        <f>TEXT(Sales_data[[#This Row],[Order Date]],"mmm")</f>
        <v>Jan</v>
      </c>
      <c r="E775" t="s">
        <v>16</v>
      </c>
      <c r="F775" t="s">
        <v>23</v>
      </c>
      <c r="G775" t="s">
        <v>32</v>
      </c>
      <c r="H775" t="s">
        <v>35</v>
      </c>
      <c r="I775" t="s">
        <v>53</v>
      </c>
      <c r="J775" s="7">
        <v>511.19</v>
      </c>
      <c r="K775" s="8">
        <v>7</v>
      </c>
      <c r="L775" s="7">
        <v>193.34</v>
      </c>
    </row>
    <row r="776" spans="1:12" x14ac:dyDescent="0.2">
      <c r="A776" s="2">
        <v>42025</v>
      </c>
      <c r="B776" s="8">
        <f>YEAR(Sales_data[[#This Row],[Order Date]])</f>
        <v>2015</v>
      </c>
      <c r="C776" s="8">
        <f>MONTH(Sales_data[[#This Row],[Order Date]])</f>
        <v>1</v>
      </c>
      <c r="D776" s="8" t="str">
        <f>TEXT(Sales_data[[#This Row],[Order Date]],"mmm")</f>
        <v>Jan</v>
      </c>
      <c r="E776" t="s">
        <v>9</v>
      </c>
      <c r="F776" t="s">
        <v>30</v>
      </c>
      <c r="G776" t="s">
        <v>33</v>
      </c>
      <c r="H776" t="s">
        <v>41</v>
      </c>
      <c r="I776" t="s">
        <v>50</v>
      </c>
      <c r="J776" s="7">
        <v>98.69</v>
      </c>
      <c r="K776" s="8">
        <v>4</v>
      </c>
      <c r="L776" s="7">
        <v>190.06</v>
      </c>
    </row>
    <row r="777" spans="1:12" x14ac:dyDescent="0.2">
      <c r="A777" s="2">
        <v>42025</v>
      </c>
      <c r="B777" s="8">
        <f>YEAR(Sales_data[[#This Row],[Order Date]])</f>
        <v>2015</v>
      </c>
      <c r="C777" s="8">
        <f>MONTH(Sales_data[[#This Row],[Order Date]])</f>
        <v>1</v>
      </c>
      <c r="D777" s="8" t="str">
        <f>TEXT(Sales_data[[#This Row],[Order Date]],"mmm")</f>
        <v>Jan</v>
      </c>
      <c r="E777" t="s">
        <v>10</v>
      </c>
      <c r="F777" t="s">
        <v>22</v>
      </c>
      <c r="G777" t="s">
        <v>34</v>
      </c>
      <c r="H777" t="s">
        <v>38</v>
      </c>
      <c r="I777" t="s">
        <v>52</v>
      </c>
      <c r="J777" s="7">
        <v>173.64</v>
      </c>
      <c r="K777" s="8">
        <v>2</v>
      </c>
      <c r="L777" s="7">
        <v>397.34</v>
      </c>
    </row>
    <row r="778" spans="1:12" x14ac:dyDescent="0.2">
      <c r="A778" s="2">
        <v>42026</v>
      </c>
      <c r="B778" s="8">
        <f>YEAR(Sales_data[[#This Row],[Order Date]])</f>
        <v>2015</v>
      </c>
      <c r="C778" s="8">
        <f>MONTH(Sales_data[[#This Row],[Order Date]])</f>
        <v>1</v>
      </c>
      <c r="D778" s="8" t="str">
        <f>TEXT(Sales_data[[#This Row],[Order Date]],"mmm")</f>
        <v>Jan</v>
      </c>
      <c r="E778" t="s">
        <v>14</v>
      </c>
      <c r="F778" t="s">
        <v>24</v>
      </c>
      <c r="G778" t="s">
        <v>33</v>
      </c>
      <c r="H778" t="s">
        <v>43</v>
      </c>
      <c r="I778" t="s">
        <v>45</v>
      </c>
      <c r="J778" s="7">
        <v>864.91</v>
      </c>
      <c r="K778" s="8">
        <v>6</v>
      </c>
      <c r="L778" s="7">
        <v>240.49</v>
      </c>
    </row>
    <row r="779" spans="1:12" x14ac:dyDescent="0.2">
      <c r="A779" s="2">
        <v>42026</v>
      </c>
      <c r="B779" s="8">
        <f>YEAR(Sales_data[[#This Row],[Order Date]])</f>
        <v>2015</v>
      </c>
      <c r="C779" s="8">
        <f>MONTH(Sales_data[[#This Row],[Order Date]])</f>
        <v>1</v>
      </c>
      <c r="D779" s="8" t="str">
        <f>TEXT(Sales_data[[#This Row],[Order Date]],"mmm")</f>
        <v>Jan</v>
      </c>
      <c r="E779" t="s">
        <v>19</v>
      </c>
      <c r="F779" t="s">
        <v>27</v>
      </c>
      <c r="G779" t="s">
        <v>34</v>
      </c>
      <c r="H779" t="s">
        <v>43</v>
      </c>
      <c r="I779" t="s">
        <v>47</v>
      </c>
      <c r="J779" s="7">
        <v>1610.36</v>
      </c>
      <c r="K779" s="8">
        <v>1</v>
      </c>
      <c r="L779" s="7">
        <v>-81.38</v>
      </c>
    </row>
    <row r="780" spans="1:12" x14ac:dyDescent="0.2">
      <c r="A780" s="2">
        <v>42027</v>
      </c>
      <c r="B780" s="8">
        <f>YEAR(Sales_data[[#This Row],[Order Date]])</f>
        <v>2015</v>
      </c>
      <c r="C780" s="8">
        <f>MONTH(Sales_data[[#This Row],[Order Date]])</f>
        <v>1</v>
      </c>
      <c r="D780" s="8" t="str">
        <f>TEXT(Sales_data[[#This Row],[Order Date]],"mmm")</f>
        <v>Jan</v>
      </c>
      <c r="E780" t="s">
        <v>19</v>
      </c>
      <c r="F780" t="s">
        <v>26</v>
      </c>
      <c r="G780" t="s">
        <v>32</v>
      </c>
      <c r="H780" t="s">
        <v>35</v>
      </c>
      <c r="I780" t="s">
        <v>51</v>
      </c>
      <c r="J780" s="7">
        <v>742.94</v>
      </c>
      <c r="K780" s="8">
        <v>7</v>
      </c>
      <c r="L780" s="7">
        <v>-129.88</v>
      </c>
    </row>
    <row r="781" spans="1:12" x14ac:dyDescent="0.2">
      <c r="A781" s="2">
        <v>42028</v>
      </c>
      <c r="B781" s="8">
        <f>YEAR(Sales_data[[#This Row],[Order Date]])</f>
        <v>2015</v>
      </c>
      <c r="C781" s="8">
        <f>MONTH(Sales_data[[#This Row],[Order Date]])</f>
        <v>1</v>
      </c>
      <c r="D781" s="8" t="str">
        <f>TEXT(Sales_data[[#This Row],[Order Date]],"mmm")</f>
        <v>Jan</v>
      </c>
      <c r="E781" t="s">
        <v>13</v>
      </c>
      <c r="F781" t="s">
        <v>24</v>
      </c>
      <c r="G781" t="s">
        <v>32</v>
      </c>
      <c r="H781" t="s">
        <v>43</v>
      </c>
      <c r="I781" t="s">
        <v>51</v>
      </c>
      <c r="J781" s="7">
        <v>1351.26</v>
      </c>
      <c r="K781" s="8">
        <v>4</v>
      </c>
      <c r="L781" s="7">
        <v>259.73</v>
      </c>
    </row>
    <row r="782" spans="1:12" x14ac:dyDescent="0.2">
      <c r="A782" s="2">
        <v>42028</v>
      </c>
      <c r="B782" s="8">
        <f>YEAR(Sales_data[[#This Row],[Order Date]])</f>
        <v>2015</v>
      </c>
      <c r="C782" s="8">
        <f>MONTH(Sales_data[[#This Row],[Order Date]])</f>
        <v>1</v>
      </c>
      <c r="D782" s="8" t="str">
        <f>TEXT(Sales_data[[#This Row],[Order Date]],"mmm")</f>
        <v>Jan</v>
      </c>
      <c r="E782" t="s">
        <v>13</v>
      </c>
      <c r="F782" t="s">
        <v>23</v>
      </c>
      <c r="G782" t="s">
        <v>32</v>
      </c>
      <c r="H782" t="s">
        <v>35</v>
      </c>
      <c r="I782" t="s">
        <v>45</v>
      </c>
      <c r="J782" s="7">
        <v>995.68</v>
      </c>
      <c r="K782" s="8">
        <v>9</v>
      </c>
      <c r="L782" s="7">
        <v>-122.75</v>
      </c>
    </row>
    <row r="783" spans="1:12" x14ac:dyDescent="0.2">
      <c r="A783" s="2">
        <v>42029</v>
      </c>
      <c r="B783" s="8">
        <f>YEAR(Sales_data[[#This Row],[Order Date]])</f>
        <v>2015</v>
      </c>
      <c r="C783" s="8">
        <f>MONTH(Sales_data[[#This Row],[Order Date]])</f>
        <v>1</v>
      </c>
      <c r="D783" s="8" t="str">
        <f>TEXT(Sales_data[[#This Row],[Order Date]],"mmm")</f>
        <v>Jan</v>
      </c>
      <c r="E783" t="s">
        <v>16</v>
      </c>
      <c r="F783" t="s">
        <v>27</v>
      </c>
      <c r="G783" t="s">
        <v>33</v>
      </c>
      <c r="H783" t="s">
        <v>40</v>
      </c>
      <c r="I783" t="s">
        <v>48</v>
      </c>
      <c r="J783" s="7">
        <v>1012.12</v>
      </c>
      <c r="K783" s="8">
        <v>8</v>
      </c>
      <c r="L783" s="7">
        <v>290.08999999999997</v>
      </c>
    </row>
    <row r="784" spans="1:12" x14ac:dyDescent="0.2">
      <c r="A784" s="2">
        <v>42032</v>
      </c>
      <c r="B784" s="8">
        <f>YEAR(Sales_data[[#This Row],[Order Date]])</f>
        <v>2015</v>
      </c>
      <c r="C784" s="8">
        <f>MONTH(Sales_data[[#This Row],[Order Date]])</f>
        <v>1</v>
      </c>
      <c r="D784" s="8" t="str">
        <f>TEXT(Sales_data[[#This Row],[Order Date]],"mmm")</f>
        <v>Jan</v>
      </c>
      <c r="E784" t="s">
        <v>11</v>
      </c>
      <c r="F784" t="s">
        <v>31</v>
      </c>
      <c r="G784" t="s">
        <v>33</v>
      </c>
      <c r="H784" t="s">
        <v>36</v>
      </c>
      <c r="I784" t="s">
        <v>47</v>
      </c>
      <c r="J784" s="7">
        <v>1589.5</v>
      </c>
      <c r="K784" s="8">
        <v>9</v>
      </c>
      <c r="L784" s="7">
        <v>266.64999999999998</v>
      </c>
    </row>
    <row r="785" spans="1:12" x14ac:dyDescent="0.2">
      <c r="A785" s="2">
        <v>42033</v>
      </c>
      <c r="B785" s="8">
        <f>YEAR(Sales_data[[#This Row],[Order Date]])</f>
        <v>2015</v>
      </c>
      <c r="C785" s="8">
        <f>MONTH(Sales_data[[#This Row],[Order Date]])</f>
        <v>1</v>
      </c>
      <c r="D785" s="8" t="str">
        <f>TEXT(Sales_data[[#This Row],[Order Date]],"mmm")</f>
        <v>Jan</v>
      </c>
      <c r="E785" t="s">
        <v>15</v>
      </c>
      <c r="F785" t="s">
        <v>28</v>
      </c>
      <c r="G785" t="s">
        <v>34</v>
      </c>
      <c r="H785" t="s">
        <v>40</v>
      </c>
      <c r="I785" t="s">
        <v>46</v>
      </c>
      <c r="J785" s="7">
        <v>1322.39</v>
      </c>
      <c r="K785" s="8">
        <v>3</v>
      </c>
      <c r="L785" s="7">
        <v>187.36</v>
      </c>
    </row>
    <row r="786" spans="1:12" x14ac:dyDescent="0.2">
      <c r="A786" s="2">
        <v>42033</v>
      </c>
      <c r="B786" s="8">
        <f>YEAR(Sales_data[[#This Row],[Order Date]])</f>
        <v>2015</v>
      </c>
      <c r="C786" s="8">
        <f>MONTH(Sales_data[[#This Row],[Order Date]])</f>
        <v>1</v>
      </c>
      <c r="D786" s="8" t="str">
        <f>TEXT(Sales_data[[#This Row],[Order Date]],"mmm")</f>
        <v>Jan</v>
      </c>
      <c r="E786" t="s">
        <v>11</v>
      </c>
      <c r="F786" t="s">
        <v>30</v>
      </c>
      <c r="G786" t="s">
        <v>33</v>
      </c>
      <c r="H786" t="s">
        <v>38</v>
      </c>
      <c r="I786" t="s">
        <v>46</v>
      </c>
      <c r="J786" s="7">
        <v>907.3</v>
      </c>
      <c r="K786" s="8">
        <v>9</v>
      </c>
      <c r="L786" s="7">
        <v>116.27</v>
      </c>
    </row>
    <row r="787" spans="1:12" x14ac:dyDescent="0.2">
      <c r="A787" s="2">
        <v>42033</v>
      </c>
      <c r="B787" s="8">
        <f>YEAR(Sales_data[[#This Row],[Order Date]])</f>
        <v>2015</v>
      </c>
      <c r="C787" s="8">
        <f>MONTH(Sales_data[[#This Row],[Order Date]])</f>
        <v>1</v>
      </c>
      <c r="D787" s="8" t="str">
        <f>TEXT(Sales_data[[#This Row],[Order Date]],"mmm")</f>
        <v>Jan</v>
      </c>
      <c r="E787" t="s">
        <v>15</v>
      </c>
      <c r="F787" t="s">
        <v>28</v>
      </c>
      <c r="G787" t="s">
        <v>34</v>
      </c>
      <c r="H787" t="s">
        <v>42</v>
      </c>
      <c r="I787" t="s">
        <v>53</v>
      </c>
      <c r="J787" s="7">
        <v>119.26</v>
      </c>
      <c r="K787" s="8">
        <v>9</v>
      </c>
      <c r="L787" s="7">
        <v>2.5299999999999998</v>
      </c>
    </row>
    <row r="788" spans="1:12" x14ac:dyDescent="0.2">
      <c r="A788" s="2">
        <v>42033</v>
      </c>
      <c r="B788" s="8">
        <f>YEAR(Sales_data[[#This Row],[Order Date]])</f>
        <v>2015</v>
      </c>
      <c r="C788" s="8">
        <f>MONTH(Sales_data[[#This Row],[Order Date]])</f>
        <v>1</v>
      </c>
      <c r="D788" s="8" t="str">
        <f>TEXT(Sales_data[[#This Row],[Order Date]],"mmm")</f>
        <v>Jan</v>
      </c>
      <c r="E788" t="s">
        <v>9</v>
      </c>
      <c r="F788" t="s">
        <v>23</v>
      </c>
      <c r="G788" t="s">
        <v>32</v>
      </c>
      <c r="H788" t="s">
        <v>40</v>
      </c>
      <c r="I788" t="s">
        <v>53</v>
      </c>
      <c r="J788" s="7">
        <v>1934.3</v>
      </c>
      <c r="K788" s="8">
        <v>1</v>
      </c>
      <c r="L788" s="7">
        <v>234.77</v>
      </c>
    </row>
    <row r="789" spans="1:12" x14ac:dyDescent="0.2">
      <c r="A789" s="2">
        <v>42033</v>
      </c>
      <c r="B789" s="8">
        <f>YEAR(Sales_data[[#This Row],[Order Date]])</f>
        <v>2015</v>
      </c>
      <c r="C789" s="8">
        <f>MONTH(Sales_data[[#This Row],[Order Date]])</f>
        <v>1</v>
      </c>
      <c r="D789" s="8" t="str">
        <f>TEXT(Sales_data[[#This Row],[Order Date]],"mmm")</f>
        <v>Jan</v>
      </c>
      <c r="E789" t="s">
        <v>14</v>
      </c>
      <c r="F789" t="s">
        <v>23</v>
      </c>
      <c r="G789" t="s">
        <v>33</v>
      </c>
      <c r="H789" t="s">
        <v>43</v>
      </c>
      <c r="I789" t="s">
        <v>51</v>
      </c>
      <c r="J789" s="7">
        <v>1502.47</v>
      </c>
      <c r="K789" s="8">
        <v>7</v>
      </c>
      <c r="L789" s="7">
        <v>360.71</v>
      </c>
    </row>
    <row r="790" spans="1:12" x14ac:dyDescent="0.2">
      <c r="A790" s="2">
        <v>42035</v>
      </c>
      <c r="B790" s="8">
        <f>YEAR(Sales_data[[#This Row],[Order Date]])</f>
        <v>2015</v>
      </c>
      <c r="C790" s="8">
        <f>MONTH(Sales_data[[#This Row],[Order Date]])</f>
        <v>1</v>
      </c>
      <c r="D790" s="8" t="str">
        <f>TEXT(Sales_data[[#This Row],[Order Date]],"mmm")</f>
        <v>Jan</v>
      </c>
      <c r="E790" t="s">
        <v>15</v>
      </c>
      <c r="F790" t="s">
        <v>30</v>
      </c>
      <c r="G790" t="s">
        <v>34</v>
      </c>
      <c r="H790" t="s">
        <v>38</v>
      </c>
      <c r="I790" t="s">
        <v>52</v>
      </c>
      <c r="J790" s="7">
        <v>1015.28</v>
      </c>
      <c r="K790" s="8">
        <v>2</v>
      </c>
      <c r="L790" s="7">
        <v>36.549999999999997</v>
      </c>
    </row>
    <row r="791" spans="1:12" x14ac:dyDescent="0.2">
      <c r="A791" s="2">
        <v>42035</v>
      </c>
      <c r="B791" s="8">
        <f>YEAR(Sales_data[[#This Row],[Order Date]])</f>
        <v>2015</v>
      </c>
      <c r="C791" s="8">
        <f>MONTH(Sales_data[[#This Row],[Order Date]])</f>
        <v>1</v>
      </c>
      <c r="D791" s="8" t="str">
        <f>TEXT(Sales_data[[#This Row],[Order Date]],"mmm")</f>
        <v>Jan</v>
      </c>
      <c r="E791" t="s">
        <v>9</v>
      </c>
      <c r="F791" t="s">
        <v>29</v>
      </c>
      <c r="G791" t="s">
        <v>33</v>
      </c>
      <c r="H791" t="s">
        <v>36</v>
      </c>
      <c r="I791" t="s">
        <v>45</v>
      </c>
      <c r="J791" s="7">
        <v>944.61</v>
      </c>
      <c r="K791" s="8">
        <v>1</v>
      </c>
      <c r="L791" s="7">
        <v>-179.71</v>
      </c>
    </row>
    <row r="792" spans="1:12" x14ac:dyDescent="0.2">
      <c r="A792" s="2">
        <v>42035</v>
      </c>
      <c r="B792" s="8">
        <f>YEAR(Sales_data[[#This Row],[Order Date]])</f>
        <v>2015</v>
      </c>
      <c r="C792" s="8">
        <f>MONTH(Sales_data[[#This Row],[Order Date]])</f>
        <v>1</v>
      </c>
      <c r="D792" s="8" t="str">
        <f>TEXT(Sales_data[[#This Row],[Order Date]],"mmm")</f>
        <v>Jan</v>
      </c>
      <c r="E792" t="s">
        <v>19</v>
      </c>
      <c r="F792" t="s">
        <v>28</v>
      </c>
      <c r="G792" t="s">
        <v>32</v>
      </c>
      <c r="H792" t="s">
        <v>37</v>
      </c>
      <c r="I792" t="s">
        <v>48</v>
      </c>
      <c r="J792" s="7">
        <v>1401.06</v>
      </c>
      <c r="K792" s="8">
        <v>6</v>
      </c>
      <c r="L792" s="7">
        <v>216.39</v>
      </c>
    </row>
    <row r="793" spans="1:12" x14ac:dyDescent="0.2">
      <c r="A793" s="2">
        <v>42036</v>
      </c>
      <c r="B793" s="8">
        <f>YEAR(Sales_data[[#This Row],[Order Date]])</f>
        <v>2015</v>
      </c>
      <c r="C793" s="8">
        <f>MONTH(Sales_data[[#This Row],[Order Date]])</f>
        <v>2</v>
      </c>
      <c r="D793" s="8" t="str">
        <f>TEXT(Sales_data[[#This Row],[Order Date]],"mmm")</f>
        <v>Feb</v>
      </c>
      <c r="E793" t="s">
        <v>11</v>
      </c>
      <c r="F793" t="s">
        <v>27</v>
      </c>
      <c r="G793" t="s">
        <v>33</v>
      </c>
      <c r="H793" t="s">
        <v>42</v>
      </c>
      <c r="I793" t="s">
        <v>44</v>
      </c>
      <c r="J793" s="7">
        <v>537.6</v>
      </c>
      <c r="K793" s="8">
        <v>9</v>
      </c>
      <c r="L793" s="7">
        <v>224.48</v>
      </c>
    </row>
    <row r="794" spans="1:12" x14ac:dyDescent="0.2">
      <c r="A794" s="2">
        <v>42037</v>
      </c>
      <c r="B794" s="8">
        <f>YEAR(Sales_data[[#This Row],[Order Date]])</f>
        <v>2015</v>
      </c>
      <c r="C794" s="8">
        <f>MONTH(Sales_data[[#This Row],[Order Date]])</f>
        <v>2</v>
      </c>
      <c r="D794" s="8" t="str">
        <f>TEXT(Sales_data[[#This Row],[Order Date]],"mmm")</f>
        <v>Feb</v>
      </c>
      <c r="E794" t="s">
        <v>20</v>
      </c>
      <c r="F794" t="s">
        <v>27</v>
      </c>
      <c r="G794" t="s">
        <v>33</v>
      </c>
      <c r="H794" t="s">
        <v>37</v>
      </c>
      <c r="I794" t="s">
        <v>44</v>
      </c>
      <c r="J794" s="7">
        <v>802.32</v>
      </c>
      <c r="K794" s="8">
        <v>7</v>
      </c>
      <c r="L794" s="7">
        <v>94.99</v>
      </c>
    </row>
    <row r="795" spans="1:12" x14ac:dyDescent="0.2">
      <c r="A795" s="2">
        <v>42037</v>
      </c>
      <c r="B795" s="8">
        <f>YEAR(Sales_data[[#This Row],[Order Date]])</f>
        <v>2015</v>
      </c>
      <c r="C795" s="8">
        <f>MONTH(Sales_data[[#This Row],[Order Date]])</f>
        <v>2</v>
      </c>
      <c r="D795" s="8" t="str">
        <f>TEXT(Sales_data[[#This Row],[Order Date]],"mmm")</f>
        <v>Feb</v>
      </c>
      <c r="E795" t="s">
        <v>9</v>
      </c>
      <c r="F795" t="s">
        <v>28</v>
      </c>
      <c r="G795" t="s">
        <v>33</v>
      </c>
      <c r="H795" t="s">
        <v>41</v>
      </c>
      <c r="I795" t="s">
        <v>49</v>
      </c>
      <c r="J795" s="7">
        <v>1669.49</v>
      </c>
      <c r="K795" s="8">
        <v>2</v>
      </c>
      <c r="L795" s="7">
        <v>6.05</v>
      </c>
    </row>
    <row r="796" spans="1:12" x14ac:dyDescent="0.2">
      <c r="A796" s="2">
        <v>42038</v>
      </c>
      <c r="B796" s="8">
        <f>YEAR(Sales_data[[#This Row],[Order Date]])</f>
        <v>2015</v>
      </c>
      <c r="C796" s="8">
        <f>MONTH(Sales_data[[#This Row],[Order Date]])</f>
        <v>2</v>
      </c>
      <c r="D796" s="8" t="str">
        <f>TEXT(Sales_data[[#This Row],[Order Date]],"mmm")</f>
        <v>Feb</v>
      </c>
      <c r="E796" t="s">
        <v>13</v>
      </c>
      <c r="F796" t="s">
        <v>29</v>
      </c>
      <c r="G796" t="s">
        <v>34</v>
      </c>
      <c r="H796" t="s">
        <v>37</v>
      </c>
      <c r="I796" t="s">
        <v>53</v>
      </c>
      <c r="J796" s="7">
        <v>1018.47</v>
      </c>
      <c r="K796" s="8">
        <v>4</v>
      </c>
      <c r="L796" s="7">
        <v>253.56</v>
      </c>
    </row>
    <row r="797" spans="1:12" x14ac:dyDescent="0.2">
      <c r="A797" s="2">
        <v>42038</v>
      </c>
      <c r="B797" s="8">
        <f>YEAR(Sales_data[[#This Row],[Order Date]])</f>
        <v>2015</v>
      </c>
      <c r="C797" s="8">
        <f>MONTH(Sales_data[[#This Row],[Order Date]])</f>
        <v>2</v>
      </c>
      <c r="D797" s="8" t="str">
        <f>TEXT(Sales_data[[#This Row],[Order Date]],"mmm")</f>
        <v>Feb</v>
      </c>
      <c r="E797" t="s">
        <v>19</v>
      </c>
      <c r="F797" t="s">
        <v>25</v>
      </c>
      <c r="G797" t="s">
        <v>33</v>
      </c>
      <c r="H797" t="s">
        <v>40</v>
      </c>
      <c r="I797" t="s">
        <v>52</v>
      </c>
      <c r="J797" s="7">
        <v>1396.05</v>
      </c>
      <c r="K797" s="8">
        <v>9</v>
      </c>
      <c r="L797" s="7">
        <v>-7.05</v>
      </c>
    </row>
    <row r="798" spans="1:12" x14ac:dyDescent="0.2">
      <c r="A798" s="2">
        <v>42038</v>
      </c>
      <c r="B798" s="8">
        <f>YEAR(Sales_data[[#This Row],[Order Date]])</f>
        <v>2015</v>
      </c>
      <c r="C798" s="8">
        <f>MONTH(Sales_data[[#This Row],[Order Date]])</f>
        <v>2</v>
      </c>
      <c r="D798" s="8" t="str">
        <f>TEXT(Sales_data[[#This Row],[Order Date]],"mmm")</f>
        <v>Feb</v>
      </c>
      <c r="E798" t="s">
        <v>11</v>
      </c>
      <c r="F798" t="s">
        <v>25</v>
      </c>
      <c r="G798" t="s">
        <v>32</v>
      </c>
      <c r="H798" t="s">
        <v>38</v>
      </c>
      <c r="I798" t="s">
        <v>53</v>
      </c>
      <c r="J798" s="7">
        <v>1867.49</v>
      </c>
      <c r="K798" s="8">
        <v>8</v>
      </c>
      <c r="L798" s="7">
        <v>-162.54</v>
      </c>
    </row>
    <row r="799" spans="1:12" x14ac:dyDescent="0.2">
      <c r="A799" s="2">
        <v>42038</v>
      </c>
      <c r="B799" s="8">
        <f>YEAR(Sales_data[[#This Row],[Order Date]])</f>
        <v>2015</v>
      </c>
      <c r="C799" s="8">
        <f>MONTH(Sales_data[[#This Row],[Order Date]])</f>
        <v>2</v>
      </c>
      <c r="D799" s="8" t="str">
        <f>TEXT(Sales_data[[#This Row],[Order Date]],"mmm")</f>
        <v>Feb</v>
      </c>
      <c r="E799" t="s">
        <v>17</v>
      </c>
      <c r="F799" t="s">
        <v>24</v>
      </c>
      <c r="G799" t="s">
        <v>33</v>
      </c>
      <c r="H799" t="s">
        <v>38</v>
      </c>
      <c r="I799" t="s">
        <v>49</v>
      </c>
      <c r="J799" s="7">
        <v>1672.79</v>
      </c>
      <c r="K799" s="8">
        <v>8</v>
      </c>
      <c r="L799" s="7">
        <v>-47.78</v>
      </c>
    </row>
    <row r="800" spans="1:12" x14ac:dyDescent="0.2">
      <c r="A800" s="2">
        <v>42041</v>
      </c>
      <c r="B800" s="8">
        <f>YEAR(Sales_data[[#This Row],[Order Date]])</f>
        <v>2015</v>
      </c>
      <c r="C800" s="8">
        <f>MONTH(Sales_data[[#This Row],[Order Date]])</f>
        <v>2</v>
      </c>
      <c r="D800" s="8" t="str">
        <f>TEXT(Sales_data[[#This Row],[Order Date]],"mmm")</f>
        <v>Feb</v>
      </c>
      <c r="E800" t="s">
        <v>19</v>
      </c>
      <c r="F800" t="s">
        <v>25</v>
      </c>
      <c r="G800" t="s">
        <v>32</v>
      </c>
      <c r="H800" t="s">
        <v>43</v>
      </c>
      <c r="I800" t="s">
        <v>53</v>
      </c>
      <c r="J800" s="7">
        <v>99.31</v>
      </c>
      <c r="K800" s="8">
        <v>3</v>
      </c>
      <c r="L800" s="7">
        <v>-139.69999999999999</v>
      </c>
    </row>
    <row r="801" spans="1:12" x14ac:dyDescent="0.2">
      <c r="A801" s="2">
        <v>42041</v>
      </c>
      <c r="B801" s="8">
        <f>YEAR(Sales_data[[#This Row],[Order Date]])</f>
        <v>2015</v>
      </c>
      <c r="C801" s="8">
        <f>MONTH(Sales_data[[#This Row],[Order Date]])</f>
        <v>2</v>
      </c>
      <c r="D801" s="8" t="str">
        <f>TEXT(Sales_data[[#This Row],[Order Date]],"mmm")</f>
        <v>Feb</v>
      </c>
      <c r="E801" t="s">
        <v>10</v>
      </c>
      <c r="F801" t="s">
        <v>23</v>
      </c>
      <c r="G801" t="s">
        <v>32</v>
      </c>
      <c r="H801" t="s">
        <v>42</v>
      </c>
      <c r="I801" t="s">
        <v>53</v>
      </c>
      <c r="J801" s="7">
        <v>1187.9100000000001</v>
      </c>
      <c r="K801" s="8">
        <v>4</v>
      </c>
      <c r="L801" s="7">
        <v>-3.64</v>
      </c>
    </row>
    <row r="802" spans="1:12" x14ac:dyDescent="0.2">
      <c r="A802" s="2">
        <v>42041</v>
      </c>
      <c r="B802" s="8">
        <f>YEAR(Sales_data[[#This Row],[Order Date]])</f>
        <v>2015</v>
      </c>
      <c r="C802" s="8">
        <f>MONTH(Sales_data[[#This Row],[Order Date]])</f>
        <v>2</v>
      </c>
      <c r="D802" s="8" t="str">
        <f>TEXT(Sales_data[[#This Row],[Order Date]],"mmm")</f>
        <v>Feb</v>
      </c>
      <c r="E802" t="s">
        <v>21</v>
      </c>
      <c r="F802" t="s">
        <v>25</v>
      </c>
      <c r="G802" t="s">
        <v>33</v>
      </c>
      <c r="H802" t="s">
        <v>39</v>
      </c>
      <c r="I802" t="s">
        <v>49</v>
      </c>
      <c r="J802" s="7">
        <v>146.81</v>
      </c>
      <c r="K802" s="8">
        <v>9</v>
      </c>
      <c r="L802" s="7">
        <v>36.36</v>
      </c>
    </row>
    <row r="803" spans="1:12" x14ac:dyDescent="0.2">
      <c r="A803" s="2">
        <v>42043</v>
      </c>
      <c r="B803" s="8">
        <f>YEAR(Sales_data[[#This Row],[Order Date]])</f>
        <v>2015</v>
      </c>
      <c r="C803" s="8">
        <f>MONTH(Sales_data[[#This Row],[Order Date]])</f>
        <v>2</v>
      </c>
      <c r="D803" s="8" t="str">
        <f>TEXT(Sales_data[[#This Row],[Order Date]],"mmm")</f>
        <v>Feb</v>
      </c>
      <c r="E803" t="s">
        <v>20</v>
      </c>
      <c r="F803" t="s">
        <v>28</v>
      </c>
      <c r="G803" t="s">
        <v>34</v>
      </c>
      <c r="H803" t="s">
        <v>36</v>
      </c>
      <c r="I803" t="s">
        <v>46</v>
      </c>
      <c r="J803" s="7">
        <v>1498.59</v>
      </c>
      <c r="K803" s="8">
        <v>5</v>
      </c>
      <c r="L803" s="7">
        <v>-147.44</v>
      </c>
    </row>
    <row r="804" spans="1:12" x14ac:dyDescent="0.2">
      <c r="A804" s="2">
        <v>42043</v>
      </c>
      <c r="B804" s="8">
        <f>YEAR(Sales_data[[#This Row],[Order Date]])</f>
        <v>2015</v>
      </c>
      <c r="C804" s="8">
        <f>MONTH(Sales_data[[#This Row],[Order Date]])</f>
        <v>2</v>
      </c>
      <c r="D804" s="8" t="str">
        <f>TEXT(Sales_data[[#This Row],[Order Date]],"mmm")</f>
        <v>Feb</v>
      </c>
      <c r="E804" t="s">
        <v>9</v>
      </c>
      <c r="F804" t="s">
        <v>23</v>
      </c>
      <c r="G804" t="s">
        <v>32</v>
      </c>
      <c r="H804" t="s">
        <v>37</v>
      </c>
      <c r="I804" t="s">
        <v>49</v>
      </c>
      <c r="J804" s="7">
        <v>669.12</v>
      </c>
      <c r="K804" s="8">
        <v>3</v>
      </c>
      <c r="L804" s="7">
        <v>255.88</v>
      </c>
    </row>
    <row r="805" spans="1:12" x14ac:dyDescent="0.2">
      <c r="A805" s="2">
        <v>42044</v>
      </c>
      <c r="B805" s="8">
        <f>YEAR(Sales_data[[#This Row],[Order Date]])</f>
        <v>2015</v>
      </c>
      <c r="C805" s="8">
        <f>MONTH(Sales_data[[#This Row],[Order Date]])</f>
        <v>2</v>
      </c>
      <c r="D805" s="8" t="str">
        <f>TEXT(Sales_data[[#This Row],[Order Date]],"mmm")</f>
        <v>Feb</v>
      </c>
      <c r="E805" t="s">
        <v>13</v>
      </c>
      <c r="F805" t="s">
        <v>27</v>
      </c>
      <c r="G805" t="s">
        <v>34</v>
      </c>
      <c r="H805" t="s">
        <v>38</v>
      </c>
      <c r="I805" t="s">
        <v>52</v>
      </c>
      <c r="J805" s="7">
        <v>652.73</v>
      </c>
      <c r="K805" s="8">
        <v>4</v>
      </c>
      <c r="L805" s="7">
        <v>59.25</v>
      </c>
    </row>
    <row r="806" spans="1:12" x14ac:dyDescent="0.2">
      <c r="A806" s="2">
        <v>42045</v>
      </c>
      <c r="B806" s="8">
        <f>YEAR(Sales_data[[#This Row],[Order Date]])</f>
        <v>2015</v>
      </c>
      <c r="C806" s="8">
        <f>MONTH(Sales_data[[#This Row],[Order Date]])</f>
        <v>2</v>
      </c>
      <c r="D806" s="8" t="str">
        <f>TEXT(Sales_data[[#This Row],[Order Date]],"mmm")</f>
        <v>Feb</v>
      </c>
      <c r="E806" t="s">
        <v>15</v>
      </c>
      <c r="F806" t="s">
        <v>28</v>
      </c>
      <c r="G806" t="s">
        <v>34</v>
      </c>
      <c r="H806" t="s">
        <v>36</v>
      </c>
      <c r="I806" t="s">
        <v>53</v>
      </c>
      <c r="J806" s="7">
        <v>1332.97</v>
      </c>
      <c r="K806" s="8">
        <v>7</v>
      </c>
      <c r="L806" s="7">
        <v>130.59</v>
      </c>
    </row>
    <row r="807" spans="1:12" x14ac:dyDescent="0.2">
      <c r="A807" s="2">
        <v>42045</v>
      </c>
      <c r="B807" s="8">
        <f>YEAR(Sales_data[[#This Row],[Order Date]])</f>
        <v>2015</v>
      </c>
      <c r="C807" s="8">
        <f>MONTH(Sales_data[[#This Row],[Order Date]])</f>
        <v>2</v>
      </c>
      <c r="D807" s="8" t="str">
        <f>TEXT(Sales_data[[#This Row],[Order Date]],"mmm")</f>
        <v>Feb</v>
      </c>
      <c r="E807" t="s">
        <v>9</v>
      </c>
      <c r="F807" t="s">
        <v>29</v>
      </c>
      <c r="G807" t="s">
        <v>33</v>
      </c>
      <c r="H807" t="s">
        <v>39</v>
      </c>
      <c r="I807" t="s">
        <v>48</v>
      </c>
      <c r="J807" s="7">
        <v>104.56</v>
      </c>
      <c r="K807" s="8">
        <v>3</v>
      </c>
      <c r="L807" s="7">
        <v>211.55</v>
      </c>
    </row>
    <row r="808" spans="1:12" x14ac:dyDescent="0.2">
      <c r="A808" s="2">
        <v>42046</v>
      </c>
      <c r="B808" s="8">
        <f>YEAR(Sales_data[[#This Row],[Order Date]])</f>
        <v>2015</v>
      </c>
      <c r="C808" s="8">
        <f>MONTH(Sales_data[[#This Row],[Order Date]])</f>
        <v>2</v>
      </c>
      <c r="D808" s="8" t="str">
        <f>TEXT(Sales_data[[#This Row],[Order Date]],"mmm")</f>
        <v>Feb</v>
      </c>
      <c r="E808" t="s">
        <v>11</v>
      </c>
      <c r="F808" t="s">
        <v>28</v>
      </c>
      <c r="G808" t="s">
        <v>34</v>
      </c>
      <c r="H808" t="s">
        <v>35</v>
      </c>
      <c r="I808" t="s">
        <v>52</v>
      </c>
      <c r="J808" s="7">
        <v>1749.85</v>
      </c>
      <c r="K808" s="8">
        <v>1</v>
      </c>
      <c r="L808" s="7">
        <v>-88.18</v>
      </c>
    </row>
    <row r="809" spans="1:12" x14ac:dyDescent="0.2">
      <c r="A809" s="2">
        <v>42048</v>
      </c>
      <c r="B809" s="8">
        <f>YEAR(Sales_data[[#This Row],[Order Date]])</f>
        <v>2015</v>
      </c>
      <c r="C809" s="8">
        <f>MONTH(Sales_data[[#This Row],[Order Date]])</f>
        <v>2</v>
      </c>
      <c r="D809" s="8" t="str">
        <f>TEXT(Sales_data[[#This Row],[Order Date]],"mmm")</f>
        <v>Feb</v>
      </c>
      <c r="E809" t="s">
        <v>13</v>
      </c>
      <c r="F809" t="s">
        <v>22</v>
      </c>
      <c r="G809" t="s">
        <v>33</v>
      </c>
      <c r="H809" t="s">
        <v>39</v>
      </c>
      <c r="I809" t="s">
        <v>48</v>
      </c>
      <c r="J809" s="7">
        <v>1884.56</v>
      </c>
      <c r="K809" s="8">
        <v>5</v>
      </c>
      <c r="L809" s="7">
        <v>179.76</v>
      </c>
    </row>
    <row r="810" spans="1:12" x14ac:dyDescent="0.2">
      <c r="A810" s="2">
        <v>42049</v>
      </c>
      <c r="B810" s="8">
        <f>YEAR(Sales_data[[#This Row],[Order Date]])</f>
        <v>2015</v>
      </c>
      <c r="C810" s="8">
        <f>MONTH(Sales_data[[#This Row],[Order Date]])</f>
        <v>2</v>
      </c>
      <c r="D810" s="8" t="str">
        <f>TEXT(Sales_data[[#This Row],[Order Date]],"mmm")</f>
        <v>Feb</v>
      </c>
      <c r="E810" t="s">
        <v>13</v>
      </c>
      <c r="F810" t="s">
        <v>27</v>
      </c>
      <c r="G810" t="s">
        <v>34</v>
      </c>
      <c r="H810" t="s">
        <v>41</v>
      </c>
      <c r="I810" t="s">
        <v>47</v>
      </c>
      <c r="J810" s="7">
        <v>727.32</v>
      </c>
      <c r="K810" s="8">
        <v>4</v>
      </c>
      <c r="L810" s="7">
        <v>59.26</v>
      </c>
    </row>
    <row r="811" spans="1:12" x14ac:dyDescent="0.2">
      <c r="A811" s="2">
        <v>42050</v>
      </c>
      <c r="B811" s="8">
        <f>YEAR(Sales_data[[#This Row],[Order Date]])</f>
        <v>2015</v>
      </c>
      <c r="C811" s="8">
        <f>MONTH(Sales_data[[#This Row],[Order Date]])</f>
        <v>2</v>
      </c>
      <c r="D811" s="8" t="str">
        <f>TEXT(Sales_data[[#This Row],[Order Date]],"mmm")</f>
        <v>Feb</v>
      </c>
      <c r="E811" t="s">
        <v>18</v>
      </c>
      <c r="F811" t="s">
        <v>28</v>
      </c>
      <c r="G811" t="s">
        <v>33</v>
      </c>
      <c r="H811" t="s">
        <v>36</v>
      </c>
      <c r="I811" t="s">
        <v>46</v>
      </c>
      <c r="J811" s="7">
        <v>988.83</v>
      </c>
      <c r="K811" s="8">
        <v>5</v>
      </c>
      <c r="L811" s="7">
        <v>78.709999999999994</v>
      </c>
    </row>
    <row r="812" spans="1:12" x14ac:dyDescent="0.2">
      <c r="A812" s="2">
        <v>42050</v>
      </c>
      <c r="B812" s="8">
        <f>YEAR(Sales_data[[#This Row],[Order Date]])</f>
        <v>2015</v>
      </c>
      <c r="C812" s="8">
        <f>MONTH(Sales_data[[#This Row],[Order Date]])</f>
        <v>2</v>
      </c>
      <c r="D812" s="8" t="str">
        <f>TEXT(Sales_data[[#This Row],[Order Date]],"mmm")</f>
        <v>Feb</v>
      </c>
      <c r="E812" t="s">
        <v>16</v>
      </c>
      <c r="F812" t="s">
        <v>27</v>
      </c>
      <c r="G812" t="s">
        <v>33</v>
      </c>
      <c r="H812" t="s">
        <v>40</v>
      </c>
      <c r="I812" t="s">
        <v>45</v>
      </c>
      <c r="J812" s="7">
        <v>1996.86</v>
      </c>
      <c r="K812" s="8">
        <v>2</v>
      </c>
      <c r="L812" s="7">
        <v>281.31</v>
      </c>
    </row>
    <row r="813" spans="1:12" x14ac:dyDescent="0.2">
      <c r="A813" s="2">
        <v>42051</v>
      </c>
      <c r="B813" s="8">
        <f>YEAR(Sales_data[[#This Row],[Order Date]])</f>
        <v>2015</v>
      </c>
      <c r="C813" s="8">
        <f>MONTH(Sales_data[[#This Row],[Order Date]])</f>
        <v>2</v>
      </c>
      <c r="D813" s="8" t="str">
        <f>TEXT(Sales_data[[#This Row],[Order Date]],"mmm")</f>
        <v>Feb</v>
      </c>
      <c r="E813" t="s">
        <v>21</v>
      </c>
      <c r="F813" t="s">
        <v>23</v>
      </c>
      <c r="G813" t="s">
        <v>34</v>
      </c>
      <c r="H813" t="s">
        <v>41</v>
      </c>
      <c r="I813" t="s">
        <v>52</v>
      </c>
      <c r="J813" s="7">
        <v>255.91</v>
      </c>
      <c r="K813" s="8">
        <v>1</v>
      </c>
      <c r="L813" s="7">
        <v>24.45</v>
      </c>
    </row>
    <row r="814" spans="1:12" x14ac:dyDescent="0.2">
      <c r="A814" s="2">
        <v>42051</v>
      </c>
      <c r="B814" s="8">
        <f>YEAR(Sales_data[[#This Row],[Order Date]])</f>
        <v>2015</v>
      </c>
      <c r="C814" s="8">
        <f>MONTH(Sales_data[[#This Row],[Order Date]])</f>
        <v>2</v>
      </c>
      <c r="D814" s="8" t="str">
        <f>TEXT(Sales_data[[#This Row],[Order Date]],"mmm")</f>
        <v>Feb</v>
      </c>
      <c r="E814" t="s">
        <v>10</v>
      </c>
      <c r="F814" t="s">
        <v>25</v>
      </c>
      <c r="G814" t="s">
        <v>32</v>
      </c>
      <c r="H814" t="s">
        <v>35</v>
      </c>
      <c r="I814" t="s">
        <v>47</v>
      </c>
      <c r="J814" s="7">
        <v>510.1</v>
      </c>
      <c r="K814" s="8">
        <v>5</v>
      </c>
      <c r="L814" s="7">
        <v>-9.7899999999999991</v>
      </c>
    </row>
    <row r="815" spans="1:12" x14ac:dyDescent="0.2">
      <c r="A815" s="2">
        <v>42052</v>
      </c>
      <c r="B815" s="8">
        <f>YEAR(Sales_data[[#This Row],[Order Date]])</f>
        <v>2015</v>
      </c>
      <c r="C815" s="8">
        <f>MONTH(Sales_data[[#This Row],[Order Date]])</f>
        <v>2</v>
      </c>
      <c r="D815" s="8" t="str">
        <f>TEXT(Sales_data[[#This Row],[Order Date]],"mmm")</f>
        <v>Feb</v>
      </c>
      <c r="E815" t="s">
        <v>20</v>
      </c>
      <c r="F815" t="s">
        <v>25</v>
      </c>
      <c r="G815" t="s">
        <v>34</v>
      </c>
      <c r="H815" t="s">
        <v>35</v>
      </c>
      <c r="I815" t="s">
        <v>45</v>
      </c>
      <c r="J815" s="7">
        <v>667.9</v>
      </c>
      <c r="K815" s="8">
        <v>2</v>
      </c>
      <c r="L815" s="7">
        <v>-156.47</v>
      </c>
    </row>
    <row r="816" spans="1:12" x14ac:dyDescent="0.2">
      <c r="A816" s="2">
        <v>42052</v>
      </c>
      <c r="B816" s="8">
        <f>YEAR(Sales_data[[#This Row],[Order Date]])</f>
        <v>2015</v>
      </c>
      <c r="C816" s="8">
        <f>MONTH(Sales_data[[#This Row],[Order Date]])</f>
        <v>2</v>
      </c>
      <c r="D816" s="8" t="str">
        <f>TEXT(Sales_data[[#This Row],[Order Date]],"mmm")</f>
        <v>Feb</v>
      </c>
      <c r="E816" t="s">
        <v>12</v>
      </c>
      <c r="F816" t="s">
        <v>27</v>
      </c>
      <c r="G816" t="s">
        <v>32</v>
      </c>
      <c r="H816" t="s">
        <v>41</v>
      </c>
      <c r="I816" t="s">
        <v>44</v>
      </c>
      <c r="J816" s="7">
        <v>29.82</v>
      </c>
      <c r="K816" s="8">
        <v>8</v>
      </c>
      <c r="L816" s="7">
        <v>107.93</v>
      </c>
    </row>
    <row r="817" spans="1:12" x14ac:dyDescent="0.2">
      <c r="A817" s="2">
        <v>42053</v>
      </c>
      <c r="B817" s="8">
        <f>YEAR(Sales_data[[#This Row],[Order Date]])</f>
        <v>2015</v>
      </c>
      <c r="C817" s="8">
        <f>MONTH(Sales_data[[#This Row],[Order Date]])</f>
        <v>2</v>
      </c>
      <c r="D817" s="8" t="str">
        <f>TEXT(Sales_data[[#This Row],[Order Date]],"mmm")</f>
        <v>Feb</v>
      </c>
      <c r="E817" t="s">
        <v>10</v>
      </c>
      <c r="F817" t="s">
        <v>24</v>
      </c>
      <c r="G817" t="s">
        <v>32</v>
      </c>
      <c r="H817" t="s">
        <v>35</v>
      </c>
      <c r="I817" t="s">
        <v>44</v>
      </c>
      <c r="J817" s="7">
        <v>1229.06</v>
      </c>
      <c r="K817" s="8">
        <v>9</v>
      </c>
      <c r="L817" s="7">
        <v>47.77</v>
      </c>
    </row>
    <row r="818" spans="1:12" x14ac:dyDescent="0.2">
      <c r="A818" s="2">
        <v>42054</v>
      </c>
      <c r="B818" s="8">
        <f>YEAR(Sales_data[[#This Row],[Order Date]])</f>
        <v>2015</v>
      </c>
      <c r="C818" s="8">
        <f>MONTH(Sales_data[[#This Row],[Order Date]])</f>
        <v>2</v>
      </c>
      <c r="D818" s="8" t="str">
        <f>TEXT(Sales_data[[#This Row],[Order Date]],"mmm")</f>
        <v>Feb</v>
      </c>
      <c r="E818" t="s">
        <v>17</v>
      </c>
      <c r="F818" t="s">
        <v>27</v>
      </c>
      <c r="G818" t="s">
        <v>33</v>
      </c>
      <c r="H818" t="s">
        <v>43</v>
      </c>
      <c r="I818" t="s">
        <v>45</v>
      </c>
      <c r="J818" s="7">
        <v>664.72</v>
      </c>
      <c r="K818" s="8">
        <v>6</v>
      </c>
      <c r="L818" s="7">
        <v>-59.79</v>
      </c>
    </row>
    <row r="819" spans="1:12" x14ac:dyDescent="0.2">
      <c r="A819" s="2">
        <v>42055</v>
      </c>
      <c r="B819" s="8">
        <f>YEAR(Sales_data[[#This Row],[Order Date]])</f>
        <v>2015</v>
      </c>
      <c r="C819" s="8">
        <f>MONTH(Sales_data[[#This Row],[Order Date]])</f>
        <v>2</v>
      </c>
      <c r="D819" s="8" t="str">
        <f>TEXT(Sales_data[[#This Row],[Order Date]],"mmm")</f>
        <v>Feb</v>
      </c>
      <c r="E819" t="s">
        <v>13</v>
      </c>
      <c r="F819" t="s">
        <v>28</v>
      </c>
      <c r="G819" t="s">
        <v>32</v>
      </c>
      <c r="H819" t="s">
        <v>41</v>
      </c>
      <c r="I819" t="s">
        <v>48</v>
      </c>
      <c r="J819" s="7">
        <v>897.77</v>
      </c>
      <c r="K819" s="8">
        <v>6</v>
      </c>
      <c r="L819" s="7">
        <v>-119.92</v>
      </c>
    </row>
    <row r="820" spans="1:12" x14ac:dyDescent="0.2">
      <c r="A820" s="2">
        <v>42058</v>
      </c>
      <c r="B820" s="8">
        <f>YEAR(Sales_data[[#This Row],[Order Date]])</f>
        <v>2015</v>
      </c>
      <c r="C820" s="8">
        <f>MONTH(Sales_data[[#This Row],[Order Date]])</f>
        <v>2</v>
      </c>
      <c r="D820" s="8" t="str">
        <f>TEXT(Sales_data[[#This Row],[Order Date]],"mmm")</f>
        <v>Feb</v>
      </c>
      <c r="E820" t="s">
        <v>10</v>
      </c>
      <c r="F820" t="s">
        <v>26</v>
      </c>
      <c r="G820" t="s">
        <v>34</v>
      </c>
      <c r="H820" t="s">
        <v>43</v>
      </c>
      <c r="I820" t="s">
        <v>51</v>
      </c>
      <c r="J820" s="7">
        <v>1655.19</v>
      </c>
      <c r="K820" s="8">
        <v>7</v>
      </c>
      <c r="L820" s="7">
        <v>62.38</v>
      </c>
    </row>
    <row r="821" spans="1:12" x14ac:dyDescent="0.2">
      <c r="A821" s="2">
        <v>42059</v>
      </c>
      <c r="B821" s="8">
        <f>YEAR(Sales_data[[#This Row],[Order Date]])</f>
        <v>2015</v>
      </c>
      <c r="C821" s="8">
        <f>MONTH(Sales_data[[#This Row],[Order Date]])</f>
        <v>2</v>
      </c>
      <c r="D821" s="8" t="str">
        <f>TEXT(Sales_data[[#This Row],[Order Date]],"mmm")</f>
        <v>Feb</v>
      </c>
      <c r="E821" t="s">
        <v>10</v>
      </c>
      <c r="F821" t="s">
        <v>26</v>
      </c>
      <c r="G821" t="s">
        <v>32</v>
      </c>
      <c r="H821" t="s">
        <v>41</v>
      </c>
      <c r="I821" t="s">
        <v>50</v>
      </c>
      <c r="J821" s="7">
        <v>1091.51</v>
      </c>
      <c r="K821" s="8">
        <v>3</v>
      </c>
      <c r="L821" s="7">
        <v>41.36</v>
      </c>
    </row>
    <row r="822" spans="1:12" x14ac:dyDescent="0.2">
      <c r="A822" s="2">
        <v>42059</v>
      </c>
      <c r="B822" s="8">
        <f>YEAR(Sales_data[[#This Row],[Order Date]])</f>
        <v>2015</v>
      </c>
      <c r="C822" s="8">
        <f>MONTH(Sales_data[[#This Row],[Order Date]])</f>
        <v>2</v>
      </c>
      <c r="D822" s="8" t="str">
        <f>TEXT(Sales_data[[#This Row],[Order Date]],"mmm")</f>
        <v>Feb</v>
      </c>
      <c r="E822" t="s">
        <v>19</v>
      </c>
      <c r="F822" t="s">
        <v>27</v>
      </c>
      <c r="G822" t="s">
        <v>32</v>
      </c>
      <c r="H822" t="s">
        <v>42</v>
      </c>
      <c r="I822" t="s">
        <v>44</v>
      </c>
      <c r="J822" s="7">
        <v>347.71</v>
      </c>
      <c r="K822" s="8">
        <v>6</v>
      </c>
      <c r="L822" s="7">
        <v>-179.4</v>
      </c>
    </row>
    <row r="823" spans="1:12" x14ac:dyDescent="0.2">
      <c r="A823" s="2">
        <v>42059</v>
      </c>
      <c r="B823" s="8">
        <f>YEAR(Sales_data[[#This Row],[Order Date]])</f>
        <v>2015</v>
      </c>
      <c r="C823" s="8">
        <f>MONTH(Sales_data[[#This Row],[Order Date]])</f>
        <v>2</v>
      </c>
      <c r="D823" s="8" t="str">
        <f>TEXT(Sales_data[[#This Row],[Order Date]],"mmm")</f>
        <v>Feb</v>
      </c>
      <c r="E823" t="s">
        <v>18</v>
      </c>
      <c r="F823" t="s">
        <v>31</v>
      </c>
      <c r="G823" t="s">
        <v>32</v>
      </c>
      <c r="H823" t="s">
        <v>42</v>
      </c>
      <c r="I823" t="s">
        <v>45</v>
      </c>
      <c r="J823" s="7">
        <v>780.39</v>
      </c>
      <c r="K823" s="8">
        <v>5</v>
      </c>
      <c r="L823" s="7">
        <v>-63.15</v>
      </c>
    </row>
    <row r="824" spans="1:12" x14ac:dyDescent="0.2">
      <c r="A824" s="2">
        <v>42064</v>
      </c>
      <c r="B824" s="8">
        <f>YEAR(Sales_data[[#This Row],[Order Date]])</f>
        <v>2015</v>
      </c>
      <c r="C824" s="8">
        <f>MONTH(Sales_data[[#This Row],[Order Date]])</f>
        <v>3</v>
      </c>
      <c r="D824" s="8" t="str">
        <f>TEXT(Sales_data[[#This Row],[Order Date]],"mmm")</f>
        <v>Mar</v>
      </c>
      <c r="E824" t="s">
        <v>18</v>
      </c>
      <c r="F824" t="s">
        <v>30</v>
      </c>
      <c r="G824" t="s">
        <v>32</v>
      </c>
      <c r="H824" t="s">
        <v>41</v>
      </c>
      <c r="I824" t="s">
        <v>45</v>
      </c>
      <c r="J824" s="7">
        <v>912.97</v>
      </c>
      <c r="K824" s="8">
        <v>5</v>
      </c>
      <c r="L824" s="7">
        <v>135.97999999999999</v>
      </c>
    </row>
    <row r="825" spans="1:12" x14ac:dyDescent="0.2">
      <c r="A825" s="2">
        <v>42065</v>
      </c>
      <c r="B825" s="8">
        <f>YEAR(Sales_data[[#This Row],[Order Date]])</f>
        <v>2015</v>
      </c>
      <c r="C825" s="8">
        <f>MONTH(Sales_data[[#This Row],[Order Date]])</f>
        <v>3</v>
      </c>
      <c r="D825" s="8" t="str">
        <f>TEXT(Sales_data[[#This Row],[Order Date]],"mmm")</f>
        <v>Mar</v>
      </c>
      <c r="E825" t="s">
        <v>10</v>
      </c>
      <c r="F825" t="s">
        <v>27</v>
      </c>
      <c r="G825" t="s">
        <v>34</v>
      </c>
      <c r="H825" t="s">
        <v>35</v>
      </c>
      <c r="I825" t="s">
        <v>51</v>
      </c>
      <c r="J825" s="7">
        <v>210.06</v>
      </c>
      <c r="K825" s="8">
        <v>8</v>
      </c>
      <c r="L825" s="7">
        <v>143.25</v>
      </c>
    </row>
    <row r="826" spans="1:12" x14ac:dyDescent="0.2">
      <c r="A826" s="2">
        <v>42066</v>
      </c>
      <c r="B826" s="8">
        <f>YEAR(Sales_data[[#This Row],[Order Date]])</f>
        <v>2015</v>
      </c>
      <c r="C826" s="8">
        <f>MONTH(Sales_data[[#This Row],[Order Date]])</f>
        <v>3</v>
      </c>
      <c r="D826" s="8" t="str">
        <f>TEXT(Sales_data[[#This Row],[Order Date]],"mmm")</f>
        <v>Mar</v>
      </c>
      <c r="E826" t="s">
        <v>12</v>
      </c>
      <c r="F826" t="s">
        <v>22</v>
      </c>
      <c r="G826" t="s">
        <v>34</v>
      </c>
      <c r="H826" t="s">
        <v>41</v>
      </c>
      <c r="I826" t="s">
        <v>46</v>
      </c>
      <c r="J826" s="7">
        <v>813.06</v>
      </c>
      <c r="K826" s="8">
        <v>6</v>
      </c>
      <c r="L826" s="7">
        <v>271.06</v>
      </c>
    </row>
    <row r="827" spans="1:12" x14ac:dyDescent="0.2">
      <c r="A827" s="2">
        <v>42066</v>
      </c>
      <c r="B827" s="8">
        <f>YEAR(Sales_data[[#This Row],[Order Date]])</f>
        <v>2015</v>
      </c>
      <c r="C827" s="8">
        <f>MONTH(Sales_data[[#This Row],[Order Date]])</f>
        <v>3</v>
      </c>
      <c r="D827" s="8" t="str">
        <f>TEXT(Sales_data[[#This Row],[Order Date]],"mmm")</f>
        <v>Mar</v>
      </c>
      <c r="E827" t="s">
        <v>14</v>
      </c>
      <c r="F827" t="s">
        <v>31</v>
      </c>
      <c r="G827" t="s">
        <v>33</v>
      </c>
      <c r="H827" t="s">
        <v>40</v>
      </c>
      <c r="I827" t="s">
        <v>53</v>
      </c>
      <c r="J827" s="7">
        <v>709.2</v>
      </c>
      <c r="K827" s="8">
        <v>5</v>
      </c>
      <c r="L827" s="7">
        <v>329.57</v>
      </c>
    </row>
    <row r="828" spans="1:12" x14ac:dyDescent="0.2">
      <c r="A828" s="2">
        <v>42068</v>
      </c>
      <c r="B828" s="8">
        <f>YEAR(Sales_data[[#This Row],[Order Date]])</f>
        <v>2015</v>
      </c>
      <c r="C828" s="8">
        <f>MONTH(Sales_data[[#This Row],[Order Date]])</f>
        <v>3</v>
      </c>
      <c r="D828" s="8" t="str">
        <f>TEXT(Sales_data[[#This Row],[Order Date]],"mmm")</f>
        <v>Mar</v>
      </c>
      <c r="E828" t="s">
        <v>21</v>
      </c>
      <c r="F828" t="s">
        <v>27</v>
      </c>
      <c r="G828" t="s">
        <v>34</v>
      </c>
      <c r="H828" t="s">
        <v>36</v>
      </c>
      <c r="I828" t="s">
        <v>53</v>
      </c>
      <c r="J828" s="7">
        <v>684.21</v>
      </c>
      <c r="K828" s="8">
        <v>3</v>
      </c>
      <c r="L828" s="7">
        <v>390.48</v>
      </c>
    </row>
    <row r="829" spans="1:12" x14ac:dyDescent="0.2">
      <c r="A829" s="2">
        <v>42068</v>
      </c>
      <c r="B829" s="8">
        <f>YEAR(Sales_data[[#This Row],[Order Date]])</f>
        <v>2015</v>
      </c>
      <c r="C829" s="8">
        <f>MONTH(Sales_data[[#This Row],[Order Date]])</f>
        <v>3</v>
      </c>
      <c r="D829" s="8" t="str">
        <f>TEXT(Sales_data[[#This Row],[Order Date]],"mmm")</f>
        <v>Mar</v>
      </c>
      <c r="E829" t="s">
        <v>16</v>
      </c>
      <c r="F829" t="s">
        <v>31</v>
      </c>
      <c r="G829" t="s">
        <v>34</v>
      </c>
      <c r="H829" t="s">
        <v>35</v>
      </c>
      <c r="I829" t="s">
        <v>45</v>
      </c>
      <c r="J829" s="7">
        <v>1873.32</v>
      </c>
      <c r="K829" s="8">
        <v>5</v>
      </c>
      <c r="L829" s="7">
        <v>135.58000000000001</v>
      </c>
    </row>
    <row r="830" spans="1:12" x14ac:dyDescent="0.2">
      <c r="A830" s="2">
        <v>42068</v>
      </c>
      <c r="B830" s="8">
        <f>YEAR(Sales_data[[#This Row],[Order Date]])</f>
        <v>2015</v>
      </c>
      <c r="C830" s="8">
        <f>MONTH(Sales_data[[#This Row],[Order Date]])</f>
        <v>3</v>
      </c>
      <c r="D830" s="8" t="str">
        <f>TEXT(Sales_data[[#This Row],[Order Date]],"mmm")</f>
        <v>Mar</v>
      </c>
      <c r="E830" t="s">
        <v>14</v>
      </c>
      <c r="F830" t="s">
        <v>26</v>
      </c>
      <c r="G830" t="s">
        <v>33</v>
      </c>
      <c r="H830" t="s">
        <v>36</v>
      </c>
      <c r="I830" t="s">
        <v>47</v>
      </c>
      <c r="J830" s="7">
        <v>1296.3399999999999</v>
      </c>
      <c r="K830" s="8">
        <v>8</v>
      </c>
      <c r="L830" s="7">
        <v>-7.92</v>
      </c>
    </row>
    <row r="831" spans="1:12" x14ac:dyDescent="0.2">
      <c r="A831" s="2">
        <v>42069</v>
      </c>
      <c r="B831" s="8">
        <f>YEAR(Sales_data[[#This Row],[Order Date]])</f>
        <v>2015</v>
      </c>
      <c r="C831" s="8">
        <f>MONTH(Sales_data[[#This Row],[Order Date]])</f>
        <v>3</v>
      </c>
      <c r="D831" s="8" t="str">
        <f>TEXT(Sales_data[[#This Row],[Order Date]],"mmm")</f>
        <v>Mar</v>
      </c>
      <c r="E831" t="s">
        <v>16</v>
      </c>
      <c r="F831" t="s">
        <v>23</v>
      </c>
      <c r="G831" t="s">
        <v>34</v>
      </c>
      <c r="H831" t="s">
        <v>39</v>
      </c>
      <c r="I831" t="s">
        <v>46</v>
      </c>
      <c r="J831" s="7">
        <v>67.7</v>
      </c>
      <c r="K831" s="8">
        <v>2</v>
      </c>
      <c r="L831" s="7">
        <v>391.82</v>
      </c>
    </row>
    <row r="832" spans="1:12" x14ac:dyDescent="0.2">
      <c r="A832" s="2">
        <v>42069</v>
      </c>
      <c r="B832" s="8">
        <f>YEAR(Sales_data[[#This Row],[Order Date]])</f>
        <v>2015</v>
      </c>
      <c r="C832" s="8">
        <f>MONTH(Sales_data[[#This Row],[Order Date]])</f>
        <v>3</v>
      </c>
      <c r="D832" s="8" t="str">
        <f>TEXT(Sales_data[[#This Row],[Order Date]],"mmm")</f>
        <v>Mar</v>
      </c>
      <c r="E832" t="s">
        <v>9</v>
      </c>
      <c r="F832" t="s">
        <v>29</v>
      </c>
      <c r="G832" t="s">
        <v>34</v>
      </c>
      <c r="H832" t="s">
        <v>37</v>
      </c>
      <c r="I832" t="s">
        <v>47</v>
      </c>
      <c r="J832" s="7">
        <v>49.17</v>
      </c>
      <c r="K832" s="8">
        <v>4</v>
      </c>
      <c r="L832" s="7">
        <v>-196.47</v>
      </c>
    </row>
    <row r="833" spans="1:12" x14ac:dyDescent="0.2">
      <c r="A833" s="2">
        <v>42069</v>
      </c>
      <c r="B833" s="8">
        <f>YEAR(Sales_data[[#This Row],[Order Date]])</f>
        <v>2015</v>
      </c>
      <c r="C833" s="8">
        <f>MONTH(Sales_data[[#This Row],[Order Date]])</f>
        <v>3</v>
      </c>
      <c r="D833" s="8" t="str">
        <f>TEXT(Sales_data[[#This Row],[Order Date]],"mmm")</f>
        <v>Mar</v>
      </c>
      <c r="E833" t="s">
        <v>11</v>
      </c>
      <c r="F833" t="s">
        <v>25</v>
      </c>
      <c r="G833" t="s">
        <v>34</v>
      </c>
      <c r="H833" t="s">
        <v>40</v>
      </c>
      <c r="I833" t="s">
        <v>47</v>
      </c>
      <c r="J833" s="7">
        <v>389.01</v>
      </c>
      <c r="K833" s="8">
        <v>1</v>
      </c>
      <c r="L833" s="7">
        <v>195</v>
      </c>
    </row>
    <row r="834" spans="1:12" x14ac:dyDescent="0.2">
      <c r="A834" s="2">
        <v>42070</v>
      </c>
      <c r="B834" s="8">
        <f>YEAR(Sales_data[[#This Row],[Order Date]])</f>
        <v>2015</v>
      </c>
      <c r="C834" s="8">
        <f>MONTH(Sales_data[[#This Row],[Order Date]])</f>
        <v>3</v>
      </c>
      <c r="D834" s="8" t="str">
        <f>TEXT(Sales_data[[#This Row],[Order Date]],"mmm")</f>
        <v>Mar</v>
      </c>
      <c r="E834" t="s">
        <v>14</v>
      </c>
      <c r="F834" t="s">
        <v>25</v>
      </c>
      <c r="G834" t="s">
        <v>33</v>
      </c>
      <c r="H834" t="s">
        <v>38</v>
      </c>
      <c r="I834" t="s">
        <v>52</v>
      </c>
      <c r="J834" s="7">
        <v>628.84</v>
      </c>
      <c r="K834" s="8">
        <v>1</v>
      </c>
      <c r="L834" s="7">
        <v>-158.29</v>
      </c>
    </row>
    <row r="835" spans="1:12" x14ac:dyDescent="0.2">
      <c r="A835" s="2">
        <v>42071</v>
      </c>
      <c r="B835" s="8">
        <f>YEAR(Sales_data[[#This Row],[Order Date]])</f>
        <v>2015</v>
      </c>
      <c r="C835" s="8">
        <f>MONTH(Sales_data[[#This Row],[Order Date]])</f>
        <v>3</v>
      </c>
      <c r="D835" s="8" t="str">
        <f>TEXT(Sales_data[[#This Row],[Order Date]],"mmm")</f>
        <v>Mar</v>
      </c>
      <c r="E835" t="s">
        <v>11</v>
      </c>
      <c r="F835" t="s">
        <v>22</v>
      </c>
      <c r="G835" t="s">
        <v>33</v>
      </c>
      <c r="H835" t="s">
        <v>37</v>
      </c>
      <c r="I835" t="s">
        <v>46</v>
      </c>
      <c r="J835" s="7">
        <v>522.92999999999995</v>
      </c>
      <c r="K835" s="8">
        <v>5</v>
      </c>
      <c r="L835" s="7">
        <v>102.15</v>
      </c>
    </row>
    <row r="836" spans="1:12" x14ac:dyDescent="0.2">
      <c r="A836" s="2">
        <v>42072</v>
      </c>
      <c r="B836" s="8">
        <f>YEAR(Sales_data[[#This Row],[Order Date]])</f>
        <v>2015</v>
      </c>
      <c r="C836" s="8">
        <f>MONTH(Sales_data[[#This Row],[Order Date]])</f>
        <v>3</v>
      </c>
      <c r="D836" s="8" t="str">
        <f>TEXT(Sales_data[[#This Row],[Order Date]],"mmm")</f>
        <v>Mar</v>
      </c>
      <c r="E836" t="s">
        <v>21</v>
      </c>
      <c r="F836" t="s">
        <v>25</v>
      </c>
      <c r="G836" t="s">
        <v>33</v>
      </c>
      <c r="H836" t="s">
        <v>35</v>
      </c>
      <c r="I836" t="s">
        <v>48</v>
      </c>
      <c r="J836" s="7">
        <v>1228.2</v>
      </c>
      <c r="K836" s="8">
        <v>8</v>
      </c>
      <c r="L836" s="7">
        <v>202.24</v>
      </c>
    </row>
    <row r="837" spans="1:12" x14ac:dyDescent="0.2">
      <c r="A837" s="2">
        <v>42072</v>
      </c>
      <c r="B837" s="8">
        <f>YEAR(Sales_data[[#This Row],[Order Date]])</f>
        <v>2015</v>
      </c>
      <c r="C837" s="8">
        <f>MONTH(Sales_data[[#This Row],[Order Date]])</f>
        <v>3</v>
      </c>
      <c r="D837" s="8" t="str">
        <f>TEXT(Sales_data[[#This Row],[Order Date]],"mmm")</f>
        <v>Mar</v>
      </c>
      <c r="E837" t="s">
        <v>10</v>
      </c>
      <c r="F837" t="s">
        <v>23</v>
      </c>
      <c r="G837" t="s">
        <v>32</v>
      </c>
      <c r="H837" t="s">
        <v>36</v>
      </c>
      <c r="I837" t="s">
        <v>47</v>
      </c>
      <c r="J837" s="7">
        <v>803.02</v>
      </c>
      <c r="K837" s="8">
        <v>6</v>
      </c>
      <c r="L837" s="7">
        <v>43.65</v>
      </c>
    </row>
    <row r="838" spans="1:12" x14ac:dyDescent="0.2">
      <c r="A838" s="2">
        <v>42072</v>
      </c>
      <c r="B838" s="8">
        <f>YEAR(Sales_data[[#This Row],[Order Date]])</f>
        <v>2015</v>
      </c>
      <c r="C838" s="8">
        <f>MONTH(Sales_data[[#This Row],[Order Date]])</f>
        <v>3</v>
      </c>
      <c r="D838" s="8" t="str">
        <f>TEXT(Sales_data[[#This Row],[Order Date]],"mmm")</f>
        <v>Mar</v>
      </c>
      <c r="E838" t="s">
        <v>12</v>
      </c>
      <c r="F838" t="s">
        <v>27</v>
      </c>
      <c r="G838" t="s">
        <v>33</v>
      </c>
      <c r="H838" t="s">
        <v>42</v>
      </c>
      <c r="I838" t="s">
        <v>52</v>
      </c>
      <c r="J838" s="7">
        <v>859.54</v>
      </c>
      <c r="K838" s="8">
        <v>1</v>
      </c>
      <c r="L838" s="7">
        <v>126.12</v>
      </c>
    </row>
    <row r="839" spans="1:12" x14ac:dyDescent="0.2">
      <c r="A839" s="2">
        <v>42072</v>
      </c>
      <c r="B839" s="8">
        <f>YEAR(Sales_data[[#This Row],[Order Date]])</f>
        <v>2015</v>
      </c>
      <c r="C839" s="8">
        <f>MONTH(Sales_data[[#This Row],[Order Date]])</f>
        <v>3</v>
      </c>
      <c r="D839" s="8" t="str">
        <f>TEXT(Sales_data[[#This Row],[Order Date]],"mmm")</f>
        <v>Mar</v>
      </c>
      <c r="E839" t="s">
        <v>15</v>
      </c>
      <c r="F839" t="s">
        <v>31</v>
      </c>
      <c r="G839" t="s">
        <v>34</v>
      </c>
      <c r="H839" t="s">
        <v>38</v>
      </c>
      <c r="I839" t="s">
        <v>44</v>
      </c>
      <c r="J839" s="7">
        <v>1901.72</v>
      </c>
      <c r="K839" s="8">
        <v>6</v>
      </c>
      <c r="L839" s="7">
        <v>271.14999999999998</v>
      </c>
    </row>
    <row r="840" spans="1:12" x14ac:dyDescent="0.2">
      <c r="A840" s="2">
        <v>42074</v>
      </c>
      <c r="B840" s="8">
        <f>YEAR(Sales_data[[#This Row],[Order Date]])</f>
        <v>2015</v>
      </c>
      <c r="C840" s="8">
        <f>MONTH(Sales_data[[#This Row],[Order Date]])</f>
        <v>3</v>
      </c>
      <c r="D840" s="8" t="str">
        <f>TEXT(Sales_data[[#This Row],[Order Date]],"mmm")</f>
        <v>Mar</v>
      </c>
      <c r="E840" t="s">
        <v>21</v>
      </c>
      <c r="F840" t="s">
        <v>31</v>
      </c>
      <c r="G840" t="s">
        <v>34</v>
      </c>
      <c r="H840" t="s">
        <v>42</v>
      </c>
      <c r="I840" t="s">
        <v>46</v>
      </c>
      <c r="J840" s="7">
        <v>801</v>
      </c>
      <c r="K840" s="8">
        <v>5</v>
      </c>
      <c r="L840" s="7">
        <v>264.7</v>
      </c>
    </row>
    <row r="841" spans="1:12" x14ac:dyDescent="0.2">
      <c r="A841" s="2">
        <v>42074</v>
      </c>
      <c r="B841" s="8">
        <f>YEAR(Sales_data[[#This Row],[Order Date]])</f>
        <v>2015</v>
      </c>
      <c r="C841" s="8">
        <f>MONTH(Sales_data[[#This Row],[Order Date]])</f>
        <v>3</v>
      </c>
      <c r="D841" s="8" t="str">
        <f>TEXT(Sales_data[[#This Row],[Order Date]],"mmm")</f>
        <v>Mar</v>
      </c>
      <c r="E841" t="s">
        <v>15</v>
      </c>
      <c r="F841" t="s">
        <v>25</v>
      </c>
      <c r="G841" t="s">
        <v>32</v>
      </c>
      <c r="H841" t="s">
        <v>36</v>
      </c>
      <c r="I841" t="s">
        <v>45</v>
      </c>
      <c r="J841" s="7">
        <v>1030.06</v>
      </c>
      <c r="K841" s="8">
        <v>8</v>
      </c>
      <c r="L841" s="7">
        <v>-39.46</v>
      </c>
    </row>
    <row r="842" spans="1:12" x14ac:dyDescent="0.2">
      <c r="A842" s="2">
        <v>42075</v>
      </c>
      <c r="B842" s="8">
        <f>YEAR(Sales_data[[#This Row],[Order Date]])</f>
        <v>2015</v>
      </c>
      <c r="C842" s="8">
        <f>MONTH(Sales_data[[#This Row],[Order Date]])</f>
        <v>3</v>
      </c>
      <c r="D842" s="8" t="str">
        <f>TEXT(Sales_data[[#This Row],[Order Date]],"mmm")</f>
        <v>Mar</v>
      </c>
      <c r="E842" t="s">
        <v>19</v>
      </c>
      <c r="F842" t="s">
        <v>23</v>
      </c>
      <c r="G842" t="s">
        <v>34</v>
      </c>
      <c r="H842" t="s">
        <v>37</v>
      </c>
      <c r="I842" t="s">
        <v>45</v>
      </c>
      <c r="J842" s="7">
        <v>1845.77</v>
      </c>
      <c r="K842" s="8">
        <v>1</v>
      </c>
      <c r="L842" s="7">
        <v>-25.14</v>
      </c>
    </row>
    <row r="843" spans="1:12" x14ac:dyDescent="0.2">
      <c r="A843" s="2">
        <v>42076</v>
      </c>
      <c r="B843" s="8">
        <f>YEAR(Sales_data[[#This Row],[Order Date]])</f>
        <v>2015</v>
      </c>
      <c r="C843" s="8">
        <f>MONTH(Sales_data[[#This Row],[Order Date]])</f>
        <v>3</v>
      </c>
      <c r="D843" s="8" t="str">
        <f>TEXT(Sales_data[[#This Row],[Order Date]],"mmm")</f>
        <v>Mar</v>
      </c>
      <c r="E843" t="s">
        <v>17</v>
      </c>
      <c r="F843" t="s">
        <v>22</v>
      </c>
      <c r="G843" t="s">
        <v>33</v>
      </c>
      <c r="H843" t="s">
        <v>35</v>
      </c>
      <c r="I843" t="s">
        <v>53</v>
      </c>
      <c r="J843" s="7">
        <v>983.5</v>
      </c>
      <c r="K843" s="8">
        <v>8</v>
      </c>
      <c r="L843" s="7">
        <v>396.82</v>
      </c>
    </row>
    <row r="844" spans="1:12" x14ac:dyDescent="0.2">
      <c r="A844" s="2">
        <v>42076</v>
      </c>
      <c r="B844" s="8">
        <f>YEAR(Sales_data[[#This Row],[Order Date]])</f>
        <v>2015</v>
      </c>
      <c r="C844" s="8">
        <f>MONTH(Sales_data[[#This Row],[Order Date]])</f>
        <v>3</v>
      </c>
      <c r="D844" s="8" t="str">
        <f>TEXT(Sales_data[[#This Row],[Order Date]],"mmm")</f>
        <v>Mar</v>
      </c>
      <c r="E844" t="s">
        <v>16</v>
      </c>
      <c r="F844" t="s">
        <v>23</v>
      </c>
      <c r="G844" t="s">
        <v>32</v>
      </c>
      <c r="H844" t="s">
        <v>41</v>
      </c>
      <c r="I844" t="s">
        <v>47</v>
      </c>
      <c r="J844" s="7">
        <v>1604.82</v>
      </c>
      <c r="K844" s="8">
        <v>6</v>
      </c>
      <c r="L844" s="7">
        <v>50.69</v>
      </c>
    </row>
    <row r="845" spans="1:12" x14ac:dyDescent="0.2">
      <c r="A845" s="2">
        <v>42078</v>
      </c>
      <c r="B845" s="8">
        <f>YEAR(Sales_data[[#This Row],[Order Date]])</f>
        <v>2015</v>
      </c>
      <c r="C845" s="8">
        <f>MONTH(Sales_data[[#This Row],[Order Date]])</f>
        <v>3</v>
      </c>
      <c r="D845" s="8" t="str">
        <f>TEXT(Sales_data[[#This Row],[Order Date]],"mmm")</f>
        <v>Mar</v>
      </c>
      <c r="E845" t="s">
        <v>12</v>
      </c>
      <c r="F845" t="s">
        <v>27</v>
      </c>
      <c r="G845" t="s">
        <v>32</v>
      </c>
      <c r="H845" t="s">
        <v>43</v>
      </c>
      <c r="I845" t="s">
        <v>52</v>
      </c>
      <c r="J845" s="7">
        <v>1539.12</v>
      </c>
      <c r="K845" s="8">
        <v>9</v>
      </c>
      <c r="L845" s="7">
        <v>364.35</v>
      </c>
    </row>
    <row r="846" spans="1:12" x14ac:dyDescent="0.2">
      <c r="A846" s="2">
        <v>42079</v>
      </c>
      <c r="B846" s="8">
        <f>YEAR(Sales_data[[#This Row],[Order Date]])</f>
        <v>2015</v>
      </c>
      <c r="C846" s="8">
        <f>MONTH(Sales_data[[#This Row],[Order Date]])</f>
        <v>3</v>
      </c>
      <c r="D846" s="8" t="str">
        <f>TEXT(Sales_data[[#This Row],[Order Date]],"mmm")</f>
        <v>Mar</v>
      </c>
      <c r="E846" t="s">
        <v>19</v>
      </c>
      <c r="F846" t="s">
        <v>23</v>
      </c>
      <c r="G846" t="s">
        <v>33</v>
      </c>
      <c r="H846" t="s">
        <v>42</v>
      </c>
      <c r="I846" t="s">
        <v>49</v>
      </c>
      <c r="J846" s="7">
        <v>93.34</v>
      </c>
      <c r="K846" s="8">
        <v>2</v>
      </c>
      <c r="L846" s="7">
        <v>265.18</v>
      </c>
    </row>
    <row r="847" spans="1:12" x14ac:dyDescent="0.2">
      <c r="A847" s="2">
        <v>42079</v>
      </c>
      <c r="B847" s="8">
        <f>YEAR(Sales_data[[#This Row],[Order Date]])</f>
        <v>2015</v>
      </c>
      <c r="C847" s="8">
        <f>MONTH(Sales_data[[#This Row],[Order Date]])</f>
        <v>3</v>
      </c>
      <c r="D847" s="8" t="str">
        <f>TEXT(Sales_data[[#This Row],[Order Date]],"mmm")</f>
        <v>Mar</v>
      </c>
      <c r="E847" t="s">
        <v>20</v>
      </c>
      <c r="F847" t="s">
        <v>31</v>
      </c>
      <c r="G847" t="s">
        <v>33</v>
      </c>
      <c r="H847" t="s">
        <v>35</v>
      </c>
      <c r="I847" t="s">
        <v>52</v>
      </c>
      <c r="J847" s="7">
        <v>1995.85</v>
      </c>
      <c r="K847" s="8">
        <v>6</v>
      </c>
      <c r="L847" s="7">
        <v>-20.05</v>
      </c>
    </row>
    <row r="848" spans="1:12" x14ac:dyDescent="0.2">
      <c r="A848" s="2">
        <v>42079</v>
      </c>
      <c r="B848" s="8">
        <f>YEAR(Sales_data[[#This Row],[Order Date]])</f>
        <v>2015</v>
      </c>
      <c r="C848" s="8">
        <f>MONTH(Sales_data[[#This Row],[Order Date]])</f>
        <v>3</v>
      </c>
      <c r="D848" s="8" t="str">
        <f>TEXT(Sales_data[[#This Row],[Order Date]],"mmm")</f>
        <v>Mar</v>
      </c>
      <c r="E848" t="s">
        <v>14</v>
      </c>
      <c r="F848" t="s">
        <v>23</v>
      </c>
      <c r="G848" t="s">
        <v>33</v>
      </c>
      <c r="H848" t="s">
        <v>38</v>
      </c>
      <c r="I848" t="s">
        <v>44</v>
      </c>
      <c r="J848" s="7">
        <v>874.87</v>
      </c>
      <c r="K848" s="8">
        <v>3</v>
      </c>
      <c r="L848" s="7">
        <v>184.87</v>
      </c>
    </row>
    <row r="849" spans="1:12" x14ac:dyDescent="0.2">
      <c r="A849" s="2">
        <v>42079</v>
      </c>
      <c r="B849" s="8">
        <f>YEAR(Sales_data[[#This Row],[Order Date]])</f>
        <v>2015</v>
      </c>
      <c r="C849" s="8">
        <f>MONTH(Sales_data[[#This Row],[Order Date]])</f>
        <v>3</v>
      </c>
      <c r="D849" s="8" t="str">
        <f>TEXT(Sales_data[[#This Row],[Order Date]],"mmm")</f>
        <v>Mar</v>
      </c>
      <c r="E849" t="s">
        <v>9</v>
      </c>
      <c r="F849" t="s">
        <v>23</v>
      </c>
      <c r="G849" t="s">
        <v>32</v>
      </c>
      <c r="H849" t="s">
        <v>38</v>
      </c>
      <c r="I849" t="s">
        <v>53</v>
      </c>
      <c r="J849" s="7">
        <v>1530.85</v>
      </c>
      <c r="K849" s="8">
        <v>5</v>
      </c>
      <c r="L849" s="7">
        <v>386.79</v>
      </c>
    </row>
    <row r="850" spans="1:12" x14ac:dyDescent="0.2">
      <c r="A850" s="2">
        <v>42080</v>
      </c>
      <c r="B850" s="8">
        <f>YEAR(Sales_data[[#This Row],[Order Date]])</f>
        <v>2015</v>
      </c>
      <c r="C850" s="8">
        <f>MONTH(Sales_data[[#This Row],[Order Date]])</f>
        <v>3</v>
      </c>
      <c r="D850" s="8" t="str">
        <f>TEXT(Sales_data[[#This Row],[Order Date]],"mmm")</f>
        <v>Mar</v>
      </c>
      <c r="E850" t="s">
        <v>19</v>
      </c>
      <c r="F850" t="s">
        <v>31</v>
      </c>
      <c r="G850" t="s">
        <v>32</v>
      </c>
      <c r="H850" t="s">
        <v>43</v>
      </c>
      <c r="I850" t="s">
        <v>49</v>
      </c>
      <c r="J850" s="7">
        <v>1490.66</v>
      </c>
      <c r="K850" s="8">
        <v>1</v>
      </c>
      <c r="L850" s="7">
        <v>254.02</v>
      </c>
    </row>
    <row r="851" spans="1:12" x14ac:dyDescent="0.2">
      <c r="A851" s="2">
        <v>42080</v>
      </c>
      <c r="B851" s="8">
        <f>YEAR(Sales_data[[#This Row],[Order Date]])</f>
        <v>2015</v>
      </c>
      <c r="C851" s="8">
        <f>MONTH(Sales_data[[#This Row],[Order Date]])</f>
        <v>3</v>
      </c>
      <c r="D851" s="8" t="str">
        <f>TEXT(Sales_data[[#This Row],[Order Date]],"mmm")</f>
        <v>Mar</v>
      </c>
      <c r="E851" t="s">
        <v>11</v>
      </c>
      <c r="F851" t="s">
        <v>26</v>
      </c>
      <c r="G851" t="s">
        <v>33</v>
      </c>
      <c r="H851" t="s">
        <v>36</v>
      </c>
      <c r="I851" t="s">
        <v>49</v>
      </c>
      <c r="J851" s="7">
        <v>882.92</v>
      </c>
      <c r="K851" s="8">
        <v>5</v>
      </c>
      <c r="L851" s="7">
        <v>171.21</v>
      </c>
    </row>
    <row r="852" spans="1:12" x14ac:dyDescent="0.2">
      <c r="A852" s="2">
        <v>42080</v>
      </c>
      <c r="B852" s="8">
        <f>YEAR(Sales_data[[#This Row],[Order Date]])</f>
        <v>2015</v>
      </c>
      <c r="C852" s="8">
        <f>MONTH(Sales_data[[#This Row],[Order Date]])</f>
        <v>3</v>
      </c>
      <c r="D852" s="8" t="str">
        <f>TEXT(Sales_data[[#This Row],[Order Date]],"mmm")</f>
        <v>Mar</v>
      </c>
      <c r="E852" t="s">
        <v>10</v>
      </c>
      <c r="F852" t="s">
        <v>31</v>
      </c>
      <c r="G852" t="s">
        <v>32</v>
      </c>
      <c r="H852" t="s">
        <v>40</v>
      </c>
      <c r="I852" t="s">
        <v>49</v>
      </c>
      <c r="J852" s="7">
        <v>735.18</v>
      </c>
      <c r="K852" s="8">
        <v>1</v>
      </c>
      <c r="L852" s="7">
        <v>331.46</v>
      </c>
    </row>
    <row r="853" spans="1:12" x14ac:dyDescent="0.2">
      <c r="A853" s="2">
        <v>42080</v>
      </c>
      <c r="B853" s="8">
        <f>YEAR(Sales_data[[#This Row],[Order Date]])</f>
        <v>2015</v>
      </c>
      <c r="C853" s="8">
        <f>MONTH(Sales_data[[#This Row],[Order Date]])</f>
        <v>3</v>
      </c>
      <c r="D853" s="8" t="str">
        <f>TEXT(Sales_data[[#This Row],[Order Date]],"mmm")</f>
        <v>Mar</v>
      </c>
      <c r="E853" t="s">
        <v>16</v>
      </c>
      <c r="F853" t="s">
        <v>28</v>
      </c>
      <c r="G853" t="s">
        <v>34</v>
      </c>
      <c r="H853" t="s">
        <v>35</v>
      </c>
      <c r="I853" t="s">
        <v>53</v>
      </c>
      <c r="J853" s="7">
        <v>1516.73</v>
      </c>
      <c r="K853" s="8">
        <v>5</v>
      </c>
      <c r="L853" s="7">
        <v>345.1</v>
      </c>
    </row>
    <row r="854" spans="1:12" x14ac:dyDescent="0.2">
      <c r="A854" s="2">
        <v>42081</v>
      </c>
      <c r="B854" s="8">
        <f>YEAR(Sales_data[[#This Row],[Order Date]])</f>
        <v>2015</v>
      </c>
      <c r="C854" s="8">
        <f>MONTH(Sales_data[[#This Row],[Order Date]])</f>
        <v>3</v>
      </c>
      <c r="D854" s="8" t="str">
        <f>TEXT(Sales_data[[#This Row],[Order Date]],"mmm")</f>
        <v>Mar</v>
      </c>
      <c r="E854" t="s">
        <v>19</v>
      </c>
      <c r="F854" t="s">
        <v>30</v>
      </c>
      <c r="G854" t="s">
        <v>34</v>
      </c>
      <c r="H854" t="s">
        <v>41</v>
      </c>
      <c r="I854" t="s">
        <v>53</v>
      </c>
      <c r="J854" s="7">
        <v>326.12</v>
      </c>
      <c r="K854" s="8">
        <v>3</v>
      </c>
      <c r="L854" s="7">
        <v>-0.46</v>
      </c>
    </row>
    <row r="855" spans="1:12" x14ac:dyDescent="0.2">
      <c r="A855" s="2">
        <v>42081</v>
      </c>
      <c r="B855" s="8">
        <f>YEAR(Sales_data[[#This Row],[Order Date]])</f>
        <v>2015</v>
      </c>
      <c r="C855" s="8">
        <f>MONTH(Sales_data[[#This Row],[Order Date]])</f>
        <v>3</v>
      </c>
      <c r="D855" s="8" t="str">
        <f>TEXT(Sales_data[[#This Row],[Order Date]],"mmm")</f>
        <v>Mar</v>
      </c>
      <c r="E855" t="s">
        <v>16</v>
      </c>
      <c r="F855" t="s">
        <v>24</v>
      </c>
      <c r="G855" t="s">
        <v>32</v>
      </c>
      <c r="H855" t="s">
        <v>43</v>
      </c>
      <c r="I855" t="s">
        <v>53</v>
      </c>
      <c r="J855" s="7">
        <v>1301.01</v>
      </c>
      <c r="K855" s="8">
        <v>1</v>
      </c>
      <c r="L855" s="7">
        <v>42.94</v>
      </c>
    </row>
    <row r="856" spans="1:12" x14ac:dyDescent="0.2">
      <c r="A856" s="2">
        <v>42086</v>
      </c>
      <c r="B856" s="8">
        <f>YEAR(Sales_data[[#This Row],[Order Date]])</f>
        <v>2015</v>
      </c>
      <c r="C856" s="8">
        <f>MONTH(Sales_data[[#This Row],[Order Date]])</f>
        <v>3</v>
      </c>
      <c r="D856" s="8" t="str">
        <f>TEXT(Sales_data[[#This Row],[Order Date]],"mmm")</f>
        <v>Mar</v>
      </c>
      <c r="E856" t="s">
        <v>16</v>
      </c>
      <c r="F856" t="s">
        <v>29</v>
      </c>
      <c r="G856" t="s">
        <v>33</v>
      </c>
      <c r="H856" t="s">
        <v>39</v>
      </c>
      <c r="I856" t="s">
        <v>45</v>
      </c>
      <c r="J856" s="7">
        <v>333.51</v>
      </c>
      <c r="K856" s="8">
        <v>5</v>
      </c>
      <c r="L856" s="7">
        <v>-136.81</v>
      </c>
    </row>
    <row r="857" spans="1:12" x14ac:dyDescent="0.2">
      <c r="A857" s="2">
        <v>42088</v>
      </c>
      <c r="B857" s="8">
        <f>YEAR(Sales_data[[#This Row],[Order Date]])</f>
        <v>2015</v>
      </c>
      <c r="C857" s="8">
        <f>MONTH(Sales_data[[#This Row],[Order Date]])</f>
        <v>3</v>
      </c>
      <c r="D857" s="8" t="str">
        <f>TEXT(Sales_data[[#This Row],[Order Date]],"mmm")</f>
        <v>Mar</v>
      </c>
      <c r="E857" t="s">
        <v>14</v>
      </c>
      <c r="F857" t="s">
        <v>26</v>
      </c>
      <c r="G857" t="s">
        <v>34</v>
      </c>
      <c r="H857" t="s">
        <v>36</v>
      </c>
      <c r="I857" t="s">
        <v>50</v>
      </c>
      <c r="J857" s="7">
        <v>50.82</v>
      </c>
      <c r="K857" s="8">
        <v>4</v>
      </c>
      <c r="L857" s="7">
        <v>199.02</v>
      </c>
    </row>
    <row r="858" spans="1:12" x14ac:dyDescent="0.2">
      <c r="A858" s="2">
        <v>42088</v>
      </c>
      <c r="B858" s="8">
        <f>YEAR(Sales_data[[#This Row],[Order Date]])</f>
        <v>2015</v>
      </c>
      <c r="C858" s="8">
        <f>MONTH(Sales_data[[#This Row],[Order Date]])</f>
        <v>3</v>
      </c>
      <c r="D858" s="8" t="str">
        <f>TEXT(Sales_data[[#This Row],[Order Date]],"mmm")</f>
        <v>Mar</v>
      </c>
      <c r="E858" t="s">
        <v>16</v>
      </c>
      <c r="F858" t="s">
        <v>25</v>
      </c>
      <c r="G858" t="s">
        <v>34</v>
      </c>
      <c r="H858" t="s">
        <v>40</v>
      </c>
      <c r="I858" t="s">
        <v>44</v>
      </c>
      <c r="J858" s="7">
        <v>93.53</v>
      </c>
      <c r="K858" s="8">
        <v>2</v>
      </c>
      <c r="L858" s="7">
        <v>78.09</v>
      </c>
    </row>
    <row r="859" spans="1:12" x14ac:dyDescent="0.2">
      <c r="A859" s="2">
        <v>42088</v>
      </c>
      <c r="B859" s="8">
        <f>YEAR(Sales_data[[#This Row],[Order Date]])</f>
        <v>2015</v>
      </c>
      <c r="C859" s="8">
        <f>MONTH(Sales_data[[#This Row],[Order Date]])</f>
        <v>3</v>
      </c>
      <c r="D859" s="8" t="str">
        <f>TEXT(Sales_data[[#This Row],[Order Date]],"mmm")</f>
        <v>Mar</v>
      </c>
      <c r="E859" t="s">
        <v>9</v>
      </c>
      <c r="F859" t="s">
        <v>23</v>
      </c>
      <c r="G859" t="s">
        <v>33</v>
      </c>
      <c r="H859" t="s">
        <v>41</v>
      </c>
      <c r="I859" t="s">
        <v>46</v>
      </c>
      <c r="J859" s="7">
        <v>191.11</v>
      </c>
      <c r="K859" s="8">
        <v>3</v>
      </c>
      <c r="L859" s="7">
        <v>318.29000000000002</v>
      </c>
    </row>
    <row r="860" spans="1:12" x14ac:dyDescent="0.2">
      <c r="A860" s="2">
        <v>42089</v>
      </c>
      <c r="B860" s="8">
        <f>YEAR(Sales_data[[#This Row],[Order Date]])</f>
        <v>2015</v>
      </c>
      <c r="C860" s="8">
        <f>MONTH(Sales_data[[#This Row],[Order Date]])</f>
        <v>3</v>
      </c>
      <c r="D860" s="8" t="str">
        <f>TEXT(Sales_data[[#This Row],[Order Date]],"mmm")</f>
        <v>Mar</v>
      </c>
      <c r="E860" t="s">
        <v>20</v>
      </c>
      <c r="F860" t="s">
        <v>31</v>
      </c>
      <c r="G860" t="s">
        <v>33</v>
      </c>
      <c r="H860" t="s">
        <v>42</v>
      </c>
      <c r="I860" t="s">
        <v>44</v>
      </c>
      <c r="J860" s="7">
        <v>926.76</v>
      </c>
      <c r="K860" s="8">
        <v>5</v>
      </c>
      <c r="L860" s="7">
        <v>138.91</v>
      </c>
    </row>
    <row r="861" spans="1:12" x14ac:dyDescent="0.2">
      <c r="A861" s="2">
        <v>42089</v>
      </c>
      <c r="B861" s="8">
        <f>YEAR(Sales_data[[#This Row],[Order Date]])</f>
        <v>2015</v>
      </c>
      <c r="C861" s="8">
        <f>MONTH(Sales_data[[#This Row],[Order Date]])</f>
        <v>3</v>
      </c>
      <c r="D861" s="8" t="str">
        <f>TEXT(Sales_data[[#This Row],[Order Date]],"mmm")</f>
        <v>Mar</v>
      </c>
      <c r="E861" t="s">
        <v>10</v>
      </c>
      <c r="F861" t="s">
        <v>26</v>
      </c>
      <c r="G861" t="s">
        <v>34</v>
      </c>
      <c r="H861" t="s">
        <v>41</v>
      </c>
      <c r="I861" t="s">
        <v>53</v>
      </c>
      <c r="J861" s="7">
        <v>1621.73</v>
      </c>
      <c r="K861" s="8">
        <v>5</v>
      </c>
      <c r="L861" s="7">
        <v>54.49</v>
      </c>
    </row>
    <row r="862" spans="1:12" x14ac:dyDescent="0.2">
      <c r="A862" s="2">
        <v>42089</v>
      </c>
      <c r="B862" s="8">
        <f>YEAR(Sales_data[[#This Row],[Order Date]])</f>
        <v>2015</v>
      </c>
      <c r="C862" s="8">
        <f>MONTH(Sales_data[[#This Row],[Order Date]])</f>
        <v>3</v>
      </c>
      <c r="D862" s="8" t="str">
        <f>TEXT(Sales_data[[#This Row],[Order Date]],"mmm")</f>
        <v>Mar</v>
      </c>
      <c r="E862" t="s">
        <v>15</v>
      </c>
      <c r="F862" t="s">
        <v>30</v>
      </c>
      <c r="G862" t="s">
        <v>33</v>
      </c>
      <c r="H862" t="s">
        <v>38</v>
      </c>
      <c r="I862" t="s">
        <v>48</v>
      </c>
      <c r="J862" s="7">
        <v>1118.33</v>
      </c>
      <c r="K862" s="8">
        <v>5</v>
      </c>
      <c r="L862" s="7">
        <v>-184.69</v>
      </c>
    </row>
    <row r="863" spans="1:12" x14ac:dyDescent="0.2">
      <c r="A863" s="2">
        <v>42089</v>
      </c>
      <c r="B863" s="8">
        <f>YEAR(Sales_data[[#This Row],[Order Date]])</f>
        <v>2015</v>
      </c>
      <c r="C863" s="8">
        <f>MONTH(Sales_data[[#This Row],[Order Date]])</f>
        <v>3</v>
      </c>
      <c r="D863" s="8" t="str">
        <f>TEXT(Sales_data[[#This Row],[Order Date]],"mmm")</f>
        <v>Mar</v>
      </c>
      <c r="E863" t="s">
        <v>12</v>
      </c>
      <c r="F863" t="s">
        <v>29</v>
      </c>
      <c r="G863" t="s">
        <v>33</v>
      </c>
      <c r="H863" t="s">
        <v>35</v>
      </c>
      <c r="I863" t="s">
        <v>50</v>
      </c>
      <c r="J863" s="7">
        <v>24.37</v>
      </c>
      <c r="K863" s="8">
        <v>3</v>
      </c>
      <c r="L863" s="7">
        <v>-80.25</v>
      </c>
    </row>
    <row r="864" spans="1:12" x14ac:dyDescent="0.2">
      <c r="A864" s="2">
        <v>42090</v>
      </c>
      <c r="B864" s="8">
        <f>YEAR(Sales_data[[#This Row],[Order Date]])</f>
        <v>2015</v>
      </c>
      <c r="C864" s="8">
        <f>MONTH(Sales_data[[#This Row],[Order Date]])</f>
        <v>3</v>
      </c>
      <c r="D864" s="8" t="str">
        <f>TEXT(Sales_data[[#This Row],[Order Date]],"mmm")</f>
        <v>Mar</v>
      </c>
      <c r="E864" t="s">
        <v>20</v>
      </c>
      <c r="F864" t="s">
        <v>23</v>
      </c>
      <c r="G864" t="s">
        <v>34</v>
      </c>
      <c r="H864" t="s">
        <v>35</v>
      </c>
      <c r="I864" t="s">
        <v>45</v>
      </c>
      <c r="J864" s="7">
        <v>294.73</v>
      </c>
      <c r="K864" s="8">
        <v>5</v>
      </c>
      <c r="L864" s="7">
        <v>175.54</v>
      </c>
    </row>
    <row r="865" spans="1:12" x14ac:dyDescent="0.2">
      <c r="A865" s="2">
        <v>42090</v>
      </c>
      <c r="B865" s="8">
        <f>YEAR(Sales_data[[#This Row],[Order Date]])</f>
        <v>2015</v>
      </c>
      <c r="C865" s="8">
        <f>MONTH(Sales_data[[#This Row],[Order Date]])</f>
        <v>3</v>
      </c>
      <c r="D865" s="8" t="str">
        <f>TEXT(Sales_data[[#This Row],[Order Date]],"mmm")</f>
        <v>Mar</v>
      </c>
      <c r="E865" t="s">
        <v>18</v>
      </c>
      <c r="F865" t="s">
        <v>31</v>
      </c>
      <c r="G865" t="s">
        <v>32</v>
      </c>
      <c r="H865" t="s">
        <v>41</v>
      </c>
      <c r="I865" t="s">
        <v>53</v>
      </c>
      <c r="J865" s="7">
        <v>1994.01</v>
      </c>
      <c r="K865" s="8">
        <v>4</v>
      </c>
      <c r="L865" s="7">
        <v>386.16</v>
      </c>
    </row>
    <row r="866" spans="1:12" x14ac:dyDescent="0.2">
      <c r="A866" s="2">
        <v>42090</v>
      </c>
      <c r="B866" s="8">
        <f>YEAR(Sales_data[[#This Row],[Order Date]])</f>
        <v>2015</v>
      </c>
      <c r="C866" s="8">
        <f>MONTH(Sales_data[[#This Row],[Order Date]])</f>
        <v>3</v>
      </c>
      <c r="D866" s="8" t="str">
        <f>TEXT(Sales_data[[#This Row],[Order Date]],"mmm")</f>
        <v>Mar</v>
      </c>
      <c r="E866" t="s">
        <v>17</v>
      </c>
      <c r="F866" t="s">
        <v>26</v>
      </c>
      <c r="G866" t="s">
        <v>33</v>
      </c>
      <c r="H866" t="s">
        <v>35</v>
      </c>
      <c r="I866" t="s">
        <v>52</v>
      </c>
      <c r="J866" s="7">
        <v>791.54</v>
      </c>
      <c r="K866" s="8">
        <v>5</v>
      </c>
      <c r="L866" s="7">
        <v>-9.1</v>
      </c>
    </row>
    <row r="867" spans="1:12" x14ac:dyDescent="0.2">
      <c r="A867" s="2">
        <v>42090</v>
      </c>
      <c r="B867" s="8">
        <f>YEAR(Sales_data[[#This Row],[Order Date]])</f>
        <v>2015</v>
      </c>
      <c r="C867" s="8">
        <f>MONTH(Sales_data[[#This Row],[Order Date]])</f>
        <v>3</v>
      </c>
      <c r="D867" s="8" t="str">
        <f>TEXT(Sales_data[[#This Row],[Order Date]],"mmm")</f>
        <v>Mar</v>
      </c>
      <c r="E867" t="s">
        <v>10</v>
      </c>
      <c r="F867" t="s">
        <v>25</v>
      </c>
      <c r="G867" t="s">
        <v>32</v>
      </c>
      <c r="H867" t="s">
        <v>35</v>
      </c>
      <c r="I867" t="s">
        <v>47</v>
      </c>
      <c r="J867" s="7">
        <v>181.64</v>
      </c>
      <c r="K867" s="8">
        <v>7</v>
      </c>
      <c r="L867" s="7">
        <v>310.62</v>
      </c>
    </row>
    <row r="868" spans="1:12" x14ac:dyDescent="0.2">
      <c r="A868" s="2">
        <v>42091</v>
      </c>
      <c r="B868" s="8">
        <f>YEAR(Sales_data[[#This Row],[Order Date]])</f>
        <v>2015</v>
      </c>
      <c r="C868" s="8">
        <f>MONTH(Sales_data[[#This Row],[Order Date]])</f>
        <v>3</v>
      </c>
      <c r="D868" s="8" t="str">
        <f>TEXT(Sales_data[[#This Row],[Order Date]],"mmm")</f>
        <v>Mar</v>
      </c>
      <c r="E868" t="s">
        <v>20</v>
      </c>
      <c r="F868" t="s">
        <v>30</v>
      </c>
      <c r="G868" t="s">
        <v>32</v>
      </c>
      <c r="H868" t="s">
        <v>39</v>
      </c>
      <c r="I868" t="s">
        <v>45</v>
      </c>
      <c r="J868" s="7">
        <v>511.06</v>
      </c>
      <c r="K868" s="8">
        <v>7</v>
      </c>
      <c r="L868" s="7">
        <v>314.66000000000003</v>
      </c>
    </row>
    <row r="869" spans="1:12" x14ac:dyDescent="0.2">
      <c r="A869" s="2">
        <v>42091</v>
      </c>
      <c r="B869" s="8">
        <f>YEAR(Sales_data[[#This Row],[Order Date]])</f>
        <v>2015</v>
      </c>
      <c r="C869" s="8">
        <f>MONTH(Sales_data[[#This Row],[Order Date]])</f>
        <v>3</v>
      </c>
      <c r="D869" s="8" t="str">
        <f>TEXT(Sales_data[[#This Row],[Order Date]],"mmm")</f>
        <v>Mar</v>
      </c>
      <c r="E869" t="s">
        <v>12</v>
      </c>
      <c r="F869" t="s">
        <v>25</v>
      </c>
      <c r="G869" t="s">
        <v>33</v>
      </c>
      <c r="H869" t="s">
        <v>40</v>
      </c>
      <c r="I869" t="s">
        <v>47</v>
      </c>
      <c r="J869" s="7">
        <v>1223.04</v>
      </c>
      <c r="K869" s="8">
        <v>5</v>
      </c>
      <c r="L869" s="7">
        <v>-175.83</v>
      </c>
    </row>
    <row r="870" spans="1:12" x14ac:dyDescent="0.2">
      <c r="A870" s="2">
        <v>42093</v>
      </c>
      <c r="B870" s="8">
        <f>YEAR(Sales_data[[#This Row],[Order Date]])</f>
        <v>2015</v>
      </c>
      <c r="C870" s="8">
        <f>MONTH(Sales_data[[#This Row],[Order Date]])</f>
        <v>3</v>
      </c>
      <c r="D870" s="8" t="str">
        <f>TEXT(Sales_data[[#This Row],[Order Date]],"mmm")</f>
        <v>Mar</v>
      </c>
      <c r="E870" t="s">
        <v>13</v>
      </c>
      <c r="F870" t="s">
        <v>26</v>
      </c>
      <c r="G870" t="s">
        <v>32</v>
      </c>
      <c r="H870" t="s">
        <v>41</v>
      </c>
      <c r="I870" t="s">
        <v>53</v>
      </c>
      <c r="J870" s="7">
        <v>1737.96</v>
      </c>
      <c r="K870" s="8">
        <v>8</v>
      </c>
      <c r="L870" s="7">
        <v>-194.12</v>
      </c>
    </row>
    <row r="871" spans="1:12" x14ac:dyDescent="0.2">
      <c r="A871" s="2">
        <v>42095</v>
      </c>
      <c r="B871" s="8">
        <f>YEAR(Sales_data[[#This Row],[Order Date]])</f>
        <v>2015</v>
      </c>
      <c r="C871" s="8">
        <f>MONTH(Sales_data[[#This Row],[Order Date]])</f>
        <v>4</v>
      </c>
      <c r="D871" s="8" t="str">
        <f>TEXT(Sales_data[[#This Row],[Order Date]],"mmm")</f>
        <v>Apr</v>
      </c>
      <c r="E871" t="s">
        <v>15</v>
      </c>
      <c r="F871" t="s">
        <v>29</v>
      </c>
      <c r="G871" t="s">
        <v>32</v>
      </c>
      <c r="H871" t="s">
        <v>36</v>
      </c>
      <c r="I871" t="s">
        <v>51</v>
      </c>
      <c r="J871" s="7">
        <v>1460.78</v>
      </c>
      <c r="K871" s="8">
        <v>4</v>
      </c>
      <c r="L871" s="7">
        <v>-55.84</v>
      </c>
    </row>
    <row r="872" spans="1:12" x14ac:dyDescent="0.2">
      <c r="A872" s="2">
        <v>42095</v>
      </c>
      <c r="B872" s="8">
        <f>YEAR(Sales_data[[#This Row],[Order Date]])</f>
        <v>2015</v>
      </c>
      <c r="C872" s="8">
        <f>MONTH(Sales_data[[#This Row],[Order Date]])</f>
        <v>4</v>
      </c>
      <c r="D872" s="8" t="str">
        <f>TEXT(Sales_data[[#This Row],[Order Date]],"mmm")</f>
        <v>Apr</v>
      </c>
      <c r="E872" t="s">
        <v>13</v>
      </c>
      <c r="F872" t="s">
        <v>27</v>
      </c>
      <c r="G872" t="s">
        <v>34</v>
      </c>
      <c r="H872" t="s">
        <v>39</v>
      </c>
      <c r="I872" t="s">
        <v>49</v>
      </c>
      <c r="J872" s="7">
        <v>1011.42</v>
      </c>
      <c r="K872" s="8">
        <v>3</v>
      </c>
      <c r="L872" s="7">
        <v>-129.06</v>
      </c>
    </row>
    <row r="873" spans="1:12" x14ac:dyDescent="0.2">
      <c r="A873" s="2">
        <v>42096</v>
      </c>
      <c r="B873" s="8">
        <f>YEAR(Sales_data[[#This Row],[Order Date]])</f>
        <v>2015</v>
      </c>
      <c r="C873" s="8">
        <f>MONTH(Sales_data[[#This Row],[Order Date]])</f>
        <v>4</v>
      </c>
      <c r="D873" s="8" t="str">
        <f>TEXT(Sales_data[[#This Row],[Order Date]],"mmm")</f>
        <v>Apr</v>
      </c>
      <c r="E873" t="s">
        <v>13</v>
      </c>
      <c r="F873" t="s">
        <v>31</v>
      </c>
      <c r="G873" t="s">
        <v>34</v>
      </c>
      <c r="H873" t="s">
        <v>43</v>
      </c>
      <c r="I873" t="s">
        <v>46</v>
      </c>
      <c r="J873" s="7">
        <v>636.87</v>
      </c>
      <c r="K873" s="8">
        <v>7</v>
      </c>
      <c r="L873" s="7">
        <v>-92.84</v>
      </c>
    </row>
    <row r="874" spans="1:12" x14ac:dyDescent="0.2">
      <c r="A874" s="2">
        <v>42097</v>
      </c>
      <c r="B874" s="8">
        <f>YEAR(Sales_data[[#This Row],[Order Date]])</f>
        <v>2015</v>
      </c>
      <c r="C874" s="8">
        <f>MONTH(Sales_data[[#This Row],[Order Date]])</f>
        <v>4</v>
      </c>
      <c r="D874" s="8" t="str">
        <f>TEXT(Sales_data[[#This Row],[Order Date]],"mmm")</f>
        <v>Apr</v>
      </c>
      <c r="E874" t="s">
        <v>14</v>
      </c>
      <c r="F874" t="s">
        <v>22</v>
      </c>
      <c r="G874" t="s">
        <v>33</v>
      </c>
      <c r="H874" t="s">
        <v>43</v>
      </c>
      <c r="I874" t="s">
        <v>50</v>
      </c>
      <c r="J874" s="7">
        <v>1694.64</v>
      </c>
      <c r="K874" s="8">
        <v>8</v>
      </c>
      <c r="L874" s="7">
        <v>-96.96</v>
      </c>
    </row>
    <row r="875" spans="1:12" x14ac:dyDescent="0.2">
      <c r="A875" s="2">
        <v>42097</v>
      </c>
      <c r="B875" s="8">
        <f>YEAR(Sales_data[[#This Row],[Order Date]])</f>
        <v>2015</v>
      </c>
      <c r="C875" s="8">
        <f>MONTH(Sales_data[[#This Row],[Order Date]])</f>
        <v>4</v>
      </c>
      <c r="D875" s="8" t="str">
        <f>TEXT(Sales_data[[#This Row],[Order Date]],"mmm")</f>
        <v>Apr</v>
      </c>
      <c r="E875" t="s">
        <v>17</v>
      </c>
      <c r="F875" t="s">
        <v>26</v>
      </c>
      <c r="G875" t="s">
        <v>34</v>
      </c>
      <c r="H875" t="s">
        <v>39</v>
      </c>
      <c r="I875" t="s">
        <v>50</v>
      </c>
      <c r="J875" s="7">
        <v>104.69</v>
      </c>
      <c r="K875" s="8">
        <v>2</v>
      </c>
      <c r="L875" s="7">
        <v>19.59</v>
      </c>
    </row>
    <row r="876" spans="1:12" x14ac:dyDescent="0.2">
      <c r="A876" s="2">
        <v>42097</v>
      </c>
      <c r="B876" s="8">
        <f>YEAR(Sales_data[[#This Row],[Order Date]])</f>
        <v>2015</v>
      </c>
      <c r="C876" s="8">
        <f>MONTH(Sales_data[[#This Row],[Order Date]])</f>
        <v>4</v>
      </c>
      <c r="D876" s="8" t="str">
        <f>TEXT(Sales_data[[#This Row],[Order Date]],"mmm")</f>
        <v>Apr</v>
      </c>
      <c r="E876" t="s">
        <v>14</v>
      </c>
      <c r="F876" t="s">
        <v>26</v>
      </c>
      <c r="G876" t="s">
        <v>34</v>
      </c>
      <c r="H876" t="s">
        <v>36</v>
      </c>
      <c r="I876" t="s">
        <v>44</v>
      </c>
      <c r="J876" s="7">
        <v>737.25</v>
      </c>
      <c r="K876" s="8">
        <v>6</v>
      </c>
      <c r="L876" s="7">
        <v>-88.84</v>
      </c>
    </row>
    <row r="877" spans="1:12" x14ac:dyDescent="0.2">
      <c r="A877" s="2">
        <v>42097</v>
      </c>
      <c r="B877" s="8">
        <f>YEAR(Sales_data[[#This Row],[Order Date]])</f>
        <v>2015</v>
      </c>
      <c r="C877" s="8">
        <f>MONTH(Sales_data[[#This Row],[Order Date]])</f>
        <v>4</v>
      </c>
      <c r="D877" s="8" t="str">
        <f>TEXT(Sales_data[[#This Row],[Order Date]],"mmm")</f>
        <v>Apr</v>
      </c>
      <c r="E877" t="s">
        <v>9</v>
      </c>
      <c r="F877" t="s">
        <v>27</v>
      </c>
      <c r="G877" t="s">
        <v>33</v>
      </c>
      <c r="H877" t="s">
        <v>42</v>
      </c>
      <c r="I877" t="s">
        <v>44</v>
      </c>
      <c r="J877" s="7">
        <v>1845.24</v>
      </c>
      <c r="K877" s="8">
        <v>5</v>
      </c>
      <c r="L877" s="7">
        <v>318.01</v>
      </c>
    </row>
    <row r="878" spans="1:12" x14ac:dyDescent="0.2">
      <c r="A878" s="2">
        <v>42098</v>
      </c>
      <c r="B878" s="8">
        <f>YEAR(Sales_data[[#This Row],[Order Date]])</f>
        <v>2015</v>
      </c>
      <c r="C878" s="8">
        <f>MONTH(Sales_data[[#This Row],[Order Date]])</f>
        <v>4</v>
      </c>
      <c r="D878" s="8" t="str">
        <f>TEXT(Sales_data[[#This Row],[Order Date]],"mmm")</f>
        <v>Apr</v>
      </c>
      <c r="E878" t="s">
        <v>9</v>
      </c>
      <c r="F878" t="s">
        <v>27</v>
      </c>
      <c r="G878" t="s">
        <v>32</v>
      </c>
      <c r="H878" t="s">
        <v>40</v>
      </c>
      <c r="I878" t="s">
        <v>51</v>
      </c>
      <c r="J878" s="7">
        <v>386.14</v>
      </c>
      <c r="K878" s="8">
        <v>1</v>
      </c>
      <c r="L878" s="7">
        <v>-113.95</v>
      </c>
    </row>
    <row r="879" spans="1:12" x14ac:dyDescent="0.2">
      <c r="A879" s="2">
        <v>42098</v>
      </c>
      <c r="B879" s="8">
        <f>YEAR(Sales_data[[#This Row],[Order Date]])</f>
        <v>2015</v>
      </c>
      <c r="C879" s="8">
        <f>MONTH(Sales_data[[#This Row],[Order Date]])</f>
        <v>4</v>
      </c>
      <c r="D879" s="8" t="str">
        <f>TEXT(Sales_data[[#This Row],[Order Date]],"mmm")</f>
        <v>Apr</v>
      </c>
      <c r="E879" t="s">
        <v>16</v>
      </c>
      <c r="F879" t="s">
        <v>25</v>
      </c>
      <c r="G879" t="s">
        <v>33</v>
      </c>
      <c r="H879" t="s">
        <v>39</v>
      </c>
      <c r="I879" t="s">
        <v>46</v>
      </c>
      <c r="J879" s="7">
        <v>491.39</v>
      </c>
      <c r="K879" s="8">
        <v>2</v>
      </c>
      <c r="L879" s="7">
        <v>87.21</v>
      </c>
    </row>
    <row r="880" spans="1:12" x14ac:dyDescent="0.2">
      <c r="A880" s="2">
        <v>42099</v>
      </c>
      <c r="B880" s="8">
        <f>YEAR(Sales_data[[#This Row],[Order Date]])</f>
        <v>2015</v>
      </c>
      <c r="C880" s="8">
        <f>MONTH(Sales_data[[#This Row],[Order Date]])</f>
        <v>4</v>
      </c>
      <c r="D880" s="8" t="str">
        <f>TEXT(Sales_data[[#This Row],[Order Date]],"mmm")</f>
        <v>Apr</v>
      </c>
      <c r="E880" t="s">
        <v>16</v>
      </c>
      <c r="F880" t="s">
        <v>31</v>
      </c>
      <c r="G880" t="s">
        <v>32</v>
      </c>
      <c r="H880" t="s">
        <v>38</v>
      </c>
      <c r="I880" t="s">
        <v>44</v>
      </c>
      <c r="J880" s="7">
        <v>1205.47</v>
      </c>
      <c r="K880" s="8">
        <v>9</v>
      </c>
      <c r="L880" s="7">
        <v>-48.22</v>
      </c>
    </row>
    <row r="881" spans="1:12" x14ac:dyDescent="0.2">
      <c r="A881" s="2">
        <v>42099</v>
      </c>
      <c r="B881" s="8">
        <f>YEAR(Sales_data[[#This Row],[Order Date]])</f>
        <v>2015</v>
      </c>
      <c r="C881" s="8">
        <f>MONTH(Sales_data[[#This Row],[Order Date]])</f>
        <v>4</v>
      </c>
      <c r="D881" s="8" t="str">
        <f>TEXT(Sales_data[[#This Row],[Order Date]],"mmm")</f>
        <v>Apr</v>
      </c>
      <c r="E881" t="s">
        <v>18</v>
      </c>
      <c r="F881" t="s">
        <v>27</v>
      </c>
      <c r="G881" t="s">
        <v>33</v>
      </c>
      <c r="H881" t="s">
        <v>41</v>
      </c>
      <c r="I881" t="s">
        <v>53</v>
      </c>
      <c r="J881" s="7">
        <v>1114.6099999999999</v>
      </c>
      <c r="K881" s="8">
        <v>2</v>
      </c>
      <c r="L881" s="7">
        <v>-193.7</v>
      </c>
    </row>
    <row r="882" spans="1:12" x14ac:dyDescent="0.2">
      <c r="A882" s="2">
        <v>42100</v>
      </c>
      <c r="B882" s="8">
        <f>YEAR(Sales_data[[#This Row],[Order Date]])</f>
        <v>2015</v>
      </c>
      <c r="C882" s="8">
        <f>MONTH(Sales_data[[#This Row],[Order Date]])</f>
        <v>4</v>
      </c>
      <c r="D882" s="8" t="str">
        <f>TEXT(Sales_data[[#This Row],[Order Date]],"mmm")</f>
        <v>Apr</v>
      </c>
      <c r="E882" t="s">
        <v>9</v>
      </c>
      <c r="F882" t="s">
        <v>26</v>
      </c>
      <c r="G882" t="s">
        <v>34</v>
      </c>
      <c r="H882" t="s">
        <v>41</v>
      </c>
      <c r="I882" t="s">
        <v>51</v>
      </c>
      <c r="J882" s="7">
        <v>165.7</v>
      </c>
      <c r="K882" s="8">
        <v>8</v>
      </c>
      <c r="L882" s="7">
        <v>-82.14</v>
      </c>
    </row>
    <row r="883" spans="1:12" x14ac:dyDescent="0.2">
      <c r="A883" s="2">
        <v>42101</v>
      </c>
      <c r="B883" s="8">
        <f>YEAR(Sales_data[[#This Row],[Order Date]])</f>
        <v>2015</v>
      </c>
      <c r="C883" s="8">
        <f>MONTH(Sales_data[[#This Row],[Order Date]])</f>
        <v>4</v>
      </c>
      <c r="D883" s="8" t="str">
        <f>TEXT(Sales_data[[#This Row],[Order Date]],"mmm")</f>
        <v>Apr</v>
      </c>
      <c r="E883" t="s">
        <v>9</v>
      </c>
      <c r="F883" t="s">
        <v>30</v>
      </c>
      <c r="G883" t="s">
        <v>33</v>
      </c>
      <c r="H883" t="s">
        <v>36</v>
      </c>
      <c r="I883" t="s">
        <v>51</v>
      </c>
      <c r="J883" s="7">
        <v>1447.4</v>
      </c>
      <c r="K883" s="8">
        <v>8</v>
      </c>
      <c r="L883" s="7">
        <v>117.93</v>
      </c>
    </row>
    <row r="884" spans="1:12" x14ac:dyDescent="0.2">
      <c r="A884" s="2">
        <v>42101</v>
      </c>
      <c r="B884" s="8">
        <f>YEAR(Sales_data[[#This Row],[Order Date]])</f>
        <v>2015</v>
      </c>
      <c r="C884" s="8">
        <f>MONTH(Sales_data[[#This Row],[Order Date]])</f>
        <v>4</v>
      </c>
      <c r="D884" s="8" t="str">
        <f>TEXT(Sales_data[[#This Row],[Order Date]],"mmm")</f>
        <v>Apr</v>
      </c>
      <c r="E884" t="s">
        <v>11</v>
      </c>
      <c r="F884" t="s">
        <v>25</v>
      </c>
      <c r="G884" t="s">
        <v>32</v>
      </c>
      <c r="H884" t="s">
        <v>40</v>
      </c>
      <c r="I884" t="s">
        <v>49</v>
      </c>
      <c r="J884" s="7">
        <v>642.84</v>
      </c>
      <c r="K884" s="8">
        <v>5</v>
      </c>
      <c r="L884" s="7">
        <v>-100.24</v>
      </c>
    </row>
    <row r="885" spans="1:12" x14ac:dyDescent="0.2">
      <c r="A885" s="2">
        <v>42102</v>
      </c>
      <c r="B885" s="8">
        <f>YEAR(Sales_data[[#This Row],[Order Date]])</f>
        <v>2015</v>
      </c>
      <c r="C885" s="8">
        <f>MONTH(Sales_data[[#This Row],[Order Date]])</f>
        <v>4</v>
      </c>
      <c r="D885" s="8" t="str">
        <f>TEXT(Sales_data[[#This Row],[Order Date]],"mmm")</f>
        <v>Apr</v>
      </c>
      <c r="E885" t="s">
        <v>18</v>
      </c>
      <c r="F885" t="s">
        <v>22</v>
      </c>
      <c r="G885" t="s">
        <v>33</v>
      </c>
      <c r="H885" t="s">
        <v>39</v>
      </c>
      <c r="I885" t="s">
        <v>45</v>
      </c>
      <c r="J885" s="7">
        <v>743.44</v>
      </c>
      <c r="K885" s="8">
        <v>1</v>
      </c>
      <c r="L885" s="7">
        <v>40.24</v>
      </c>
    </row>
    <row r="886" spans="1:12" x14ac:dyDescent="0.2">
      <c r="A886" s="2">
        <v>42102</v>
      </c>
      <c r="B886" s="8">
        <f>YEAR(Sales_data[[#This Row],[Order Date]])</f>
        <v>2015</v>
      </c>
      <c r="C886" s="8">
        <f>MONTH(Sales_data[[#This Row],[Order Date]])</f>
        <v>4</v>
      </c>
      <c r="D886" s="8" t="str">
        <f>TEXT(Sales_data[[#This Row],[Order Date]],"mmm")</f>
        <v>Apr</v>
      </c>
      <c r="E886" t="s">
        <v>14</v>
      </c>
      <c r="F886" t="s">
        <v>24</v>
      </c>
      <c r="G886" t="s">
        <v>34</v>
      </c>
      <c r="H886" t="s">
        <v>39</v>
      </c>
      <c r="I886" t="s">
        <v>48</v>
      </c>
      <c r="J886" s="7">
        <v>771.82</v>
      </c>
      <c r="K886" s="8">
        <v>7</v>
      </c>
      <c r="L886" s="7">
        <v>105.71</v>
      </c>
    </row>
    <row r="887" spans="1:12" x14ac:dyDescent="0.2">
      <c r="A887" s="2">
        <v>42103</v>
      </c>
      <c r="B887" s="8">
        <f>YEAR(Sales_data[[#This Row],[Order Date]])</f>
        <v>2015</v>
      </c>
      <c r="C887" s="8">
        <f>MONTH(Sales_data[[#This Row],[Order Date]])</f>
        <v>4</v>
      </c>
      <c r="D887" s="8" t="str">
        <f>TEXT(Sales_data[[#This Row],[Order Date]],"mmm")</f>
        <v>Apr</v>
      </c>
      <c r="E887" t="s">
        <v>20</v>
      </c>
      <c r="F887" t="s">
        <v>22</v>
      </c>
      <c r="G887" t="s">
        <v>32</v>
      </c>
      <c r="H887" t="s">
        <v>35</v>
      </c>
      <c r="I887" t="s">
        <v>48</v>
      </c>
      <c r="J887" s="7">
        <v>1858.75</v>
      </c>
      <c r="K887" s="8">
        <v>6</v>
      </c>
      <c r="L887" s="7">
        <v>210.88</v>
      </c>
    </row>
    <row r="888" spans="1:12" x14ac:dyDescent="0.2">
      <c r="A888" s="2">
        <v>42105</v>
      </c>
      <c r="B888" s="8">
        <f>YEAR(Sales_data[[#This Row],[Order Date]])</f>
        <v>2015</v>
      </c>
      <c r="C888" s="8">
        <f>MONTH(Sales_data[[#This Row],[Order Date]])</f>
        <v>4</v>
      </c>
      <c r="D888" s="8" t="str">
        <f>TEXT(Sales_data[[#This Row],[Order Date]],"mmm")</f>
        <v>Apr</v>
      </c>
      <c r="E888" t="s">
        <v>16</v>
      </c>
      <c r="F888" t="s">
        <v>23</v>
      </c>
      <c r="G888" t="s">
        <v>33</v>
      </c>
      <c r="H888" t="s">
        <v>35</v>
      </c>
      <c r="I888" t="s">
        <v>47</v>
      </c>
      <c r="J888" s="7">
        <v>1476.27</v>
      </c>
      <c r="K888" s="8">
        <v>6</v>
      </c>
      <c r="L888" s="7">
        <v>299.39999999999998</v>
      </c>
    </row>
    <row r="889" spans="1:12" x14ac:dyDescent="0.2">
      <c r="A889" s="2">
        <v>42105</v>
      </c>
      <c r="B889" s="8">
        <f>YEAR(Sales_data[[#This Row],[Order Date]])</f>
        <v>2015</v>
      </c>
      <c r="C889" s="8">
        <f>MONTH(Sales_data[[#This Row],[Order Date]])</f>
        <v>4</v>
      </c>
      <c r="D889" s="8" t="str">
        <f>TEXT(Sales_data[[#This Row],[Order Date]],"mmm")</f>
        <v>Apr</v>
      </c>
      <c r="E889" t="s">
        <v>9</v>
      </c>
      <c r="F889" t="s">
        <v>23</v>
      </c>
      <c r="G889" t="s">
        <v>34</v>
      </c>
      <c r="H889" t="s">
        <v>43</v>
      </c>
      <c r="I889" t="s">
        <v>49</v>
      </c>
      <c r="J889" s="7">
        <v>736.84</v>
      </c>
      <c r="K889" s="8">
        <v>7</v>
      </c>
      <c r="L889" s="7">
        <v>354.62</v>
      </c>
    </row>
    <row r="890" spans="1:12" x14ac:dyDescent="0.2">
      <c r="A890" s="2">
        <v>42105</v>
      </c>
      <c r="B890" s="8">
        <f>YEAR(Sales_data[[#This Row],[Order Date]])</f>
        <v>2015</v>
      </c>
      <c r="C890" s="8">
        <f>MONTH(Sales_data[[#This Row],[Order Date]])</f>
        <v>4</v>
      </c>
      <c r="D890" s="8" t="str">
        <f>TEXT(Sales_data[[#This Row],[Order Date]],"mmm")</f>
        <v>Apr</v>
      </c>
      <c r="E890" t="s">
        <v>20</v>
      </c>
      <c r="F890" t="s">
        <v>24</v>
      </c>
      <c r="G890" t="s">
        <v>33</v>
      </c>
      <c r="H890" t="s">
        <v>35</v>
      </c>
      <c r="I890" t="s">
        <v>53</v>
      </c>
      <c r="J890" s="7">
        <v>46.73</v>
      </c>
      <c r="K890" s="8">
        <v>7</v>
      </c>
      <c r="L890" s="7">
        <v>304.95999999999998</v>
      </c>
    </row>
    <row r="891" spans="1:12" x14ac:dyDescent="0.2">
      <c r="A891" s="2">
        <v>42106</v>
      </c>
      <c r="B891" s="8">
        <f>YEAR(Sales_data[[#This Row],[Order Date]])</f>
        <v>2015</v>
      </c>
      <c r="C891" s="8">
        <f>MONTH(Sales_data[[#This Row],[Order Date]])</f>
        <v>4</v>
      </c>
      <c r="D891" s="8" t="str">
        <f>TEXT(Sales_data[[#This Row],[Order Date]],"mmm")</f>
        <v>Apr</v>
      </c>
      <c r="E891" t="s">
        <v>15</v>
      </c>
      <c r="F891" t="s">
        <v>27</v>
      </c>
      <c r="G891" t="s">
        <v>33</v>
      </c>
      <c r="H891" t="s">
        <v>35</v>
      </c>
      <c r="I891" t="s">
        <v>50</v>
      </c>
      <c r="J891" s="7">
        <v>777.86</v>
      </c>
      <c r="K891" s="8">
        <v>1</v>
      </c>
      <c r="L891" s="7">
        <v>175.98</v>
      </c>
    </row>
    <row r="892" spans="1:12" x14ac:dyDescent="0.2">
      <c r="A892" s="2">
        <v>42107</v>
      </c>
      <c r="B892" s="8">
        <f>YEAR(Sales_data[[#This Row],[Order Date]])</f>
        <v>2015</v>
      </c>
      <c r="C892" s="8">
        <f>MONTH(Sales_data[[#This Row],[Order Date]])</f>
        <v>4</v>
      </c>
      <c r="D892" s="8" t="str">
        <f>TEXT(Sales_data[[#This Row],[Order Date]],"mmm")</f>
        <v>Apr</v>
      </c>
      <c r="E892" t="s">
        <v>9</v>
      </c>
      <c r="F892" t="s">
        <v>26</v>
      </c>
      <c r="G892" t="s">
        <v>34</v>
      </c>
      <c r="H892" t="s">
        <v>41</v>
      </c>
      <c r="I892" t="s">
        <v>45</v>
      </c>
      <c r="J892" s="7">
        <v>643.16999999999996</v>
      </c>
      <c r="K892" s="8">
        <v>3</v>
      </c>
      <c r="L892" s="7">
        <v>-187.46</v>
      </c>
    </row>
    <row r="893" spans="1:12" x14ac:dyDescent="0.2">
      <c r="A893" s="2">
        <v>42108</v>
      </c>
      <c r="B893" s="8">
        <f>YEAR(Sales_data[[#This Row],[Order Date]])</f>
        <v>2015</v>
      </c>
      <c r="C893" s="8">
        <f>MONTH(Sales_data[[#This Row],[Order Date]])</f>
        <v>4</v>
      </c>
      <c r="D893" s="8" t="str">
        <f>TEXT(Sales_data[[#This Row],[Order Date]],"mmm")</f>
        <v>Apr</v>
      </c>
      <c r="E893" t="s">
        <v>21</v>
      </c>
      <c r="F893" t="s">
        <v>27</v>
      </c>
      <c r="G893" t="s">
        <v>34</v>
      </c>
      <c r="H893" t="s">
        <v>36</v>
      </c>
      <c r="I893" t="s">
        <v>53</v>
      </c>
      <c r="J893" s="7">
        <v>21.48</v>
      </c>
      <c r="K893" s="8">
        <v>6</v>
      </c>
      <c r="L893" s="7">
        <v>278.25</v>
      </c>
    </row>
    <row r="894" spans="1:12" x14ac:dyDescent="0.2">
      <c r="A894" s="2">
        <v>42110</v>
      </c>
      <c r="B894" s="8">
        <f>YEAR(Sales_data[[#This Row],[Order Date]])</f>
        <v>2015</v>
      </c>
      <c r="C894" s="8">
        <f>MONTH(Sales_data[[#This Row],[Order Date]])</f>
        <v>4</v>
      </c>
      <c r="D894" s="8" t="str">
        <f>TEXT(Sales_data[[#This Row],[Order Date]],"mmm")</f>
        <v>Apr</v>
      </c>
      <c r="E894" t="s">
        <v>17</v>
      </c>
      <c r="F894" t="s">
        <v>31</v>
      </c>
      <c r="G894" t="s">
        <v>34</v>
      </c>
      <c r="H894" t="s">
        <v>38</v>
      </c>
      <c r="I894" t="s">
        <v>44</v>
      </c>
      <c r="J894" s="7">
        <v>536.54999999999995</v>
      </c>
      <c r="K894" s="8">
        <v>7</v>
      </c>
      <c r="L894" s="7">
        <v>-187.56</v>
      </c>
    </row>
    <row r="895" spans="1:12" x14ac:dyDescent="0.2">
      <c r="A895" s="2">
        <v>42110</v>
      </c>
      <c r="B895" s="8">
        <f>YEAR(Sales_data[[#This Row],[Order Date]])</f>
        <v>2015</v>
      </c>
      <c r="C895" s="8">
        <f>MONTH(Sales_data[[#This Row],[Order Date]])</f>
        <v>4</v>
      </c>
      <c r="D895" s="8" t="str">
        <f>TEXT(Sales_data[[#This Row],[Order Date]],"mmm")</f>
        <v>Apr</v>
      </c>
      <c r="E895" t="s">
        <v>9</v>
      </c>
      <c r="F895" t="s">
        <v>29</v>
      </c>
      <c r="G895" t="s">
        <v>33</v>
      </c>
      <c r="H895" t="s">
        <v>39</v>
      </c>
      <c r="I895" t="s">
        <v>49</v>
      </c>
      <c r="J895" s="7">
        <v>873.53</v>
      </c>
      <c r="K895" s="8">
        <v>3</v>
      </c>
      <c r="L895" s="7">
        <v>-168.65</v>
      </c>
    </row>
    <row r="896" spans="1:12" x14ac:dyDescent="0.2">
      <c r="A896" s="2">
        <v>42112</v>
      </c>
      <c r="B896" s="8">
        <f>YEAR(Sales_data[[#This Row],[Order Date]])</f>
        <v>2015</v>
      </c>
      <c r="C896" s="8">
        <f>MONTH(Sales_data[[#This Row],[Order Date]])</f>
        <v>4</v>
      </c>
      <c r="D896" s="8" t="str">
        <f>TEXT(Sales_data[[#This Row],[Order Date]],"mmm")</f>
        <v>Apr</v>
      </c>
      <c r="E896" t="s">
        <v>11</v>
      </c>
      <c r="F896" t="s">
        <v>26</v>
      </c>
      <c r="G896" t="s">
        <v>33</v>
      </c>
      <c r="H896" t="s">
        <v>41</v>
      </c>
      <c r="I896" t="s">
        <v>48</v>
      </c>
      <c r="J896" s="7">
        <v>1480.17</v>
      </c>
      <c r="K896" s="8">
        <v>7</v>
      </c>
      <c r="L896" s="7">
        <v>120.25</v>
      </c>
    </row>
    <row r="897" spans="1:12" x14ac:dyDescent="0.2">
      <c r="A897" s="2">
        <v>42112</v>
      </c>
      <c r="B897" s="8">
        <f>YEAR(Sales_data[[#This Row],[Order Date]])</f>
        <v>2015</v>
      </c>
      <c r="C897" s="8">
        <f>MONTH(Sales_data[[#This Row],[Order Date]])</f>
        <v>4</v>
      </c>
      <c r="D897" s="8" t="str">
        <f>TEXT(Sales_data[[#This Row],[Order Date]],"mmm")</f>
        <v>Apr</v>
      </c>
      <c r="E897" t="s">
        <v>14</v>
      </c>
      <c r="F897" t="s">
        <v>31</v>
      </c>
      <c r="G897" t="s">
        <v>32</v>
      </c>
      <c r="H897" t="s">
        <v>42</v>
      </c>
      <c r="I897" t="s">
        <v>48</v>
      </c>
      <c r="J897" s="7">
        <v>1851.28</v>
      </c>
      <c r="K897" s="8">
        <v>1</v>
      </c>
      <c r="L897" s="7">
        <v>365.46</v>
      </c>
    </row>
    <row r="898" spans="1:12" x14ac:dyDescent="0.2">
      <c r="A898" s="2">
        <v>42112</v>
      </c>
      <c r="B898" s="8">
        <f>YEAR(Sales_data[[#This Row],[Order Date]])</f>
        <v>2015</v>
      </c>
      <c r="C898" s="8">
        <f>MONTH(Sales_data[[#This Row],[Order Date]])</f>
        <v>4</v>
      </c>
      <c r="D898" s="8" t="str">
        <f>TEXT(Sales_data[[#This Row],[Order Date]],"mmm")</f>
        <v>Apr</v>
      </c>
      <c r="E898" t="s">
        <v>10</v>
      </c>
      <c r="F898" t="s">
        <v>30</v>
      </c>
      <c r="G898" t="s">
        <v>34</v>
      </c>
      <c r="H898" t="s">
        <v>42</v>
      </c>
      <c r="I898" t="s">
        <v>44</v>
      </c>
      <c r="J898" s="7">
        <v>1855.57</v>
      </c>
      <c r="K898" s="8">
        <v>6</v>
      </c>
      <c r="L898" s="7">
        <v>-18.37</v>
      </c>
    </row>
    <row r="899" spans="1:12" x14ac:dyDescent="0.2">
      <c r="A899" s="2">
        <v>42115</v>
      </c>
      <c r="B899" s="8">
        <f>YEAR(Sales_data[[#This Row],[Order Date]])</f>
        <v>2015</v>
      </c>
      <c r="C899" s="8">
        <f>MONTH(Sales_data[[#This Row],[Order Date]])</f>
        <v>4</v>
      </c>
      <c r="D899" s="8" t="str">
        <f>TEXT(Sales_data[[#This Row],[Order Date]],"mmm")</f>
        <v>Apr</v>
      </c>
      <c r="E899" t="s">
        <v>16</v>
      </c>
      <c r="F899" t="s">
        <v>29</v>
      </c>
      <c r="G899" t="s">
        <v>34</v>
      </c>
      <c r="H899" t="s">
        <v>42</v>
      </c>
      <c r="I899" t="s">
        <v>46</v>
      </c>
      <c r="J899" s="7">
        <v>1202.73</v>
      </c>
      <c r="K899" s="8">
        <v>7</v>
      </c>
      <c r="L899" s="7">
        <v>200.55</v>
      </c>
    </row>
    <row r="900" spans="1:12" x14ac:dyDescent="0.2">
      <c r="A900" s="2">
        <v>42117</v>
      </c>
      <c r="B900" s="8">
        <f>YEAR(Sales_data[[#This Row],[Order Date]])</f>
        <v>2015</v>
      </c>
      <c r="C900" s="8">
        <f>MONTH(Sales_data[[#This Row],[Order Date]])</f>
        <v>4</v>
      </c>
      <c r="D900" s="8" t="str">
        <f>TEXT(Sales_data[[#This Row],[Order Date]],"mmm")</f>
        <v>Apr</v>
      </c>
      <c r="E900" t="s">
        <v>11</v>
      </c>
      <c r="F900" t="s">
        <v>23</v>
      </c>
      <c r="G900" t="s">
        <v>33</v>
      </c>
      <c r="H900" t="s">
        <v>37</v>
      </c>
      <c r="I900" t="s">
        <v>48</v>
      </c>
      <c r="J900" s="7">
        <v>750.77</v>
      </c>
      <c r="K900" s="8">
        <v>7</v>
      </c>
      <c r="L900" s="7">
        <v>204.41</v>
      </c>
    </row>
    <row r="901" spans="1:12" x14ac:dyDescent="0.2">
      <c r="A901" s="2">
        <v>42118</v>
      </c>
      <c r="B901" s="8">
        <f>YEAR(Sales_data[[#This Row],[Order Date]])</f>
        <v>2015</v>
      </c>
      <c r="C901" s="8">
        <f>MONTH(Sales_data[[#This Row],[Order Date]])</f>
        <v>4</v>
      </c>
      <c r="D901" s="8" t="str">
        <f>TEXT(Sales_data[[#This Row],[Order Date]],"mmm")</f>
        <v>Apr</v>
      </c>
      <c r="E901" t="s">
        <v>18</v>
      </c>
      <c r="F901" t="s">
        <v>26</v>
      </c>
      <c r="G901" t="s">
        <v>33</v>
      </c>
      <c r="H901" t="s">
        <v>43</v>
      </c>
      <c r="I901" t="s">
        <v>45</v>
      </c>
      <c r="J901" s="7">
        <v>1170.56</v>
      </c>
      <c r="K901" s="8">
        <v>8</v>
      </c>
      <c r="L901" s="7">
        <v>-164.59</v>
      </c>
    </row>
    <row r="902" spans="1:12" x14ac:dyDescent="0.2">
      <c r="A902" s="2">
        <v>42119</v>
      </c>
      <c r="B902" s="8">
        <f>YEAR(Sales_data[[#This Row],[Order Date]])</f>
        <v>2015</v>
      </c>
      <c r="C902" s="8">
        <f>MONTH(Sales_data[[#This Row],[Order Date]])</f>
        <v>4</v>
      </c>
      <c r="D902" s="8" t="str">
        <f>TEXT(Sales_data[[#This Row],[Order Date]],"mmm")</f>
        <v>Apr</v>
      </c>
      <c r="E902" t="s">
        <v>10</v>
      </c>
      <c r="F902" t="s">
        <v>25</v>
      </c>
      <c r="G902" t="s">
        <v>34</v>
      </c>
      <c r="H902" t="s">
        <v>37</v>
      </c>
      <c r="I902" t="s">
        <v>47</v>
      </c>
      <c r="J902" s="7">
        <v>613.99</v>
      </c>
      <c r="K902" s="8">
        <v>4</v>
      </c>
      <c r="L902" s="7">
        <v>285.51</v>
      </c>
    </row>
    <row r="903" spans="1:12" x14ac:dyDescent="0.2">
      <c r="A903" s="2">
        <v>42121</v>
      </c>
      <c r="B903" s="8">
        <f>YEAR(Sales_data[[#This Row],[Order Date]])</f>
        <v>2015</v>
      </c>
      <c r="C903" s="8">
        <f>MONTH(Sales_data[[#This Row],[Order Date]])</f>
        <v>4</v>
      </c>
      <c r="D903" s="8" t="str">
        <f>TEXT(Sales_data[[#This Row],[Order Date]],"mmm")</f>
        <v>Apr</v>
      </c>
      <c r="E903" t="s">
        <v>18</v>
      </c>
      <c r="F903" t="s">
        <v>28</v>
      </c>
      <c r="G903" t="s">
        <v>33</v>
      </c>
      <c r="H903" t="s">
        <v>35</v>
      </c>
      <c r="I903" t="s">
        <v>47</v>
      </c>
      <c r="J903" s="7">
        <v>345.34</v>
      </c>
      <c r="K903" s="8">
        <v>9</v>
      </c>
      <c r="L903" s="7">
        <v>398.7</v>
      </c>
    </row>
    <row r="904" spans="1:12" x14ac:dyDescent="0.2">
      <c r="A904" s="2">
        <v>42122</v>
      </c>
      <c r="B904" s="8">
        <f>YEAR(Sales_data[[#This Row],[Order Date]])</f>
        <v>2015</v>
      </c>
      <c r="C904" s="8">
        <f>MONTH(Sales_data[[#This Row],[Order Date]])</f>
        <v>4</v>
      </c>
      <c r="D904" s="8" t="str">
        <f>TEXT(Sales_data[[#This Row],[Order Date]],"mmm")</f>
        <v>Apr</v>
      </c>
      <c r="E904" t="s">
        <v>17</v>
      </c>
      <c r="F904" t="s">
        <v>29</v>
      </c>
      <c r="G904" t="s">
        <v>32</v>
      </c>
      <c r="H904" t="s">
        <v>41</v>
      </c>
      <c r="I904" t="s">
        <v>47</v>
      </c>
      <c r="J904" s="7">
        <v>1213.18</v>
      </c>
      <c r="K904" s="8">
        <v>8</v>
      </c>
      <c r="L904" s="7">
        <v>288.92</v>
      </c>
    </row>
    <row r="905" spans="1:12" x14ac:dyDescent="0.2">
      <c r="A905" s="2">
        <v>42123</v>
      </c>
      <c r="B905" s="8">
        <f>YEAR(Sales_data[[#This Row],[Order Date]])</f>
        <v>2015</v>
      </c>
      <c r="C905" s="8">
        <f>MONTH(Sales_data[[#This Row],[Order Date]])</f>
        <v>4</v>
      </c>
      <c r="D905" s="8" t="str">
        <f>TEXT(Sales_data[[#This Row],[Order Date]],"mmm")</f>
        <v>Apr</v>
      </c>
      <c r="E905" t="s">
        <v>17</v>
      </c>
      <c r="F905" t="s">
        <v>29</v>
      </c>
      <c r="G905" t="s">
        <v>34</v>
      </c>
      <c r="H905" t="s">
        <v>42</v>
      </c>
      <c r="I905" t="s">
        <v>52</v>
      </c>
      <c r="J905" s="7">
        <v>1525.87</v>
      </c>
      <c r="K905" s="8">
        <v>7</v>
      </c>
      <c r="L905" s="7">
        <v>301.36</v>
      </c>
    </row>
    <row r="906" spans="1:12" x14ac:dyDescent="0.2">
      <c r="A906" s="2">
        <v>42123</v>
      </c>
      <c r="B906" s="8">
        <f>YEAR(Sales_data[[#This Row],[Order Date]])</f>
        <v>2015</v>
      </c>
      <c r="C906" s="8">
        <f>MONTH(Sales_data[[#This Row],[Order Date]])</f>
        <v>4</v>
      </c>
      <c r="D906" s="8" t="str">
        <f>TEXT(Sales_data[[#This Row],[Order Date]],"mmm")</f>
        <v>Apr</v>
      </c>
      <c r="E906" t="s">
        <v>18</v>
      </c>
      <c r="F906" t="s">
        <v>27</v>
      </c>
      <c r="G906" t="s">
        <v>34</v>
      </c>
      <c r="H906" t="s">
        <v>38</v>
      </c>
      <c r="I906" t="s">
        <v>46</v>
      </c>
      <c r="J906" s="7">
        <v>1257.02</v>
      </c>
      <c r="K906" s="8">
        <v>5</v>
      </c>
      <c r="L906" s="7">
        <v>-54.02</v>
      </c>
    </row>
    <row r="907" spans="1:12" x14ac:dyDescent="0.2">
      <c r="A907" s="2">
        <v>42124</v>
      </c>
      <c r="B907" s="8">
        <f>YEAR(Sales_data[[#This Row],[Order Date]])</f>
        <v>2015</v>
      </c>
      <c r="C907" s="8">
        <f>MONTH(Sales_data[[#This Row],[Order Date]])</f>
        <v>4</v>
      </c>
      <c r="D907" s="8" t="str">
        <f>TEXT(Sales_data[[#This Row],[Order Date]],"mmm")</f>
        <v>Apr</v>
      </c>
      <c r="E907" t="s">
        <v>12</v>
      </c>
      <c r="F907" t="s">
        <v>24</v>
      </c>
      <c r="G907" t="s">
        <v>34</v>
      </c>
      <c r="H907" t="s">
        <v>35</v>
      </c>
      <c r="I907" t="s">
        <v>45</v>
      </c>
      <c r="J907" s="7">
        <v>1655.63</v>
      </c>
      <c r="K907" s="8">
        <v>1</v>
      </c>
      <c r="L907" s="7">
        <v>65.98</v>
      </c>
    </row>
    <row r="908" spans="1:12" x14ac:dyDescent="0.2">
      <c r="A908" s="2">
        <v>42125</v>
      </c>
      <c r="B908" s="8">
        <f>YEAR(Sales_data[[#This Row],[Order Date]])</f>
        <v>2015</v>
      </c>
      <c r="C908" s="8">
        <f>MONTH(Sales_data[[#This Row],[Order Date]])</f>
        <v>5</v>
      </c>
      <c r="D908" s="8" t="str">
        <f>TEXT(Sales_data[[#This Row],[Order Date]],"mmm")</f>
        <v>May</v>
      </c>
      <c r="E908" t="s">
        <v>14</v>
      </c>
      <c r="F908" t="s">
        <v>30</v>
      </c>
      <c r="G908" t="s">
        <v>33</v>
      </c>
      <c r="H908" t="s">
        <v>38</v>
      </c>
      <c r="I908" t="s">
        <v>51</v>
      </c>
      <c r="J908" s="7">
        <v>229.68</v>
      </c>
      <c r="K908" s="8">
        <v>6</v>
      </c>
      <c r="L908" s="7">
        <v>32.5</v>
      </c>
    </row>
    <row r="909" spans="1:12" x14ac:dyDescent="0.2">
      <c r="A909" s="2">
        <v>42125</v>
      </c>
      <c r="B909" s="8">
        <f>YEAR(Sales_data[[#This Row],[Order Date]])</f>
        <v>2015</v>
      </c>
      <c r="C909" s="8">
        <f>MONTH(Sales_data[[#This Row],[Order Date]])</f>
        <v>5</v>
      </c>
      <c r="D909" s="8" t="str">
        <f>TEXT(Sales_data[[#This Row],[Order Date]],"mmm")</f>
        <v>May</v>
      </c>
      <c r="E909" t="s">
        <v>15</v>
      </c>
      <c r="F909" t="s">
        <v>23</v>
      </c>
      <c r="G909" t="s">
        <v>34</v>
      </c>
      <c r="H909" t="s">
        <v>42</v>
      </c>
      <c r="I909" t="s">
        <v>51</v>
      </c>
      <c r="J909" s="7">
        <v>1820.55</v>
      </c>
      <c r="K909" s="8">
        <v>8</v>
      </c>
      <c r="L909" s="7">
        <v>18.489999999999998</v>
      </c>
    </row>
    <row r="910" spans="1:12" x14ac:dyDescent="0.2">
      <c r="A910" s="2">
        <v>42126</v>
      </c>
      <c r="B910" s="8">
        <f>YEAR(Sales_data[[#This Row],[Order Date]])</f>
        <v>2015</v>
      </c>
      <c r="C910" s="8">
        <f>MONTH(Sales_data[[#This Row],[Order Date]])</f>
        <v>5</v>
      </c>
      <c r="D910" s="8" t="str">
        <f>TEXT(Sales_data[[#This Row],[Order Date]],"mmm")</f>
        <v>May</v>
      </c>
      <c r="E910" t="s">
        <v>11</v>
      </c>
      <c r="F910" t="s">
        <v>24</v>
      </c>
      <c r="G910" t="s">
        <v>32</v>
      </c>
      <c r="H910" t="s">
        <v>35</v>
      </c>
      <c r="I910" t="s">
        <v>47</v>
      </c>
      <c r="J910" s="7">
        <v>746.08</v>
      </c>
      <c r="K910" s="8">
        <v>9</v>
      </c>
      <c r="L910" s="7">
        <v>13.82</v>
      </c>
    </row>
    <row r="911" spans="1:12" x14ac:dyDescent="0.2">
      <c r="A911" s="2">
        <v>42127</v>
      </c>
      <c r="B911" s="8">
        <f>YEAR(Sales_data[[#This Row],[Order Date]])</f>
        <v>2015</v>
      </c>
      <c r="C911" s="8">
        <f>MONTH(Sales_data[[#This Row],[Order Date]])</f>
        <v>5</v>
      </c>
      <c r="D911" s="8" t="str">
        <f>TEXT(Sales_data[[#This Row],[Order Date]],"mmm")</f>
        <v>May</v>
      </c>
      <c r="E911" t="s">
        <v>10</v>
      </c>
      <c r="F911" t="s">
        <v>29</v>
      </c>
      <c r="G911" t="s">
        <v>32</v>
      </c>
      <c r="H911" t="s">
        <v>36</v>
      </c>
      <c r="I911" t="s">
        <v>47</v>
      </c>
      <c r="J911" s="7">
        <v>1965.55</v>
      </c>
      <c r="K911" s="8">
        <v>1</v>
      </c>
      <c r="L911" s="7">
        <v>-92.41</v>
      </c>
    </row>
    <row r="912" spans="1:12" x14ac:dyDescent="0.2">
      <c r="A912" s="2">
        <v>42127</v>
      </c>
      <c r="B912" s="8">
        <f>YEAR(Sales_data[[#This Row],[Order Date]])</f>
        <v>2015</v>
      </c>
      <c r="C912" s="8">
        <f>MONTH(Sales_data[[#This Row],[Order Date]])</f>
        <v>5</v>
      </c>
      <c r="D912" s="8" t="str">
        <f>TEXT(Sales_data[[#This Row],[Order Date]],"mmm")</f>
        <v>May</v>
      </c>
      <c r="E912" t="s">
        <v>19</v>
      </c>
      <c r="F912" t="s">
        <v>24</v>
      </c>
      <c r="G912" t="s">
        <v>34</v>
      </c>
      <c r="H912" t="s">
        <v>41</v>
      </c>
      <c r="I912" t="s">
        <v>46</v>
      </c>
      <c r="J912" s="7">
        <v>632.91999999999996</v>
      </c>
      <c r="K912" s="8">
        <v>7</v>
      </c>
      <c r="L912" s="7">
        <v>255.18</v>
      </c>
    </row>
    <row r="913" spans="1:12" x14ac:dyDescent="0.2">
      <c r="A913" s="2">
        <v>42128</v>
      </c>
      <c r="B913" s="8">
        <f>YEAR(Sales_data[[#This Row],[Order Date]])</f>
        <v>2015</v>
      </c>
      <c r="C913" s="8">
        <f>MONTH(Sales_data[[#This Row],[Order Date]])</f>
        <v>5</v>
      </c>
      <c r="D913" s="8" t="str">
        <f>TEXT(Sales_data[[#This Row],[Order Date]],"mmm")</f>
        <v>May</v>
      </c>
      <c r="E913" t="s">
        <v>15</v>
      </c>
      <c r="F913" t="s">
        <v>28</v>
      </c>
      <c r="G913" t="s">
        <v>34</v>
      </c>
      <c r="H913" t="s">
        <v>35</v>
      </c>
      <c r="I913" t="s">
        <v>46</v>
      </c>
      <c r="J913" s="7">
        <v>1027.82</v>
      </c>
      <c r="K913" s="8">
        <v>9</v>
      </c>
      <c r="L913" s="7">
        <v>339.66</v>
      </c>
    </row>
    <row r="914" spans="1:12" x14ac:dyDescent="0.2">
      <c r="A914" s="2">
        <v>42128</v>
      </c>
      <c r="B914" s="8">
        <f>YEAR(Sales_data[[#This Row],[Order Date]])</f>
        <v>2015</v>
      </c>
      <c r="C914" s="8">
        <f>MONTH(Sales_data[[#This Row],[Order Date]])</f>
        <v>5</v>
      </c>
      <c r="D914" s="8" t="str">
        <f>TEXT(Sales_data[[#This Row],[Order Date]],"mmm")</f>
        <v>May</v>
      </c>
      <c r="E914" t="s">
        <v>13</v>
      </c>
      <c r="F914" t="s">
        <v>24</v>
      </c>
      <c r="G914" t="s">
        <v>32</v>
      </c>
      <c r="H914" t="s">
        <v>36</v>
      </c>
      <c r="I914" t="s">
        <v>44</v>
      </c>
      <c r="J914" s="7">
        <v>236.75</v>
      </c>
      <c r="K914" s="8">
        <v>6</v>
      </c>
      <c r="L914" s="7">
        <v>-133.71</v>
      </c>
    </row>
    <row r="915" spans="1:12" x14ac:dyDescent="0.2">
      <c r="A915" s="2">
        <v>42128</v>
      </c>
      <c r="B915" s="8">
        <f>YEAR(Sales_data[[#This Row],[Order Date]])</f>
        <v>2015</v>
      </c>
      <c r="C915" s="8">
        <f>MONTH(Sales_data[[#This Row],[Order Date]])</f>
        <v>5</v>
      </c>
      <c r="D915" s="8" t="str">
        <f>TEXT(Sales_data[[#This Row],[Order Date]],"mmm")</f>
        <v>May</v>
      </c>
      <c r="E915" t="s">
        <v>21</v>
      </c>
      <c r="F915" t="s">
        <v>26</v>
      </c>
      <c r="G915" t="s">
        <v>32</v>
      </c>
      <c r="H915" t="s">
        <v>38</v>
      </c>
      <c r="I915" t="s">
        <v>45</v>
      </c>
      <c r="J915" s="7">
        <v>116.55</v>
      </c>
      <c r="K915" s="8">
        <v>9</v>
      </c>
      <c r="L915" s="7">
        <v>-1.87</v>
      </c>
    </row>
    <row r="916" spans="1:12" x14ac:dyDescent="0.2">
      <c r="A916" s="2">
        <v>42129</v>
      </c>
      <c r="B916" s="8">
        <f>YEAR(Sales_data[[#This Row],[Order Date]])</f>
        <v>2015</v>
      </c>
      <c r="C916" s="8">
        <f>MONTH(Sales_data[[#This Row],[Order Date]])</f>
        <v>5</v>
      </c>
      <c r="D916" s="8" t="str">
        <f>TEXT(Sales_data[[#This Row],[Order Date]],"mmm")</f>
        <v>May</v>
      </c>
      <c r="E916" t="s">
        <v>21</v>
      </c>
      <c r="F916" t="s">
        <v>24</v>
      </c>
      <c r="G916" t="s">
        <v>33</v>
      </c>
      <c r="H916" t="s">
        <v>38</v>
      </c>
      <c r="I916" t="s">
        <v>53</v>
      </c>
      <c r="J916" s="7">
        <v>1565.23</v>
      </c>
      <c r="K916" s="8">
        <v>7</v>
      </c>
      <c r="L916" s="7">
        <v>165.94</v>
      </c>
    </row>
    <row r="917" spans="1:12" x14ac:dyDescent="0.2">
      <c r="A917" s="2">
        <v>42131</v>
      </c>
      <c r="B917" s="8">
        <f>YEAR(Sales_data[[#This Row],[Order Date]])</f>
        <v>2015</v>
      </c>
      <c r="C917" s="8">
        <f>MONTH(Sales_data[[#This Row],[Order Date]])</f>
        <v>5</v>
      </c>
      <c r="D917" s="8" t="str">
        <f>TEXT(Sales_data[[#This Row],[Order Date]],"mmm")</f>
        <v>May</v>
      </c>
      <c r="E917" t="s">
        <v>15</v>
      </c>
      <c r="F917" t="s">
        <v>27</v>
      </c>
      <c r="G917" t="s">
        <v>34</v>
      </c>
      <c r="H917" t="s">
        <v>37</v>
      </c>
      <c r="I917" t="s">
        <v>50</v>
      </c>
      <c r="J917" s="7">
        <v>1386.1</v>
      </c>
      <c r="K917" s="8">
        <v>7</v>
      </c>
      <c r="L917" s="7">
        <v>277.27</v>
      </c>
    </row>
    <row r="918" spans="1:12" x14ac:dyDescent="0.2">
      <c r="A918" s="2">
        <v>42133</v>
      </c>
      <c r="B918" s="8">
        <f>YEAR(Sales_data[[#This Row],[Order Date]])</f>
        <v>2015</v>
      </c>
      <c r="C918" s="8">
        <f>MONTH(Sales_data[[#This Row],[Order Date]])</f>
        <v>5</v>
      </c>
      <c r="D918" s="8" t="str">
        <f>TEXT(Sales_data[[#This Row],[Order Date]],"mmm")</f>
        <v>May</v>
      </c>
      <c r="E918" t="s">
        <v>15</v>
      </c>
      <c r="F918" t="s">
        <v>31</v>
      </c>
      <c r="G918" t="s">
        <v>32</v>
      </c>
      <c r="H918" t="s">
        <v>42</v>
      </c>
      <c r="I918" t="s">
        <v>44</v>
      </c>
      <c r="J918" s="7">
        <v>469.57</v>
      </c>
      <c r="K918" s="8">
        <v>4</v>
      </c>
      <c r="L918" s="7">
        <v>-24.77</v>
      </c>
    </row>
    <row r="919" spans="1:12" x14ac:dyDescent="0.2">
      <c r="A919" s="2">
        <v>42135</v>
      </c>
      <c r="B919" s="8">
        <f>YEAR(Sales_data[[#This Row],[Order Date]])</f>
        <v>2015</v>
      </c>
      <c r="C919" s="8">
        <f>MONTH(Sales_data[[#This Row],[Order Date]])</f>
        <v>5</v>
      </c>
      <c r="D919" s="8" t="str">
        <f>TEXT(Sales_data[[#This Row],[Order Date]],"mmm")</f>
        <v>May</v>
      </c>
      <c r="E919" t="s">
        <v>11</v>
      </c>
      <c r="F919" t="s">
        <v>24</v>
      </c>
      <c r="G919" t="s">
        <v>33</v>
      </c>
      <c r="H919" t="s">
        <v>37</v>
      </c>
      <c r="I919" t="s">
        <v>46</v>
      </c>
      <c r="J919" s="7">
        <v>360.63</v>
      </c>
      <c r="K919" s="8">
        <v>7</v>
      </c>
      <c r="L919" s="7">
        <v>-106.9</v>
      </c>
    </row>
    <row r="920" spans="1:12" x14ac:dyDescent="0.2">
      <c r="A920" s="2">
        <v>42135</v>
      </c>
      <c r="B920" s="8">
        <f>YEAR(Sales_data[[#This Row],[Order Date]])</f>
        <v>2015</v>
      </c>
      <c r="C920" s="8">
        <f>MONTH(Sales_data[[#This Row],[Order Date]])</f>
        <v>5</v>
      </c>
      <c r="D920" s="8" t="str">
        <f>TEXT(Sales_data[[#This Row],[Order Date]],"mmm")</f>
        <v>May</v>
      </c>
      <c r="E920" t="s">
        <v>9</v>
      </c>
      <c r="F920" t="s">
        <v>22</v>
      </c>
      <c r="G920" t="s">
        <v>32</v>
      </c>
      <c r="H920" t="s">
        <v>39</v>
      </c>
      <c r="I920" t="s">
        <v>53</v>
      </c>
      <c r="J920" s="7">
        <v>1018.79</v>
      </c>
      <c r="K920" s="8">
        <v>6</v>
      </c>
      <c r="L920" s="7">
        <v>178.83</v>
      </c>
    </row>
    <row r="921" spans="1:12" x14ac:dyDescent="0.2">
      <c r="A921" s="2">
        <v>42138</v>
      </c>
      <c r="B921" s="8">
        <f>YEAR(Sales_data[[#This Row],[Order Date]])</f>
        <v>2015</v>
      </c>
      <c r="C921" s="8">
        <f>MONTH(Sales_data[[#This Row],[Order Date]])</f>
        <v>5</v>
      </c>
      <c r="D921" s="8" t="str">
        <f>TEXT(Sales_data[[#This Row],[Order Date]],"mmm")</f>
        <v>May</v>
      </c>
      <c r="E921" t="s">
        <v>14</v>
      </c>
      <c r="F921" t="s">
        <v>30</v>
      </c>
      <c r="G921" t="s">
        <v>33</v>
      </c>
      <c r="H921" t="s">
        <v>36</v>
      </c>
      <c r="I921" t="s">
        <v>46</v>
      </c>
      <c r="J921" s="7">
        <v>1636.03</v>
      </c>
      <c r="K921" s="8">
        <v>1</v>
      </c>
      <c r="L921" s="7">
        <v>51.79</v>
      </c>
    </row>
    <row r="922" spans="1:12" x14ac:dyDescent="0.2">
      <c r="A922" s="2">
        <v>42138</v>
      </c>
      <c r="B922" s="8">
        <f>YEAR(Sales_data[[#This Row],[Order Date]])</f>
        <v>2015</v>
      </c>
      <c r="C922" s="8">
        <f>MONTH(Sales_data[[#This Row],[Order Date]])</f>
        <v>5</v>
      </c>
      <c r="D922" s="8" t="str">
        <f>TEXT(Sales_data[[#This Row],[Order Date]],"mmm")</f>
        <v>May</v>
      </c>
      <c r="E922" t="s">
        <v>14</v>
      </c>
      <c r="F922" t="s">
        <v>22</v>
      </c>
      <c r="G922" t="s">
        <v>32</v>
      </c>
      <c r="H922" t="s">
        <v>36</v>
      </c>
      <c r="I922" t="s">
        <v>53</v>
      </c>
      <c r="J922" s="7">
        <v>687.37</v>
      </c>
      <c r="K922" s="8">
        <v>4</v>
      </c>
      <c r="L922" s="7">
        <v>275.99</v>
      </c>
    </row>
    <row r="923" spans="1:12" x14ac:dyDescent="0.2">
      <c r="A923" s="2">
        <v>42139</v>
      </c>
      <c r="B923" s="8">
        <f>YEAR(Sales_data[[#This Row],[Order Date]])</f>
        <v>2015</v>
      </c>
      <c r="C923" s="8">
        <f>MONTH(Sales_data[[#This Row],[Order Date]])</f>
        <v>5</v>
      </c>
      <c r="D923" s="8" t="str">
        <f>TEXT(Sales_data[[#This Row],[Order Date]],"mmm")</f>
        <v>May</v>
      </c>
      <c r="E923" t="s">
        <v>21</v>
      </c>
      <c r="F923" t="s">
        <v>31</v>
      </c>
      <c r="G923" t="s">
        <v>32</v>
      </c>
      <c r="H923" t="s">
        <v>37</v>
      </c>
      <c r="I923" t="s">
        <v>45</v>
      </c>
      <c r="J923" s="7">
        <v>471.95</v>
      </c>
      <c r="K923" s="8">
        <v>8</v>
      </c>
      <c r="L923" s="7">
        <v>116.75</v>
      </c>
    </row>
    <row r="924" spans="1:12" x14ac:dyDescent="0.2">
      <c r="A924" s="2">
        <v>42140</v>
      </c>
      <c r="B924" s="8">
        <f>YEAR(Sales_data[[#This Row],[Order Date]])</f>
        <v>2015</v>
      </c>
      <c r="C924" s="8">
        <f>MONTH(Sales_data[[#This Row],[Order Date]])</f>
        <v>5</v>
      </c>
      <c r="D924" s="8" t="str">
        <f>TEXT(Sales_data[[#This Row],[Order Date]],"mmm")</f>
        <v>May</v>
      </c>
      <c r="E924" t="s">
        <v>19</v>
      </c>
      <c r="F924" t="s">
        <v>28</v>
      </c>
      <c r="G924" t="s">
        <v>33</v>
      </c>
      <c r="H924" t="s">
        <v>38</v>
      </c>
      <c r="I924" t="s">
        <v>47</v>
      </c>
      <c r="J924" s="7">
        <v>1905.46</v>
      </c>
      <c r="K924" s="8">
        <v>8</v>
      </c>
      <c r="L924" s="7">
        <v>336.63</v>
      </c>
    </row>
    <row r="925" spans="1:12" x14ac:dyDescent="0.2">
      <c r="A925" s="2">
        <v>42141</v>
      </c>
      <c r="B925" s="8">
        <f>YEAR(Sales_data[[#This Row],[Order Date]])</f>
        <v>2015</v>
      </c>
      <c r="C925" s="8">
        <f>MONTH(Sales_data[[#This Row],[Order Date]])</f>
        <v>5</v>
      </c>
      <c r="D925" s="8" t="str">
        <f>TEXT(Sales_data[[#This Row],[Order Date]],"mmm")</f>
        <v>May</v>
      </c>
      <c r="E925" t="s">
        <v>18</v>
      </c>
      <c r="F925" t="s">
        <v>25</v>
      </c>
      <c r="G925" t="s">
        <v>32</v>
      </c>
      <c r="H925" t="s">
        <v>39</v>
      </c>
      <c r="I925" t="s">
        <v>53</v>
      </c>
      <c r="J925" s="7">
        <v>1822.48</v>
      </c>
      <c r="K925" s="8">
        <v>3</v>
      </c>
      <c r="L925" s="7">
        <v>352.7</v>
      </c>
    </row>
    <row r="926" spans="1:12" x14ac:dyDescent="0.2">
      <c r="A926" s="2">
        <v>42141</v>
      </c>
      <c r="B926" s="8">
        <f>YEAR(Sales_data[[#This Row],[Order Date]])</f>
        <v>2015</v>
      </c>
      <c r="C926" s="8">
        <f>MONTH(Sales_data[[#This Row],[Order Date]])</f>
        <v>5</v>
      </c>
      <c r="D926" s="8" t="str">
        <f>TEXT(Sales_data[[#This Row],[Order Date]],"mmm")</f>
        <v>May</v>
      </c>
      <c r="E926" t="s">
        <v>9</v>
      </c>
      <c r="F926" t="s">
        <v>27</v>
      </c>
      <c r="G926" t="s">
        <v>34</v>
      </c>
      <c r="H926" t="s">
        <v>38</v>
      </c>
      <c r="I926" t="s">
        <v>48</v>
      </c>
      <c r="J926" s="7">
        <v>1102.8</v>
      </c>
      <c r="K926" s="8">
        <v>8</v>
      </c>
      <c r="L926" s="7">
        <v>-19.77</v>
      </c>
    </row>
    <row r="927" spans="1:12" x14ac:dyDescent="0.2">
      <c r="A927" s="2">
        <v>42143</v>
      </c>
      <c r="B927" s="8">
        <f>YEAR(Sales_data[[#This Row],[Order Date]])</f>
        <v>2015</v>
      </c>
      <c r="C927" s="8">
        <f>MONTH(Sales_data[[#This Row],[Order Date]])</f>
        <v>5</v>
      </c>
      <c r="D927" s="8" t="str">
        <f>TEXT(Sales_data[[#This Row],[Order Date]],"mmm")</f>
        <v>May</v>
      </c>
      <c r="E927" t="s">
        <v>20</v>
      </c>
      <c r="F927" t="s">
        <v>27</v>
      </c>
      <c r="G927" t="s">
        <v>33</v>
      </c>
      <c r="H927" t="s">
        <v>40</v>
      </c>
      <c r="I927" t="s">
        <v>44</v>
      </c>
      <c r="J927" s="7">
        <v>112.16</v>
      </c>
      <c r="K927" s="8">
        <v>4</v>
      </c>
      <c r="L927" s="7">
        <v>363.34</v>
      </c>
    </row>
    <row r="928" spans="1:12" x14ac:dyDescent="0.2">
      <c r="A928" s="2">
        <v>42145</v>
      </c>
      <c r="B928" s="8">
        <f>YEAR(Sales_data[[#This Row],[Order Date]])</f>
        <v>2015</v>
      </c>
      <c r="C928" s="8">
        <f>MONTH(Sales_data[[#This Row],[Order Date]])</f>
        <v>5</v>
      </c>
      <c r="D928" s="8" t="str">
        <f>TEXT(Sales_data[[#This Row],[Order Date]],"mmm")</f>
        <v>May</v>
      </c>
      <c r="E928" t="s">
        <v>18</v>
      </c>
      <c r="F928" t="s">
        <v>23</v>
      </c>
      <c r="G928" t="s">
        <v>34</v>
      </c>
      <c r="H928" t="s">
        <v>39</v>
      </c>
      <c r="I928" t="s">
        <v>50</v>
      </c>
      <c r="J928" s="7">
        <v>945.89</v>
      </c>
      <c r="K928" s="8">
        <v>5</v>
      </c>
      <c r="L928" s="7">
        <v>223.67</v>
      </c>
    </row>
    <row r="929" spans="1:12" x14ac:dyDescent="0.2">
      <c r="A929" s="2">
        <v>42146</v>
      </c>
      <c r="B929" s="8">
        <f>YEAR(Sales_data[[#This Row],[Order Date]])</f>
        <v>2015</v>
      </c>
      <c r="C929" s="8">
        <f>MONTH(Sales_data[[#This Row],[Order Date]])</f>
        <v>5</v>
      </c>
      <c r="D929" s="8" t="str">
        <f>TEXT(Sales_data[[#This Row],[Order Date]],"mmm")</f>
        <v>May</v>
      </c>
      <c r="E929" t="s">
        <v>17</v>
      </c>
      <c r="F929" t="s">
        <v>22</v>
      </c>
      <c r="G929" t="s">
        <v>33</v>
      </c>
      <c r="H929" t="s">
        <v>37</v>
      </c>
      <c r="I929" t="s">
        <v>49</v>
      </c>
      <c r="J929" s="7">
        <v>1183.05</v>
      </c>
      <c r="K929" s="8">
        <v>5</v>
      </c>
      <c r="L929" s="7">
        <v>382.04</v>
      </c>
    </row>
    <row r="930" spans="1:12" x14ac:dyDescent="0.2">
      <c r="A930" s="2">
        <v>42146</v>
      </c>
      <c r="B930" s="8">
        <f>YEAR(Sales_data[[#This Row],[Order Date]])</f>
        <v>2015</v>
      </c>
      <c r="C930" s="8">
        <f>MONTH(Sales_data[[#This Row],[Order Date]])</f>
        <v>5</v>
      </c>
      <c r="D930" s="8" t="str">
        <f>TEXT(Sales_data[[#This Row],[Order Date]],"mmm")</f>
        <v>May</v>
      </c>
      <c r="E930" t="s">
        <v>16</v>
      </c>
      <c r="F930" t="s">
        <v>24</v>
      </c>
      <c r="G930" t="s">
        <v>32</v>
      </c>
      <c r="H930" t="s">
        <v>43</v>
      </c>
      <c r="I930" t="s">
        <v>44</v>
      </c>
      <c r="J930" s="7">
        <v>1864.57</v>
      </c>
      <c r="K930" s="8">
        <v>2</v>
      </c>
      <c r="L930" s="7">
        <v>-20.81</v>
      </c>
    </row>
    <row r="931" spans="1:12" x14ac:dyDescent="0.2">
      <c r="A931" s="2">
        <v>42146</v>
      </c>
      <c r="B931" s="8">
        <f>YEAR(Sales_data[[#This Row],[Order Date]])</f>
        <v>2015</v>
      </c>
      <c r="C931" s="8">
        <f>MONTH(Sales_data[[#This Row],[Order Date]])</f>
        <v>5</v>
      </c>
      <c r="D931" s="8" t="str">
        <f>TEXT(Sales_data[[#This Row],[Order Date]],"mmm")</f>
        <v>May</v>
      </c>
      <c r="E931" t="s">
        <v>18</v>
      </c>
      <c r="F931" t="s">
        <v>22</v>
      </c>
      <c r="G931" t="s">
        <v>34</v>
      </c>
      <c r="H931" t="s">
        <v>43</v>
      </c>
      <c r="I931" t="s">
        <v>45</v>
      </c>
      <c r="J931" s="7">
        <v>413.29</v>
      </c>
      <c r="K931" s="8">
        <v>4</v>
      </c>
      <c r="L931" s="7">
        <v>-67.38</v>
      </c>
    </row>
    <row r="932" spans="1:12" x14ac:dyDescent="0.2">
      <c r="A932" s="2">
        <v>42147</v>
      </c>
      <c r="B932" s="8">
        <f>YEAR(Sales_data[[#This Row],[Order Date]])</f>
        <v>2015</v>
      </c>
      <c r="C932" s="8">
        <f>MONTH(Sales_data[[#This Row],[Order Date]])</f>
        <v>5</v>
      </c>
      <c r="D932" s="8" t="str">
        <f>TEXT(Sales_data[[#This Row],[Order Date]],"mmm")</f>
        <v>May</v>
      </c>
      <c r="E932" t="s">
        <v>18</v>
      </c>
      <c r="F932" t="s">
        <v>27</v>
      </c>
      <c r="G932" t="s">
        <v>32</v>
      </c>
      <c r="H932" t="s">
        <v>39</v>
      </c>
      <c r="I932" t="s">
        <v>51</v>
      </c>
      <c r="J932" s="7">
        <v>1898.73</v>
      </c>
      <c r="K932" s="8">
        <v>2</v>
      </c>
      <c r="L932" s="7">
        <v>60.37</v>
      </c>
    </row>
    <row r="933" spans="1:12" x14ac:dyDescent="0.2">
      <c r="A933" s="2">
        <v>42147</v>
      </c>
      <c r="B933" s="8">
        <f>YEAR(Sales_data[[#This Row],[Order Date]])</f>
        <v>2015</v>
      </c>
      <c r="C933" s="8">
        <f>MONTH(Sales_data[[#This Row],[Order Date]])</f>
        <v>5</v>
      </c>
      <c r="D933" s="8" t="str">
        <f>TEXT(Sales_data[[#This Row],[Order Date]],"mmm")</f>
        <v>May</v>
      </c>
      <c r="E933" t="s">
        <v>11</v>
      </c>
      <c r="F933" t="s">
        <v>28</v>
      </c>
      <c r="G933" t="s">
        <v>34</v>
      </c>
      <c r="H933" t="s">
        <v>43</v>
      </c>
      <c r="I933" t="s">
        <v>44</v>
      </c>
      <c r="J933" s="7">
        <v>380.63</v>
      </c>
      <c r="K933" s="8">
        <v>3</v>
      </c>
      <c r="L933" s="7">
        <v>49.49</v>
      </c>
    </row>
    <row r="934" spans="1:12" x14ac:dyDescent="0.2">
      <c r="A934" s="2">
        <v>42150</v>
      </c>
      <c r="B934" s="8">
        <f>YEAR(Sales_data[[#This Row],[Order Date]])</f>
        <v>2015</v>
      </c>
      <c r="C934" s="8">
        <f>MONTH(Sales_data[[#This Row],[Order Date]])</f>
        <v>5</v>
      </c>
      <c r="D934" s="8" t="str">
        <f>TEXT(Sales_data[[#This Row],[Order Date]],"mmm")</f>
        <v>May</v>
      </c>
      <c r="E934" t="s">
        <v>16</v>
      </c>
      <c r="F934" t="s">
        <v>25</v>
      </c>
      <c r="G934" t="s">
        <v>33</v>
      </c>
      <c r="H934" t="s">
        <v>35</v>
      </c>
      <c r="I934" t="s">
        <v>45</v>
      </c>
      <c r="J934" s="7">
        <v>1251.27</v>
      </c>
      <c r="K934" s="8">
        <v>7</v>
      </c>
      <c r="L934" s="7">
        <v>-127.32</v>
      </c>
    </row>
    <row r="935" spans="1:12" x14ac:dyDescent="0.2">
      <c r="A935" s="2">
        <v>42150</v>
      </c>
      <c r="B935" s="8">
        <f>YEAR(Sales_data[[#This Row],[Order Date]])</f>
        <v>2015</v>
      </c>
      <c r="C935" s="8">
        <f>MONTH(Sales_data[[#This Row],[Order Date]])</f>
        <v>5</v>
      </c>
      <c r="D935" s="8" t="str">
        <f>TEXT(Sales_data[[#This Row],[Order Date]],"mmm")</f>
        <v>May</v>
      </c>
      <c r="E935" t="s">
        <v>11</v>
      </c>
      <c r="F935" t="s">
        <v>28</v>
      </c>
      <c r="G935" t="s">
        <v>32</v>
      </c>
      <c r="H935" t="s">
        <v>38</v>
      </c>
      <c r="I935" t="s">
        <v>45</v>
      </c>
      <c r="J935" s="7">
        <v>1803.79</v>
      </c>
      <c r="K935" s="8">
        <v>6</v>
      </c>
      <c r="L935" s="7">
        <v>-137.75</v>
      </c>
    </row>
    <row r="936" spans="1:12" x14ac:dyDescent="0.2">
      <c r="A936" s="2">
        <v>42151</v>
      </c>
      <c r="B936" s="8">
        <f>YEAR(Sales_data[[#This Row],[Order Date]])</f>
        <v>2015</v>
      </c>
      <c r="C936" s="8">
        <f>MONTH(Sales_data[[#This Row],[Order Date]])</f>
        <v>5</v>
      </c>
      <c r="D936" s="8" t="str">
        <f>TEXT(Sales_data[[#This Row],[Order Date]],"mmm")</f>
        <v>May</v>
      </c>
      <c r="E936" t="s">
        <v>13</v>
      </c>
      <c r="F936" t="s">
        <v>24</v>
      </c>
      <c r="G936" t="s">
        <v>32</v>
      </c>
      <c r="H936" t="s">
        <v>43</v>
      </c>
      <c r="I936" t="s">
        <v>49</v>
      </c>
      <c r="J936" s="7">
        <v>138</v>
      </c>
      <c r="K936" s="8">
        <v>2</v>
      </c>
      <c r="L936" s="7">
        <v>232.05</v>
      </c>
    </row>
    <row r="937" spans="1:12" x14ac:dyDescent="0.2">
      <c r="A937" s="2">
        <v>42151</v>
      </c>
      <c r="B937" s="8">
        <f>YEAR(Sales_data[[#This Row],[Order Date]])</f>
        <v>2015</v>
      </c>
      <c r="C937" s="8">
        <f>MONTH(Sales_data[[#This Row],[Order Date]])</f>
        <v>5</v>
      </c>
      <c r="D937" s="8" t="str">
        <f>TEXT(Sales_data[[#This Row],[Order Date]],"mmm")</f>
        <v>May</v>
      </c>
      <c r="E937" t="s">
        <v>17</v>
      </c>
      <c r="F937" t="s">
        <v>26</v>
      </c>
      <c r="G937" t="s">
        <v>33</v>
      </c>
      <c r="H937" t="s">
        <v>41</v>
      </c>
      <c r="I937" t="s">
        <v>53</v>
      </c>
      <c r="J937" s="7">
        <v>350.18</v>
      </c>
      <c r="K937" s="8">
        <v>4</v>
      </c>
      <c r="L937" s="7">
        <v>337.51</v>
      </c>
    </row>
    <row r="938" spans="1:12" x14ac:dyDescent="0.2">
      <c r="A938" s="2">
        <v>42151</v>
      </c>
      <c r="B938" s="8">
        <f>YEAR(Sales_data[[#This Row],[Order Date]])</f>
        <v>2015</v>
      </c>
      <c r="C938" s="8">
        <f>MONTH(Sales_data[[#This Row],[Order Date]])</f>
        <v>5</v>
      </c>
      <c r="D938" s="8" t="str">
        <f>TEXT(Sales_data[[#This Row],[Order Date]],"mmm")</f>
        <v>May</v>
      </c>
      <c r="E938" t="s">
        <v>18</v>
      </c>
      <c r="F938" t="s">
        <v>23</v>
      </c>
      <c r="G938" t="s">
        <v>33</v>
      </c>
      <c r="H938" t="s">
        <v>41</v>
      </c>
      <c r="I938" t="s">
        <v>50</v>
      </c>
      <c r="J938" s="7">
        <v>1389.01</v>
      </c>
      <c r="K938" s="8">
        <v>8</v>
      </c>
      <c r="L938" s="7">
        <v>165.59</v>
      </c>
    </row>
    <row r="939" spans="1:12" x14ac:dyDescent="0.2">
      <c r="A939" s="2">
        <v>42152</v>
      </c>
      <c r="B939" s="8">
        <f>YEAR(Sales_data[[#This Row],[Order Date]])</f>
        <v>2015</v>
      </c>
      <c r="C939" s="8">
        <f>MONTH(Sales_data[[#This Row],[Order Date]])</f>
        <v>5</v>
      </c>
      <c r="D939" s="8" t="str">
        <f>TEXT(Sales_data[[#This Row],[Order Date]],"mmm")</f>
        <v>May</v>
      </c>
      <c r="E939" t="s">
        <v>11</v>
      </c>
      <c r="F939" t="s">
        <v>23</v>
      </c>
      <c r="G939" t="s">
        <v>32</v>
      </c>
      <c r="H939" t="s">
        <v>43</v>
      </c>
      <c r="I939" t="s">
        <v>44</v>
      </c>
      <c r="J939" s="7">
        <v>1640.02</v>
      </c>
      <c r="K939" s="8">
        <v>9</v>
      </c>
      <c r="L939" s="7">
        <v>37.96</v>
      </c>
    </row>
    <row r="940" spans="1:12" x14ac:dyDescent="0.2">
      <c r="A940" s="2">
        <v>42153</v>
      </c>
      <c r="B940" s="8">
        <f>YEAR(Sales_data[[#This Row],[Order Date]])</f>
        <v>2015</v>
      </c>
      <c r="C940" s="8">
        <f>MONTH(Sales_data[[#This Row],[Order Date]])</f>
        <v>5</v>
      </c>
      <c r="D940" s="8" t="str">
        <f>TEXT(Sales_data[[#This Row],[Order Date]],"mmm")</f>
        <v>May</v>
      </c>
      <c r="E940" t="s">
        <v>16</v>
      </c>
      <c r="F940" t="s">
        <v>26</v>
      </c>
      <c r="G940" t="s">
        <v>33</v>
      </c>
      <c r="H940" t="s">
        <v>40</v>
      </c>
      <c r="I940" t="s">
        <v>44</v>
      </c>
      <c r="J940" s="7">
        <v>1436.1</v>
      </c>
      <c r="K940" s="8">
        <v>9</v>
      </c>
      <c r="L940" s="7">
        <v>180.99</v>
      </c>
    </row>
    <row r="941" spans="1:12" x14ac:dyDescent="0.2">
      <c r="A941" s="2">
        <v>42153</v>
      </c>
      <c r="B941" s="8">
        <f>YEAR(Sales_data[[#This Row],[Order Date]])</f>
        <v>2015</v>
      </c>
      <c r="C941" s="8">
        <f>MONTH(Sales_data[[#This Row],[Order Date]])</f>
        <v>5</v>
      </c>
      <c r="D941" s="8" t="str">
        <f>TEXT(Sales_data[[#This Row],[Order Date]],"mmm")</f>
        <v>May</v>
      </c>
      <c r="E941" t="s">
        <v>13</v>
      </c>
      <c r="F941" t="s">
        <v>29</v>
      </c>
      <c r="G941" t="s">
        <v>34</v>
      </c>
      <c r="H941" t="s">
        <v>35</v>
      </c>
      <c r="I941" t="s">
        <v>47</v>
      </c>
      <c r="J941" s="7">
        <v>980.87</v>
      </c>
      <c r="K941" s="8">
        <v>1</v>
      </c>
      <c r="L941" s="7">
        <v>3.45</v>
      </c>
    </row>
    <row r="942" spans="1:12" x14ac:dyDescent="0.2">
      <c r="A942" s="2">
        <v>42155</v>
      </c>
      <c r="B942" s="8">
        <f>YEAR(Sales_data[[#This Row],[Order Date]])</f>
        <v>2015</v>
      </c>
      <c r="C942" s="8">
        <f>MONTH(Sales_data[[#This Row],[Order Date]])</f>
        <v>5</v>
      </c>
      <c r="D942" s="8" t="str">
        <f>TEXT(Sales_data[[#This Row],[Order Date]],"mmm")</f>
        <v>May</v>
      </c>
      <c r="E942" t="s">
        <v>19</v>
      </c>
      <c r="F942" t="s">
        <v>31</v>
      </c>
      <c r="G942" t="s">
        <v>34</v>
      </c>
      <c r="H942" t="s">
        <v>39</v>
      </c>
      <c r="I942" t="s">
        <v>46</v>
      </c>
      <c r="J942" s="7">
        <v>514.38</v>
      </c>
      <c r="K942" s="8">
        <v>6</v>
      </c>
      <c r="L942" s="7">
        <v>239.57</v>
      </c>
    </row>
    <row r="943" spans="1:12" x14ac:dyDescent="0.2">
      <c r="A943" s="2">
        <v>42155</v>
      </c>
      <c r="B943" s="8">
        <f>YEAR(Sales_data[[#This Row],[Order Date]])</f>
        <v>2015</v>
      </c>
      <c r="C943" s="8">
        <f>MONTH(Sales_data[[#This Row],[Order Date]])</f>
        <v>5</v>
      </c>
      <c r="D943" s="8" t="str">
        <f>TEXT(Sales_data[[#This Row],[Order Date]],"mmm")</f>
        <v>May</v>
      </c>
      <c r="E943" t="s">
        <v>19</v>
      </c>
      <c r="F943" t="s">
        <v>26</v>
      </c>
      <c r="G943" t="s">
        <v>33</v>
      </c>
      <c r="H943" t="s">
        <v>42</v>
      </c>
      <c r="I943" t="s">
        <v>51</v>
      </c>
      <c r="J943" s="7">
        <v>457.52</v>
      </c>
      <c r="K943" s="8">
        <v>9</v>
      </c>
      <c r="L943" s="7">
        <v>235.77</v>
      </c>
    </row>
    <row r="944" spans="1:12" x14ac:dyDescent="0.2">
      <c r="A944" s="2">
        <v>42155</v>
      </c>
      <c r="B944" s="8">
        <f>YEAR(Sales_data[[#This Row],[Order Date]])</f>
        <v>2015</v>
      </c>
      <c r="C944" s="8">
        <f>MONTH(Sales_data[[#This Row],[Order Date]])</f>
        <v>5</v>
      </c>
      <c r="D944" s="8" t="str">
        <f>TEXT(Sales_data[[#This Row],[Order Date]],"mmm")</f>
        <v>May</v>
      </c>
      <c r="E944" t="s">
        <v>9</v>
      </c>
      <c r="F944" t="s">
        <v>24</v>
      </c>
      <c r="G944" t="s">
        <v>33</v>
      </c>
      <c r="H944" t="s">
        <v>41</v>
      </c>
      <c r="I944" t="s">
        <v>47</v>
      </c>
      <c r="J944" s="7">
        <v>752.28</v>
      </c>
      <c r="K944" s="8">
        <v>4</v>
      </c>
      <c r="L944" s="7">
        <v>-73.650000000000006</v>
      </c>
    </row>
    <row r="945" spans="1:12" x14ac:dyDescent="0.2">
      <c r="A945" s="2">
        <v>42157</v>
      </c>
      <c r="B945" s="8">
        <f>YEAR(Sales_data[[#This Row],[Order Date]])</f>
        <v>2015</v>
      </c>
      <c r="C945" s="8">
        <f>MONTH(Sales_data[[#This Row],[Order Date]])</f>
        <v>6</v>
      </c>
      <c r="D945" s="8" t="str">
        <f>TEXT(Sales_data[[#This Row],[Order Date]],"mmm")</f>
        <v>Jun</v>
      </c>
      <c r="E945" t="s">
        <v>13</v>
      </c>
      <c r="F945" t="s">
        <v>28</v>
      </c>
      <c r="G945" t="s">
        <v>34</v>
      </c>
      <c r="H945" t="s">
        <v>35</v>
      </c>
      <c r="I945" t="s">
        <v>45</v>
      </c>
      <c r="J945" s="7">
        <v>799.81</v>
      </c>
      <c r="K945" s="8">
        <v>9</v>
      </c>
      <c r="L945" s="7">
        <v>205.74</v>
      </c>
    </row>
    <row r="946" spans="1:12" x14ac:dyDescent="0.2">
      <c r="A946" s="2">
        <v>42157</v>
      </c>
      <c r="B946" s="8">
        <f>YEAR(Sales_data[[#This Row],[Order Date]])</f>
        <v>2015</v>
      </c>
      <c r="C946" s="8">
        <f>MONTH(Sales_data[[#This Row],[Order Date]])</f>
        <v>6</v>
      </c>
      <c r="D946" s="8" t="str">
        <f>TEXT(Sales_data[[#This Row],[Order Date]],"mmm")</f>
        <v>Jun</v>
      </c>
      <c r="E946" t="s">
        <v>16</v>
      </c>
      <c r="F946" t="s">
        <v>26</v>
      </c>
      <c r="G946" t="s">
        <v>34</v>
      </c>
      <c r="H946" t="s">
        <v>41</v>
      </c>
      <c r="I946" t="s">
        <v>46</v>
      </c>
      <c r="J946" s="7">
        <v>1254.17</v>
      </c>
      <c r="K946" s="8">
        <v>5</v>
      </c>
      <c r="L946" s="7">
        <v>37.549999999999997</v>
      </c>
    </row>
    <row r="947" spans="1:12" x14ac:dyDescent="0.2">
      <c r="A947" s="2">
        <v>42157</v>
      </c>
      <c r="B947" s="8">
        <f>YEAR(Sales_data[[#This Row],[Order Date]])</f>
        <v>2015</v>
      </c>
      <c r="C947" s="8">
        <f>MONTH(Sales_data[[#This Row],[Order Date]])</f>
        <v>6</v>
      </c>
      <c r="D947" s="8" t="str">
        <f>TEXT(Sales_data[[#This Row],[Order Date]],"mmm")</f>
        <v>Jun</v>
      </c>
      <c r="E947" t="s">
        <v>19</v>
      </c>
      <c r="F947" t="s">
        <v>31</v>
      </c>
      <c r="G947" t="s">
        <v>34</v>
      </c>
      <c r="H947" t="s">
        <v>41</v>
      </c>
      <c r="I947" t="s">
        <v>50</v>
      </c>
      <c r="J947" s="7">
        <v>84.14</v>
      </c>
      <c r="K947" s="8">
        <v>6</v>
      </c>
      <c r="L947" s="7">
        <v>124.49</v>
      </c>
    </row>
    <row r="948" spans="1:12" x14ac:dyDescent="0.2">
      <c r="A948" s="2">
        <v>42158</v>
      </c>
      <c r="B948" s="8">
        <f>YEAR(Sales_data[[#This Row],[Order Date]])</f>
        <v>2015</v>
      </c>
      <c r="C948" s="8">
        <f>MONTH(Sales_data[[#This Row],[Order Date]])</f>
        <v>6</v>
      </c>
      <c r="D948" s="8" t="str">
        <f>TEXT(Sales_data[[#This Row],[Order Date]],"mmm")</f>
        <v>Jun</v>
      </c>
      <c r="E948" t="s">
        <v>13</v>
      </c>
      <c r="F948" t="s">
        <v>25</v>
      </c>
      <c r="G948" t="s">
        <v>32</v>
      </c>
      <c r="H948" t="s">
        <v>38</v>
      </c>
      <c r="I948" t="s">
        <v>49</v>
      </c>
      <c r="J948" s="7">
        <v>142.83000000000001</v>
      </c>
      <c r="K948" s="8">
        <v>8</v>
      </c>
      <c r="L948" s="7">
        <v>135.77000000000001</v>
      </c>
    </row>
    <row r="949" spans="1:12" x14ac:dyDescent="0.2">
      <c r="A949" s="2">
        <v>42158</v>
      </c>
      <c r="B949" s="8">
        <f>YEAR(Sales_data[[#This Row],[Order Date]])</f>
        <v>2015</v>
      </c>
      <c r="C949" s="8">
        <f>MONTH(Sales_data[[#This Row],[Order Date]])</f>
        <v>6</v>
      </c>
      <c r="D949" s="8" t="str">
        <f>TEXT(Sales_data[[#This Row],[Order Date]],"mmm")</f>
        <v>Jun</v>
      </c>
      <c r="E949" t="s">
        <v>16</v>
      </c>
      <c r="F949" t="s">
        <v>29</v>
      </c>
      <c r="G949" t="s">
        <v>32</v>
      </c>
      <c r="H949" t="s">
        <v>36</v>
      </c>
      <c r="I949" t="s">
        <v>51</v>
      </c>
      <c r="J949" s="7">
        <v>56.68</v>
      </c>
      <c r="K949" s="8">
        <v>1</v>
      </c>
      <c r="L949" s="7">
        <v>179.6</v>
      </c>
    </row>
    <row r="950" spans="1:12" x14ac:dyDescent="0.2">
      <c r="A950" s="2">
        <v>42159</v>
      </c>
      <c r="B950" s="8">
        <f>YEAR(Sales_data[[#This Row],[Order Date]])</f>
        <v>2015</v>
      </c>
      <c r="C950" s="8">
        <f>MONTH(Sales_data[[#This Row],[Order Date]])</f>
        <v>6</v>
      </c>
      <c r="D950" s="8" t="str">
        <f>TEXT(Sales_data[[#This Row],[Order Date]],"mmm")</f>
        <v>Jun</v>
      </c>
      <c r="E950" t="s">
        <v>11</v>
      </c>
      <c r="F950" t="s">
        <v>29</v>
      </c>
      <c r="G950" t="s">
        <v>34</v>
      </c>
      <c r="H950" t="s">
        <v>38</v>
      </c>
      <c r="I950" t="s">
        <v>52</v>
      </c>
      <c r="J950" s="7">
        <v>536.16</v>
      </c>
      <c r="K950" s="8">
        <v>3</v>
      </c>
      <c r="L950" s="7">
        <v>-87.9</v>
      </c>
    </row>
    <row r="951" spans="1:12" x14ac:dyDescent="0.2">
      <c r="A951" s="2">
        <v>42159</v>
      </c>
      <c r="B951" s="8">
        <f>YEAR(Sales_data[[#This Row],[Order Date]])</f>
        <v>2015</v>
      </c>
      <c r="C951" s="8">
        <f>MONTH(Sales_data[[#This Row],[Order Date]])</f>
        <v>6</v>
      </c>
      <c r="D951" s="8" t="str">
        <f>TEXT(Sales_data[[#This Row],[Order Date]],"mmm")</f>
        <v>Jun</v>
      </c>
      <c r="E951" t="s">
        <v>21</v>
      </c>
      <c r="F951" t="s">
        <v>30</v>
      </c>
      <c r="G951" t="s">
        <v>32</v>
      </c>
      <c r="H951" t="s">
        <v>43</v>
      </c>
      <c r="I951" t="s">
        <v>45</v>
      </c>
      <c r="J951" s="7">
        <v>1806.52</v>
      </c>
      <c r="K951" s="8">
        <v>1</v>
      </c>
      <c r="L951" s="7">
        <v>354.92</v>
      </c>
    </row>
    <row r="952" spans="1:12" x14ac:dyDescent="0.2">
      <c r="A952" s="2">
        <v>42160</v>
      </c>
      <c r="B952" s="8">
        <f>YEAR(Sales_data[[#This Row],[Order Date]])</f>
        <v>2015</v>
      </c>
      <c r="C952" s="8">
        <f>MONTH(Sales_data[[#This Row],[Order Date]])</f>
        <v>6</v>
      </c>
      <c r="D952" s="8" t="str">
        <f>TEXT(Sales_data[[#This Row],[Order Date]],"mmm")</f>
        <v>Jun</v>
      </c>
      <c r="E952" t="s">
        <v>14</v>
      </c>
      <c r="F952" t="s">
        <v>29</v>
      </c>
      <c r="G952" t="s">
        <v>33</v>
      </c>
      <c r="H952" t="s">
        <v>36</v>
      </c>
      <c r="I952" t="s">
        <v>51</v>
      </c>
      <c r="J952" s="7">
        <v>1977.86</v>
      </c>
      <c r="K952" s="8">
        <v>3</v>
      </c>
      <c r="L952" s="7">
        <v>366.96</v>
      </c>
    </row>
    <row r="953" spans="1:12" x14ac:dyDescent="0.2">
      <c r="A953" s="2">
        <v>42162</v>
      </c>
      <c r="B953" s="8">
        <f>YEAR(Sales_data[[#This Row],[Order Date]])</f>
        <v>2015</v>
      </c>
      <c r="C953" s="8">
        <f>MONTH(Sales_data[[#This Row],[Order Date]])</f>
        <v>6</v>
      </c>
      <c r="D953" s="8" t="str">
        <f>TEXT(Sales_data[[#This Row],[Order Date]],"mmm")</f>
        <v>Jun</v>
      </c>
      <c r="E953" t="s">
        <v>11</v>
      </c>
      <c r="F953" t="s">
        <v>31</v>
      </c>
      <c r="G953" t="s">
        <v>32</v>
      </c>
      <c r="H953" t="s">
        <v>35</v>
      </c>
      <c r="I953" t="s">
        <v>50</v>
      </c>
      <c r="J953" s="7">
        <v>682.13</v>
      </c>
      <c r="K953" s="8">
        <v>1</v>
      </c>
      <c r="L953" s="7">
        <v>100.25</v>
      </c>
    </row>
    <row r="954" spans="1:12" x14ac:dyDescent="0.2">
      <c r="A954" s="2">
        <v>42165</v>
      </c>
      <c r="B954" s="8">
        <f>YEAR(Sales_data[[#This Row],[Order Date]])</f>
        <v>2015</v>
      </c>
      <c r="C954" s="8">
        <f>MONTH(Sales_data[[#This Row],[Order Date]])</f>
        <v>6</v>
      </c>
      <c r="D954" s="8" t="str">
        <f>TEXT(Sales_data[[#This Row],[Order Date]],"mmm")</f>
        <v>Jun</v>
      </c>
      <c r="E954" t="s">
        <v>21</v>
      </c>
      <c r="F954" t="s">
        <v>22</v>
      </c>
      <c r="G954" t="s">
        <v>34</v>
      </c>
      <c r="H954" t="s">
        <v>42</v>
      </c>
      <c r="I954" t="s">
        <v>53</v>
      </c>
      <c r="J954" s="7">
        <v>809.29</v>
      </c>
      <c r="K954" s="8">
        <v>1</v>
      </c>
      <c r="L954" s="7">
        <v>-159.72999999999999</v>
      </c>
    </row>
    <row r="955" spans="1:12" x14ac:dyDescent="0.2">
      <c r="A955" s="2">
        <v>42166</v>
      </c>
      <c r="B955" s="8">
        <f>YEAR(Sales_data[[#This Row],[Order Date]])</f>
        <v>2015</v>
      </c>
      <c r="C955" s="8">
        <f>MONTH(Sales_data[[#This Row],[Order Date]])</f>
        <v>6</v>
      </c>
      <c r="D955" s="8" t="str">
        <f>TEXT(Sales_data[[#This Row],[Order Date]],"mmm")</f>
        <v>Jun</v>
      </c>
      <c r="E955" t="s">
        <v>19</v>
      </c>
      <c r="F955" t="s">
        <v>24</v>
      </c>
      <c r="G955" t="s">
        <v>34</v>
      </c>
      <c r="H955" t="s">
        <v>41</v>
      </c>
      <c r="I955" t="s">
        <v>46</v>
      </c>
      <c r="J955" s="7">
        <v>138.34</v>
      </c>
      <c r="K955" s="8">
        <v>4</v>
      </c>
      <c r="L955" s="7">
        <v>232.61</v>
      </c>
    </row>
    <row r="956" spans="1:12" x14ac:dyDescent="0.2">
      <c r="A956" s="2">
        <v>42167</v>
      </c>
      <c r="B956" s="8">
        <f>YEAR(Sales_data[[#This Row],[Order Date]])</f>
        <v>2015</v>
      </c>
      <c r="C956" s="8">
        <f>MONTH(Sales_data[[#This Row],[Order Date]])</f>
        <v>6</v>
      </c>
      <c r="D956" s="8" t="str">
        <f>TEXT(Sales_data[[#This Row],[Order Date]],"mmm")</f>
        <v>Jun</v>
      </c>
      <c r="E956" t="s">
        <v>20</v>
      </c>
      <c r="F956" t="s">
        <v>24</v>
      </c>
      <c r="G956" t="s">
        <v>32</v>
      </c>
      <c r="H956" t="s">
        <v>37</v>
      </c>
      <c r="I956" t="s">
        <v>45</v>
      </c>
      <c r="J956" s="7">
        <v>946.31</v>
      </c>
      <c r="K956" s="8">
        <v>5</v>
      </c>
      <c r="L956" s="7">
        <v>95.73</v>
      </c>
    </row>
    <row r="957" spans="1:12" x14ac:dyDescent="0.2">
      <c r="A957" s="2">
        <v>42168</v>
      </c>
      <c r="B957" s="8">
        <f>YEAR(Sales_data[[#This Row],[Order Date]])</f>
        <v>2015</v>
      </c>
      <c r="C957" s="8">
        <f>MONTH(Sales_data[[#This Row],[Order Date]])</f>
        <v>6</v>
      </c>
      <c r="D957" s="8" t="str">
        <f>TEXT(Sales_data[[#This Row],[Order Date]],"mmm")</f>
        <v>Jun</v>
      </c>
      <c r="E957" t="s">
        <v>14</v>
      </c>
      <c r="F957" t="s">
        <v>27</v>
      </c>
      <c r="G957" t="s">
        <v>33</v>
      </c>
      <c r="H957" t="s">
        <v>41</v>
      </c>
      <c r="I957" t="s">
        <v>50</v>
      </c>
      <c r="J957" s="7">
        <v>1906.61</v>
      </c>
      <c r="K957" s="8">
        <v>4</v>
      </c>
      <c r="L957" s="7">
        <v>331.24</v>
      </c>
    </row>
    <row r="958" spans="1:12" x14ac:dyDescent="0.2">
      <c r="A958" s="2">
        <v>42169</v>
      </c>
      <c r="B958" s="8">
        <f>YEAR(Sales_data[[#This Row],[Order Date]])</f>
        <v>2015</v>
      </c>
      <c r="C958" s="8">
        <f>MONTH(Sales_data[[#This Row],[Order Date]])</f>
        <v>6</v>
      </c>
      <c r="D958" s="8" t="str">
        <f>TEXT(Sales_data[[#This Row],[Order Date]],"mmm")</f>
        <v>Jun</v>
      </c>
      <c r="E958" t="s">
        <v>11</v>
      </c>
      <c r="F958" t="s">
        <v>30</v>
      </c>
      <c r="G958" t="s">
        <v>33</v>
      </c>
      <c r="H958" t="s">
        <v>38</v>
      </c>
      <c r="I958" t="s">
        <v>52</v>
      </c>
      <c r="J958" s="7">
        <v>762.16</v>
      </c>
      <c r="K958" s="8">
        <v>2</v>
      </c>
      <c r="L958" s="7">
        <v>-87.93</v>
      </c>
    </row>
    <row r="959" spans="1:12" x14ac:dyDescent="0.2">
      <c r="A959" s="2">
        <v>42170</v>
      </c>
      <c r="B959" s="8">
        <f>YEAR(Sales_data[[#This Row],[Order Date]])</f>
        <v>2015</v>
      </c>
      <c r="C959" s="8">
        <f>MONTH(Sales_data[[#This Row],[Order Date]])</f>
        <v>6</v>
      </c>
      <c r="D959" s="8" t="str">
        <f>TEXT(Sales_data[[#This Row],[Order Date]],"mmm")</f>
        <v>Jun</v>
      </c>
      <c r="E959" t="s">
        <v>21</v>
      </c>
      <c r="F959" t="s">
        <v>28</v>
      </c>
      <c r="G959" t="s">
        <v>34</v>
      </c>
      <c r="H959" t="s">
        <v>39</v>
      </c>
      <c r="I959" t="s">
        <v>49</v>
      </c>
      <c r="J959" s="7">
        <v>1114.97</v>
      </c>
      <c r="K959" s="8">
        <v>5</v>
      </c>
      <c r="L959" s="7">
        <v>-37.75</v>
      </c>
    </row>
    <row r="960" spans="1:12" x14ac:dyDescent="0.2">
      <c r="A960" s="2">
        <v>42171</v>
      </c>
      <c r="B960" s="8">
        <f>YEAR(Sales_data[[#This Row],[Order Date]])</f>
        <v>2015</v>
      </c>
      <c r="C960" s="8">
        <f>MONTH(Sales_data[[#This Row],[Order Date]])</f>
        <v>6</v>
      </c>
      <c r="D960" s="8" t="str">
        <f>TEXT(Sales_data[[#This Row],[Order Date]],"mmm")</f>
        <v>Jun</v>
      </c>
      <c r="E960" t="s">
        <v>11</v>
      </c>
      <c r="F960" t="s">
        <v>26</v>
      </c>
      <c r="G960" t="s">
        <v>32</v>
      </c>
      <c r="H960" t="s">
        <v>40</v>
      </c>
      <c r="I960" t="s">
        <v>45</v>
      </c>
      <c r="J960" s="7">
        <v>216.51</v>
      </c>
      <c r="K960" s="8">
        <v>5</v>
      </c>
      <c r="L960" s="7">
        <v>-76.2</v>
      </c>
    </row>
    <row r="961" spans="1:12" x14ac:dyDescent="0.2">
      <c r="A961" s="2">
        <v>42171</v>
      </c>
      <c r="B961" s="8">
        <f>YEAR(Sales_data[[#This Row],[Order Date]])</f>
        <v>2015</v>
      </c>
      <c r="C961" s="8">
        <f>MONTH(Sales_data[[#This Row],[Order Date]])</f>
        <v>6</v>
      </c>
      <c r="D961" s="8" t="str">
        <f>TEXT(Sales_data[[#This Row],[Order Date]],"mmm")</f>
        <v>Jun</v>
      </c>
      <c r="E961" t="s">
        <v>17</v>
      </c>
      <c r="F961" t="s">
        <v>30</v>
      </c>
      <c r="G961" t="s">
        <v>33</v>
      </c>
      <c r="H961" t="s">
        <v>37</v>
      </c>
      <c r="I961" t="s">
        <v>51</v>
      </c>
      <c r="J961" s="7">
        <v>1543.92</v>
      </c>
      <c r="K961" s="8">
        <v>2</v>
      </c>
      <c r="L961" s="7">
        <v>376.12</v>
      </c>
    </row>
    <row r="962" spans="1:12" x14ac:dyDescent="0.2">
      <c r="A962" s="2">
        <v>42172</v>
      </c>
      <c r="B962" s="8">
        <f>YEAR(Sales_data[[#This Row],[Order Date]])</f>
        <v>2015</v>
      </c>
      <c r="C962" s="8">
        <f>MONTH(Sales_data[[#This Row],[Order Date]])</f>
        <v>6</v>
      </c>
      <c r="D962" s="8" t="str">
        <f>TEXT(Sales_data[[#This Row],[Order Date]],"mmm")</f>
        <v>Jun</v>
      </c>
      <c r="E962" t="s">
        <v>13</v>
      </c>
      <c r="F962" t="s">
        <v>25</v>
      </c>
      <c r="G962" t="s">
        <v>34</v>
      </c>
      <c r="H962" t="s">
        <v>40</v>
      </c>
      <c r="I962" t="s">
        <v>51</v>
      </c>
      <c r="J962" s="7">
        <v>401</v>
      </c>
      <c r="K962" s="8">
        <v>1</v>
      </c>
      <c r="L962" s="7">
        <v>16.25</v>
      </c>
    </row>
    <row r="963" spans="1:12" x14ac:dyDescent="0.2">
      <c r="A963" s="2">
        <v>42172</v>
      </c>
      <c r="B963" s="8">
        <f>YEAR(Sales_data[[#This Row],[Order Date]])</f>
        <v>2015</v>
      </c>
      <c r="C963" s="8">
        <f>MONTH(Sales_data[[#This Row],[Order Date]])</f>
        <v>6</v>
      </c>
      <c r="D963" s="8" t="str">
        <f>TEXT(Sales_data[[#This Row],[Order Date]],"mmm")</f>
        <v>Jun</v>
      </c>
      <c r="E963" t="s">
        <v>10</v>
      </c>
      <c r="F963" t="s">
        <v>24</v>
      </c>
      <c r="G963" t="s">
        <v>32</v>
      </c>
      <c r="H963" t="s">
        <v>37</v>
      </c>
      <c r="I963" t="s">
        <v>44</v>
      </c>
      <c r="J963" s="7">
        <v>1326.06</v>
      </c>
      <c r="K963" s="8">
        <v>9</v>
      </c>
      <c r="L963" s="7">
        <v>-40.369999999999997</v>
      </c>
    </row>
    <row r="964" spans="1:12" x14ac:dyDescent="0.2">
      <c r="A964" s="2">
        <v>42173</v>
      </c>
      <c r="B964" s="8">
        <f>YEAR(Sales_data[[#This Row],[Order Date]])</f>
        <v>2015</v>
      </c>
      <c r="C964" s="8">
        <f>MONTH(Sales_data[[#This Row],[Order Date]])</f>
        <v>6</v>
      </c>
      <c r="D964" s="8" t="str">
        <f>TEXT(Sales_data[[#This Row],[Order Date]],"mmm")</f>
        <v>Jun</v>
      </c>
      <c r="E964" t="s">
        <v>15</v>
      </c>
      <c r="F964" t="s">
        <v>28</v>
      </c>
      <c r="G964" t="s">
        <v>32</v>
      </c>
      <c r="H964" t="s">
        <v>38</v>
      </c>
      <c r="I964" t="s">
        <v>50</v>
      </c>
      <c r="J964" s="7">
        <v>1350.05</v>
      </c>
      <c r="K964" s="8">
        <v>4</v>
      </c>
      <c r="L964" s="7">
        <v>99.56</v>
      </c>
    </row>
    <row r="965" spans="1:12" x14ac:dyDescent="0.2">
      <c r="A965" s="2">
        <v>42174</v>
      </c>
      <c r="B965" s="8">
        <f>YEAR(Sales_data[[#This Row],[Order Date]])</f>
        <v>2015</v>
      </c>
      <c r="C965" s="8">
        <f>MONTH(Sales_data[[#This Row],[Order Date]])</f>
        <v>6</v>
      </c>
      <c r="D965" s="8" t="str">
        <f>TEXT(Sales_data[[#This Row],[Order Date]],"mmm")</f>
        <v>Jun</v>
      </c>
      <c r="E965" t="s">
        <v>13</v>
      </c>
      <c r="F965" t="s">
        <v>25</v>
      </c>
      <c r="G965" t="s">
        <v>33</v>
      </c>
      <c r="H965" t="s">
        <v>41</v>
      </c>
      <c r="I965" t="s">
        <v>52</v>
      </c>
      <c r="J965" s="7">
        <v>460.59</v>
      </c>
      <c r="K965" s="8">
        <v>3</v>
      </c>
      <c r="L965" s="7">
        <v>-85.82</v>
      </c>
    </row>
    <row r="966" spans="1:12" x14ac:dyDescent="0.2">
      <c r="A966" s="2">
        <v>42174</v>
      </c>
      <c r="B966" s="8">
        <f>YEAR(Sales_data[[#This Row],[Order Date]])</f>
        <v>2015</v>
      </c>
      <c r="C966" s="8">
        <f>MONTH(Sales_data[[#This Row],[Order Date]])</f>
        <v>6</v>
      </c>
      <c r="D966" s="8" t="str">
        <f>TEXT(Sales_data[[#This Row],[Order Date]],"mmm")</f>
        <v>Jun</v>
      </c>
      <c r="E966" t="s">
        <v>16</v>
      </c>
      <c r="F966" t="s">
        <v>28</v>
      </c>
      <c r="G966" t="s">
        <v>32</v>
      </c>
      <c r="H966" t="s">
        <v>35</v>
      </c>
      <c r="I966" t="s">
        <v>46</v>
      </c>
      <c r="J966" s="7">
        <v>1279.27</v>
      </c>
      <c r="K966" s="8">
        <v>1</v>
      </c>
      <c r="L966" s="7">
        <v>103.4</v>
      </c>
    </row>
    <row r="967" spans="1:12" x14ac:dyDescent="0.2">
      <c r="A967" s="2">
        <v>42174</v>
      </c>
      <c r="B967" s="8">
        <f>YEAR(Sales_data[[#This Row],[Order Date]])</f>
        <v>2015</v>
      </c>
      <c r="C967" s="8">
        <f>MONTH(Sales_data[[#This Row],[Order Date]])</f>
        <v>6</v>
      </c>
      <c r="D967" s="8" t="str">
        <f>TEXT(Sales_data[[#This Row],[Order Date]],"mmm")</f>
        <v>Jun</v>
      </c>
      <c r="E967" t="s">
        <v>16</v>
      </c>
      <c r="F967" t="s">
        <v>23</v>
      </c>
      <c r="G967" t="s">
        <v>34</v>
      </c>
      <c r="H967" t="s">
        <v>40</v>
      </c>
      <c r="I967" t="s">
        <v>52</v>
      </c>
      <c r="J967" s="7">
        <v>75.62</v>
      </c>
      <c r="K967" s="8">
        <v>6</v>
      </c>
      <c r="L967" s="7">
        <v>188.16</v>
      </c>
    </row>
    <row r="968" spans="1:12" x14ac:dyDescent="0.2">
      <c r="A968" s="2">
        <v>42176</v>
      </c>
      <c r="B968" s="8">
        <f>YEAR(Sales_data[[#This Row],[Order Date]])</f>
        <v>2015</v>
      </c>
      <c r="C968" s="8">
        <f>MONTH(Sales_data[[#This Row],[Order Date]])</f>
        <v>6</v>
      </c>
      <c r="D968" s="8" t="str">
        <f>TEXT(Sales_data[[#This Row],[Order Date]],"mmm")</f>
        <v>Jun</v>
      </c>
      <c r="E968" t="s">
        <v>21</v>
      </c>
      <c r="F968" t="s">
        <v>25</v>
      </c>
      <c r="G968" t="s">
        <v>33</v>
      </c>
      <c r="H968" t="s">
        <v>40</v>
      </c>
      <c r="I968" t="s">
        <v>46</v>
      </c>
      <c r="J968" s="7">
        <v>1357.48</v>
      </c>
      <c r="K968" s="8">
        <v>7</v>
      </c>
      <c r="L968" s="7">
        <v>253.52</v>
      </c>
    </row>
    <row r="969" spans="1:12" x14ac:dyDescent="0.2">
      <c r="A969" s="2">
        <v>42177</v>
      </c>
      <c r="B969" s="8">
        <f>YEAR(Sales_data[[#This Row],[Order Date]])</f>
        <v>2015</v>
      </c>
      <c r="C969" s="8">
        <f>MONTH(Sales_data[[#This Row],[Order Date]])</f>
        <v>6</v>
      </c>
      <c r="D969" s="8" t="str">
        <f>TEXT(Sales_data[[#This Row],[Order Date]],"mmm")</f>
        <v>Jun</v>
      </c>
      <c r="E969" t="s">
        <v>19</v>
      </c>
      <c r="F969" t="s">
        <v>24</v>
      </c>
      <c r="G969" t="s">
        <v>33</v>
      </c>
      <c r="H969" t="s">
        <v>36</v>
      </c>
      <c r="I969" t="s">
        <v>52</v>
      </c>
      <c r="J969" s="7">
        <v>1642.72</v>
      </c>
      <c r="K969" s="8">
        <v>3</v>
      </c>
      <c r="L969" s="7">
        <v>-124.82</v>
      </c>
    </row>
    <row r="970" spans="1:12" x14ac:dyDescent="0.2">
      <c r="A970" s="2">
        <v>42179</v>
      </c>
      <c r="B970" s="8">
        <f>YEAR(Sales_data[[#This Row],[Order Date]])</f>
        <v>2015</v>
      </c>
      <c r="C970" s="8">
        <f>MONTH(Sales_data[[#This Row],[Order Date]])</f>
        <v>6</v>
      </c>
      <c r="D970" s="8" t="str">
        <f>TEXT(Sales_data[[#This Row],[Order Date]],"mmm")</f>
        <v>Jun</v>
      </c>
      <c r="E970" t="s">
        <v>10</v>
      </c>
      <c r="F970" t="s">
        <v>25</v>
      </c>
      <c r="G970" t="s">
        <v>34</v>
      </c>
      <c r="H970" t="s">
        <v>43</v>
      </c>
      <c r="I970" t="s">
        <v>52</v>
      </c>
      <c r="J970" s="7">
        <v>479.02</v>
      </c>
      <c r="K970" s="8">
        <v>8</v>
      </c>
      <c r="L970" s="7">
        <v>116.71</v>
      </c>
    </row>
    <row r="971" spans="1:12" x14ac:dyDescent="0.2">
      <c r="A971" s="2">
        <v>42180</v>
      </c>
      <c r="B971" s="8">
        <f>YEAR(Sales_data[[#This Row],[Order Date]])</f>
        <v>2015</v>
      </c>
      <c r="C971" s="8">
        <f>MONTH(Sales_data[[#This Row],[Order Date]])</f>
        <v>6</v>
      </c>
      <c r="D971" s="8" t="str">
        <f>TEXT(Sales_data[[#This Row],[Order Date]],"mmm")</f>
        <v>Jun</v>
      </c>
      <c r="E971" t="s">
        <v>12</v>
      </c>
      <c r="F971" t="s">
        <v>24</v>
      </c>
      <c r="G971" t="s">
        <v>33</v>
      </c>
      <c r="H971" t="s">
        <v>38</v>
      </c>
      <c r="I971" t="s">
        <v>45</v>
      </c>
      <c r="J971" s="7">
        <v>1995.05</v>
      </c>
      <c r="K971" s="8">
        <v>7</v>
      </c>
      <c r="L971" s="7">
        <v>-109.11</v>
      </c>
    </row>
    <row r="972" spans="1:12" x14ac:dyDescent="0.2">
      <c r="A972" s="2">
        <v>42183</v>
      </c>
      <c r="B972" s="8">
        <f>YEAR(Sales_data[[#This Row],[Order Date]])</f>
        <v>2015</v>
      </c>
      <c r="C972" s="8">
        <f>MONTH(Sales_data[[#This Row],[Order Date]])</f>
        <v>6</v>
      </c>
      <c r="D972" s="8" t="str">
        <f>TEXT(Sales_data[[#This Row],[Order Date]],"mmm")</f>
        <v>Jun</v>
      </c>
      <c r="E972" t="s">
        <v>20</v>
      </c>
      <c r="F972" t="s">
        <v>25</v>
      </c>
      <c r="G972" t="s">
        <v>32</v>
      </c>
      <c r="H972" t="s">
        <v>36</v>
      </c>
      <c r="I972" t="s">
        <v>47</v>
      </c>
      <c r="J972" s="7">
        <v>819.07</v>
      </c>
      <c r="K972" s="8">
        <v>4</v>
      </c>
      <c r="L972" s="7">
        <v>200.18</v>
      </c>
    </row>
    <row r="973" spans="1:12" x14ac:dyDescent="0.2">
      <c r="A973" s="2">
        <v>42184</v>
      </c>
      <c r="B973" s="8">
        <f>YEAR(Sales_data[[#This Row],[Order Date]])</f>
        <v>2015</v>
      </c>
      <c r="C973" s="8">
        <f>MONTH(Sales_data[[#This Row],[Order Date]])</f>
        <v>6</v>
      </c>
      <c r="D973" s="8" t="str">
        <f>TEXT(Sales_data[[#This Row],[Order Date]],"mmm")</f>
        <v>Jun</v>
      </c>
      <c r="E973" t="s">
        <v>11</v>
      </c>
      <c r="F973" t="s">
        <v>30</v>
      </c>
      <c r="G973" t="s">
        <v>32</v>
      </c>
      <c r="H973" t="s">
        <v>41</v>
      </c>
      <c r="I973" t="s">
        <v>50</v>
      </c>
      <c r="J973" s="7">
        <v>1958.73</v>
      </c>
      <c r="K973" s="8">
        <v>1</v>
      </c>
      <c r="L973" s="7">
        <v>51.61</v>
      </c>
    </row>
    <row r="974" spans="1:12" x14ac:dyDescent="0.2">
      <c r="A974" s="2">
        <v>42185</v>
      </c>
      <c r="B974" s="8">
        <f>YEAR(Sales_data[[#This Row],[Order Date]])</f>
        <v>2015</v>
      </c>
      <c r="C974" s="8">
        <f>MONTH(Sales_data[[#This Row],[Order Date]])</f>
        <v>6</v>
      </c>
      <c r="D974" s="8" t="str">
        <f>TEXT(Sales_data[[#This Row],[Order Date]],"mmm")</f>
        <v>Jun</v>
      </c>
      <c r="E974" t="s">
        <v>13</v>
      </c>
      <c r="F974" t="s">
        <v>26</v>
      </c>
      <c r="G974" t="s">
        <v>33</v>
      </c>
      <c r="H974" t="s">
        <v>42</v>
      </c>
      <c r="I974" t="s">
        <v>46</v>
      </c>
      <c r="J974" s="7">
        <v>340.74</v>
      </c>
      <c r="K974" s="8">
        <v>8</v>
      </c>
      <c r="L974" s="7">
        <v>-71.91</v>
      </c>
    </row>
    <row r="975" spans="1:12" x14ac:dyDescent="0.2">
      <c r="A975" s="2">
        <v>42186</v>
      </c>
      <c r="B975" s="8">
        <f>YEAR(Sales_data[[#This Row],[Order Date]])</f>
        <v>2015</v>
      </c>
      <c r="C975" s="8">
        <f>MONTH(Sales_data[[#This Row],[Order Date]])</f>
        <v>7</v>
      </c>
      <c r="D975" s="8" t="str">
        <f>TEXT(Sales_data[[#This Row],[Order Date]],"mmm")</f>
        <v>Jul</v>
      </c>
      <c r="E975" t="s">
        <v>16</v>
      </c>
      <c r="F975" t="s">
        <v>24</v>
      </c>
      <c r="G975" t="s">
        <v>33</v>
      </c>
      <c r="H975" t="s">
        <v>43</v>
      </c>
      <c r="I975" t="s">
        <v>47</v>
      </c>
      <c r="J975" s="7">
        <v>1886.4</v>
      </c>
      <c r="K975" s="8">
        <v>6</v>
      </c>
      <c r="L975" s="7">
        <v>-75.39</v>
      </c>
    </row>
    <row r="976" spans="1:12" x14ac:dyDescent="0.2">
      <c r="A976" s="2">
        <v>42187</v>
      </c>
      <c r="B976" s="8">
        <f>YEAR(Sales_data[[#This Row],[Order Date]])</f>
        <v>2015</v>
      </c>
      <c r="C976" s="8">
        <f>MONTH(Sales_data[[#This Row],[Order Date]])</f>
        <v>7</v>
      </c>
      <c r="D976" s="8" t="str">
        <f>TEXT(Sales_data[[#This Row],[Order Date]],"mmm")</f>
        <v>Jul</v>
      </c>
      <c r="E976" t="s">
        <v>16</v>
      </c>
      <c r="F976" t="s">
        <v>27</v>
      </c>
      <c r="G976" t="s">
        <v>33</v>
      </c>
      <c r="H976" t="s">
        <v>37</v>
      </c>
      <c r="I976" t="s">
        <v>46</v>
      </c>
      <c r="J976" s="7">
        <v>1256.23</v>
      </c>
      <c r="K976" s="8">
        <v>2</v>
      </c>
      <c r="L976" s="7">
        <v>-152.77000000000001</v>
      </c>
    </row>
    <row r="977" spans="1:12" x14ac:dyDescent="0.2">
      <c r="A977" s="2">
        <v>42188</v>
      </c>
      <c r="B977" s="8">
        <f>YEAR(Sales_data[[#This Row],[Order Date]])</f>
        <v>2015</v>
      </c>
      <c r="C977" s="8">
        <f>MONTH(Sales_data[[#This Row],[Order Date]])</f>
        <v>7</v>
      </c>
      <c r="D977" s="8" t="str">
        <f>TEXT(Sales_data[[#This Row],[Order Date]],"mmm")</f>
        <v>Jul</v>
      </c>
      <c r="E977" t="s">
        <v>16</v>
      </c>
      <c r="F977" t="s">
        <v>23</v>
      </c>
      <c r="G977" t="s">
        <v>34</v>
      </c>
      <c r="H977" t="s">
        <v>41</v>
      </c>
      <c r="I977" t="s">
        <v>48</v>
      </c>
      <c r="J977" s="7">
        <v>1038.3</v>
      </c>
      <c r="K977" s="8">
        <v>2</v>
      </c>
      <c r="L977" s="7">
        <v>-139.65</v>
      </c>
    </row>
    <row r="978" spans="1:12" x14ac:dyDescent="0.2">
      <c r="A978" s="2">
        <v>42189</v>
      </c>
      <c r="B978" s="8">
        <f>YEAR(Sales_data[[#This Row],[Order Date]])</f>
        <v>2015</v>
      </c>
      <c r="C978" s="8">
        <f>MONTH(Sales_data[[#This Row],[Order Date]])</f>
        <v>7</v>
      </c>
      <c r="D978" s="8" t="str">
        <f>TEXT(Sales_data[[#This Row],[Order Date]],"mmm")</f>
        <v>Jul</v>
      </c>
      <c r="E978" t="s">
        <v>21</v>
      </c>
      <c r="F978" t="s">
        <v>22</v>
      </c>
      <c r="G978" t="s">
        <v>34</v>
      </c>
      <c r="H978" t="s">
        <v>36</v>
      </c>
      <c r="I978" t="s">
        <v>53</v>
      </c>
      <c r="J978" s="7">
        <v>225.17</v>
      </c>
      <c r="K978" s="8">
        <v>8</v>
      </c>
      <c r="L978" s="7">
        <v>180.74</v>
      </c>
    </row>
    <row r="979" spans="1:12" x14ac:dyDescent="0.2">
      <c r="A979" s="2">
        <v>42192</v>
      </c>
      <c r="B979" s="8">
        <f>YEAR(Sales_data[[#This Row],[Order Date]])</f>
        <v>2015</v>
      </c>
      <c r="C979" s="8">
        <f>MONTH(Sales_data[[#This Row],[Order Date]])</f>
        <v>7</v>
      </c>
      <c r="D979" s="8" t="str">
        <f>TEXT(Sales_data[[#This Row],[Order Date]],"mmm")</f>
        <v>Jul</v>
      </c>
      <c r="E979" t="s">
        <v>9</v>
      </c>
      <c r="F979" t="s">
        <v>30</v>
      </c>
      <c r="G979" t="s">
        <v>32</v>
      </c>
      <c r="H979" t="s">
        <v>35</v>
      </c>
      <c r="I979" t="s">
        <v>53</v>
      </c>
      <c r="J979" s="7">
        <v>1952.4</v>
      </c>
      <c r="K979" s="8">
        <v>1</v>
      </c>
      <c r="L979" s="7">
        <v>-76.22</v>
      </c>
    </row>
    <row r="980" spans="1:12" x14ac:dyDescent="0.2">
      <c r="A980" s="2">
        <v>42193</v>
      </c>
      <c r="B980" s="8">
        <f>YEAR(Sales_data[[#This Row],[Order Date]])</f>
        <v>2015</v>
      </c>
      <c r="C980" s="8">
        <f>MONTH(Sales_data[[#This Row],[Order Date]])</f>
        <v>7</v>
      </c>
      <c r="D980" s="8" t="str">
        <f>TEXT(Sales_data[[#This Row],[Order Date]],"mmm")</f>
        <v>Jul</v>
      </c>
      <c r="E980" t="s">
        <v>11</v>
      </c>
      <c r="F980" t="s">
        <v>28</v>
      </c>
      <c r="G980" t="s">
        <v>34</v>
      </c>
      <c r="H980" t="s">
        <v>43</v>
      </c>
      <c r="I980" t="s">
        <v>46</v>
      </c>
      <c r="J980" s="7">
        <v>664.55</v>
      </c>
      <c r="K980" s="8">
        <v>4</v>
      </c>
      <c r="L980" s="7">
        <v>-75.760000000000005</v>
      </c>
    </row>
    <row r="981" spans="1:12" x14ac:dyDescent="0.2">
      <c r="A981" s="2">
        <v>42193</v>
      </c>
      <c r="B981" s="8">
        <f>YEAR(Sales_data[[#This Row],[Order Date]])</f>
        <v>2015</v>
      </c>
      <c r="C981" s="8">
        <f>MONTH(Sales_data[[#This Row],[Order Date]])</f>
        <v>7</v>
      </c>
      <c r="D981" s="8" t="str">
        <f>TEXT(Sales_data[[#This Row],[Order Date]],"mmm")</f>
        <v>Jul</v>
      </c>
      <c r="E981" t="s">
        <v>9</v>
      </c>
      <c r="F981" t="s">
        <v>25</v>
      </c>
      <c r="G981" t="s">
        <v>33</v>
      </c>
      <c r="H981" t="s">
        <v>37</v>
      </c>
      <c r="I981" t="s">
        <v>50</v>
      </c>
      <c r="J981" s="7">
        <v>1658.26</v>
      </c>
      <c r="K981" s="8">
        <v>6</v>
      </c>
      <c r="L981" s="7">
        <v>192.14</v>
      </c>
    </row>
    <row r="982" spans="1:12" x14ac:dyDescent="0.2">
      <c r="A982" s="2">
        <v>42194</v>
      </c>
      <c r="B982" s="8">
        <f>YEAR(Sales_data[[#This Row],[Order Date]])</f>
        <v>2015</v>
      </c>
      <c r="C982" s="8">
        <f>MONTH(Sales_data[[#This Row],[Order Date]])</f>
        <v>7</v>
      </c>
      <c r="D982" s="8" t="str">
        <f>TEXT(Sales_data[[#This Row],[Order Date]],"mmm")</f>
        <v>Jul</v>
      </c>
      <c r="E982" t="s">
        <v>17</v>
      </c>
      <c r="F982" t="s">
        <v>23</v>
      </c>
      <c r="G982" t="s">
        <v>34</v>
      </c>
      <c r="H982" t="s">
        <v>39</v>
      </c>
      <c r="I982" t="s">
        <v>50</v>
      </c>
      <c r="J982" s="7">
        <v>1166.92</v>
      </c>
      <c r="K982" s="8">
        <v>8</v>
      </c>
      <c r="L982" s="7">
        <v>144.35</v>
      </c>
    </row>
    <row r="983" spans="1:12" x14ac:dyDescent="0.2">
      <c r="A983" s="2">
        <v>42194</v>
      </c>
      <c r="B983" s="8">
        <f>YEAR(Sales_data[[#This Row],[Order Date]])</f>
        <v>2015</v>
      </c>
      <c r="C983" s="8">
        <f>MONTH(Sales_data[[#This Row],[Order Date]])</f>
        <v>7</v>
      </c>
      <c r="D983" s="8" t="str">
        <f>TEXT(Sales_data[[#This Row],[Order Date]],"mmm")</f>
        <v>Jul</v>
      </c>
      <c r="E983" t="s">
        <v>17</v>
      </c>
      <c r="F983" t="s">
        <v>28</v>
      </c>
      <c r="G983" t="s">
        <v>32</v>
      </c>
      <c r="H983" t="s">
        <v>42</v>
      </c>
      <c r="I983" t="s">
        <v>46</v>
      </c>
      <c r="J983" s="7">
        <v>177.7</v>
      </c>
      <c r="K983" s="8">
        <v>9</v>
      </c>
      <c r="L983" s="7">
        <v>154.82</v>
      </c>
    </row>
    <row r="984" spans="1:12" x14ac:dyDescent="0.2">
      <c r="A984" s="2">
        <v>42195</v>
      </c>
      <c r="B984" s="8">
        <f>YEAR(Sales_data[[#This Row],[Order Date]])</f>
        <v>2015</v>
      </c>
      <c r="C984" s="8">
        <f>MONTH(Sales_data[[#This Row],[Order Date]])</f>
        <v>7</v>
      </c>
      <c r="D984" s="8" t="str">
        <f>TEXT(Sales_data[[#This Row],[Order Date]],"mmm")</f>
        <v>Jul</v>
      </c>
      <c r="E984" t="s">
        <v>11</v>
      </c>
      <c r="F984" t="s">
        <v>23</v>
      </c>
      <c r="G984" t="s">
        <v>34</v>
      </c>
      <c r="H984" t="s">
        <v>36</v>
      </c>
      <c r="I984" t="s">
        <v>47</v>
      </c>
      <c r="J984" s="7">
        <v>1818.87</v>
      </c>
      <c r="K984" s="8">
        <v>3</v>
      </c>
      <c r="L984" s="7">
        <v>350.87</v>
      </c>
    </row>
    <row r="985" spans="1:12" x14ac:dyDescent="0.2">
      <c r="A985" s="2">
        <v>42195</v>
      </c>
      <c r="B985" s="8">
        <f>YEAR(Sales_data[[#This Row],[Order Date]])</f>
        <v>2015</v>
      </c>
      <c r="C985" s="8">
        <f>MONTH(Sales_data[[#This Row],[Order Date]])</f>
        <v>7</v>
      </c>
      <c r="D985" s="8" t="str">
        <f>TEXT(Sales_data[[#This Row],[Order Date]],"mmm")</f>
        <v>Jul</v>
      </c>
      <c r="E985" t="s">
        <v>15</v>
      </c>
      <c r="F985" t="s">
        <v>25</v>
      </c>
      <c r="G985" t="s">
        <v>34</v>
      </c>
      <c r="H985" t="s">
        <v>41</v>
      </c>
      <c r="I985" t="s">
        <v>50</v>
      </c>
      <c r="J985" s="7">
        <v>1129.68</v>
      </c>
      <c r="K985" s="8">
        <v>8</v>
      </c>
      <c r="L985" s="7">
        <v>56.79</v>
      </c>
    </row>
    <row r="986" spans="1:12" x14ac:dyDescent="0.2">
      <c r="A986" s="2">
        <v>42195</v>
      </c>
      <c r="B986" s="8">
        <f>YEAR(Sales_data[[#This Row],[Order Date]])</f>
        <v>2015</v>
      </c>
      <c r="C986" s="8">
        <f>MONTH(Sales_data[[#This Row],[Order Date]])</f>
        <v>7</v>
      </c>
      <c r="D986" s="8" t="str">
        <f>TEXT(Sales_data[[#This Row],[Order Date]],"mmm")</f>
        <v>Jul</v>
      </c>
      <c r="E986" t="s">
        <v>14</v>
      </c>
      <c r="F986" t="s">
        <v>27</v>
      </c>
      <c r="G986" t="s">
        <v>34</v>
      </c>
      <c r="H986" t="s">
        <v>36</v>
      </c>
      <c r="I986" t="s">
        <v>52</v>
      </c>
      <c r="J986" s="7">
        <v>1804.66</v>
      </c>
      <c r="K986" s="8">
        <v>2</v>
      </c>
      <c r="L986" s="7">
        <v>339.07</v>
      </c>
    </row>
    <row r="987" spans="1:12" x14ac:dyDescent="0.2">
      <c r="A987" s="2">
        <v>42195</v>
      </c>
      <c r="B987" s="8">
        <f>YEAR(Sales_data[[#This Row],[Order Date]])</f>
        <v>2015</v>
      </c>
      <c r="C987" s="8">
        <f>MONTH(Sales_data[[#This Row],[Order Date]])</f>
        <v>7</v>
      </c>
      <c r="D987" s="8" t="str">
        <f>TEXT(Sales_data[[#This Row],[Order Date]],"mmm")</f>
        <v>Jul</v>
      </c>
      <c r="E987" t="s">
        <v>21</v>
      </c>
      <c r="F987" t="s">
        <v>22</v>
      </c>
      <c r="G987" t="s">
        <v>32</v>
      </c>
      <c r="H987" t="s">
        <v>42</v>
      </c>
      <c r="I987" t="s">
        <v>45</v>
      </c>
      <c r="J987" s="7">
        <v>1545.89</v>
      </c>
      <c r="K987" s="8">
        <v>6</v>
      </c>
      <c r="L987" s="7">
        <v>13.78</v>
      </c>
    </row>
    <row r="988" spans="1:12" x14ac:dyDescent="0.2">
      <c r="A988" s="2">
        <v>42196</v>
      </c>
      <c r="B988" s="8">
        <f>YEAR(Sales_data[[#This Row],[Order Date]])</f>
        <v>2015</v>
      </c>
      <c r="C988" s="8">
        <f>MONTH(Sales_data[[#This Row],[Order Date]])</f>
        <v>7</v>
      </c>
      <c r="D988" s="8" t="str">
        <f>TEXT(Sales_data[[#This Row],[Order Date]],"mmm")</f>
        <v>Jul</v>
      </c>
      <c r="E988" t="s">
        <v>15</v>
      </c>
      <c r="F988" t="s">
        <v>30</v>
      </c>
      <c r="G988" t="s">
        <v>32</v>
      </c>
      <c r="H988" t="s">
        <v>42</v>
      </c>
      <c r="I988" t="s">
        <v>52</v>
      </c>
      <c r="J988" s="7">
        <v>1031.01</v>
      </c>
      <c r="K988" s="8">
        <v>4</v>
      </c>
      <c r="L988" s="7">
        <v>332.06</v>
      </c>
    </row>
    <row r="989" spans="1:12" x14ac:dyDescent="0.2">
      <c r="A989" s="2">
        <v>42197</v>
      </c>
      <c r="B989" s="8">
        <f>YEAR(Sales_data[[#This Row],[Order Date]])</f>
        <v>2015</v>
      </c>
      <c r="C989" s="8">
        <f>MONTH(Sales_data[[#This Row],[Order Date]])</f>
        <v>7</v>
      </c>
      <c r="D989" s="8" t="str">
        <f>TEXT(Sales_data[[#This Row],[Order Date]],"mmm")</f>
        <v>Jul</v>
      </c>
      <c r="E989" t="s">
        <v>12</v>
      </c>
      <c r="F989" t="s">
        <v>23</v>
      </c>
      <c r="G989" t="s">
        <v>33</v>
      </c>
      <c r="H989" t="s">
        <v>39</v>
      </c>
      <c r="I989" t="s">
        <v>44</v>
      </c>
      <c r="J989" s="7">
        <v>1347.75</v>
      </c>
      <c r="K989" s="8">
        <v>7</v>
      </c>
      <c r="L989" s="7">
        <v>362.84</v>
      </c>
    </row>
    <row r="990" spans="1:12" x14ac:dyDescent="0.2">
      <c r="A990" s="2">
        <v>42199</v>
      </c>
      <c r="B990" s="8">
        <f>YEAR(Sales_data[[#This Row],[Order Date]])</f>
        <v>2015</v>
      </c>
      <c r="C990" s="8">
        <f>MONTH(Sales_data[[#This Row],[Order Date]])</f>
        <v>7</v>
      </c>
      <c r="D990" s="8" t="str">
        <f>TEXT(Sales_data[[#This Row],[Order Date]],"mmm")</f>
        <v>Jul</v>
      </c>
      <c r="E990" t="s">
        <v>21</v>
      </c>
      <c r="F990" t="s">
        <v>27</v>
      </c>
      <c r="G990" t="s">
        <v>32</v>
      </c>
      <c r="H990" t="s">
        <v>40</v>
      </c>
      <c r="I990" t="s">
        <v>45</v>
      </c>
      <c r="J990" s="7">
        <v>369.5</v>
      </c>
      <c r="K990" s="8">
        <v>1</v>
      </c>
      <c r="L990" s="7">
        <v>18.440000000000001</v>
      </c>
    </row>
    <row r="991" spans="1:12" x14ac:dyDescent="0.2">
      <c r="A991" s="2">
        <v>42199</v>
      </c>
      <c r="B991" s="8">
        <f>YEAR(Sales_data[[#This Row],[Order Date]])</f>
        <v>2015</v>
      </c>
      <c r="C991" s="8">
        <f>MONTH(Sales_data[[#This Row],[Order Date]])</f>
        <v>7</v>
      </c>
      <c r="D991" s="8" t="str">
        <f>TEXT(Sales_data[[#This Row],[Order Date]],"mmm")</f>
        <v>Jul</v>
      </c>
      <c r="E991" t="s">
        <v>9</v>
      </c>
      <c r="F991" t="s">
        <v>27</v>
      </c>
      <c r="G991" t="s">
        <v>34</v>
      </c>
      <c r="H991" t="s">
        <v>42</v>
      </c>
      <c r="I991" t="s">
        <v>47</v>
      </c>
      <c r="J991" s="7">
        <v>1582.91</v>
      </c>
      <c r="K991" s="8">
        <v>3</v>
      </c>
      <c r="L991" s="7">
        <v>145.08000000000001</v>
      </c>
    </row>
    <row r="992" spans="1:12" x14ac:dyDescent="0.2">
      <c r="A992" s="2">
        <v>42200</v>
      </c>
      <c r="B992" s="8">
        <f>YEAR(Sales_data[[#This Row],[Order Date]])</f>
        <v>2015</v>
      </c>
      <c r="C992" s="8">
        <f>MONTH(Sales_data[[#This Row],[Order Date]])</f>
        <v>7</v>
      </c>
      <c r="D992" s="8" t="str">
        <f>TEXT(Sales_data[[#This Row],[Order Date]],"mmm")</f>
        <v>Jul</v>
      </c>
      <c r="E992" t="s">
        <v>19</v>
      </c>
      <c r="F992" t="s">
        <v>26</v>
      </c>
      <c r="G992" t="s">
        <v>33</v>
      </c>
      <c r="H992" t="s">
        <v>38</v>
      </c>
      <c r="I992" t="s">
        <v>47</v>
      </c>
      <c r="J992" s="7">
        <v>1953.2</v>
      </c>
      <c r="K992" s="8">
        <v>9</v>
      </c>
      <c r="L992" s="7">
        <v>95.35</v>
      </c>
    </row>
    <row r="993" spans="1:12" x14ac:dyDescent="0.2">
      <c r="A993" s="2">
        <v>42202</v>
      </c>
      <c r="B993" s="8">
        <f>YEAR(Sales_data[[#This Row],[Order Date]])</f>
        <v>2015</v>
      </c>
      <c r="C993" s="8">
        <f>MONTH(Sales_data[[#This Row],[Order Date]])</f>
        <v>7</v>
      </c>
      <c r="D993" s="8" t="str">
        <f>TEXT(Sales_data[[#This Row],[Order Date]],"mmm")</f>
        <v>Jul</v>
      </c>
      <c r="E993" t="s">
        <v>15</v>
      </c>
      <c r="F993" t="s">
        <v>24</v>
      </c>
      <c r="G993" t="s">
        <v>32</v>
      </c>
      <c r="H993" t="s">
        <v>36</v>
      </c>
      <c r="I993" t="s">
        <v>45</v>
      </c>
      <c r="J993" s="7">
        <v>1422.51</v>
      </c>
      <c r="K993" s="8">
        <v>3</v>
      </c>
      <c r="L993" s="7">
        <v>137</v>
      </c>
    </row>
    <row r="994" spans="1:12" x14ac:dyDescent="0.2">
      <c r="A994" s="2">
        <v>42203</v>
      </c>
      <c r="B994" s="8">
        <f>YEAR(Sales_data[[#This Row],[Order Date]])</f>
        <v>2015</v>
      </c>
      <c r="C994" s="8">
        <f>MONTH(Sales_data[[#This Row],[Order Date]])</f>
        <v>7</v>
      </c>
      <c r="D994" s="8" t="str">
        <f>TEXT(Sales_data[[#This Row],[Order Date]],"mmm")</f>
        <v>Jul</v>
      </c>
      <c r="E994" t="s">
        <v>17</v>
      </c>
      <c r="F994" t="s">
        <v>26</v>
      </c>
      <c r="G994" t="s">
        <v>33</v>
      </c>
      <c r="H994" t="s">
        <v>36</v>
      </c>
      <c r="I994" t="s">
        <v>53</v>
      </c>
      <c r="J994" s="7">
        <v>1034.71</v>
      </c>
      <c r="K994" s="8">
        <v>3</v>
      </c>
      <c r="L994" s="7">
        <v>200.42</v>
      </c>
    </row>
    <row r="995" spans="1:12" x14ac:dyDescent="0.2">
      <c r="A995" s="2">
        <v>42203</v>
      </c>
      <c r="B995" s="8">
        <f>YEAR(Sales_data[[#This Row],[Order Date]])</f>
        <v>2015</v>
      </c>
      <c r="C995" s="8">
        <f>MONTH(Sales_data[[#This Row],[Order Date]])</f>
        <v>7</v>
      </c>
      <c r="D995" s="8" t="str">
        <f>TEXT(Sales_data[[#This Row],[Order Date]],"mmm")</f>
        <v>Jul</v>
      </c>
      <c r="E995" t="s">
        <v>20</v>
      </c>
      <c r="F995" t="s">
        <v>23</v>
      </c>
      <c r="G995" t="s">
        <v>33</v>
      </c>
      <c r="H995" t="s">
        <v>36</v>
      </c>
      <c r="I995" t="s">
        <v>52</v>
      </c>
      <c r="J995" s="7">
        <v>944.18</v>
      </c>
      <c r="K995" s="8">
        <v>9</v>
      </c>
      <c r="L995" s="7">
        <v>340.88</v>
      </c>
    </row>
    <row r="996" spans="1:12" x14ac:dyDescent="0.2">
      <c r="A996" s="2">
        <v>42203</v>
      </c>
      <c r="B996" s="8">
        <f>YEAR(Sales_data[[#This Row],[Order Date]])</f>
        <v>2015</v>
      </c>
      <c r="C996" s="8">
        <f>MONTH(Sales_data[[#This Row],[Order Date]])</f>
        <v>7</v>
      </c>
      <c r="D996" s="8" t="str">
        <f>TEXT(Sales_data[[#This Row],[Order Date]],"mmm")</f>
        <v>Jul</v>
      </c>
      <c r="E996" t="s">
        <v>19</v>
      </c>
      <c r="F996" t="s">
        <v>24</v>
      </c>
      <c r="G996" t="s">
        <v>33</v>
      </c>
      <c r="H996" t="s">
        <v>39</v>
      </c>
      <c r="I996" t="s">
        <v>46</v>
      </c>
      <c r="J996" s="7">
        <v>1099.75</v>
      </c>
      <c r="K996" s="8">
        <v>1</v>
      </c>
      <c r="L996" s="7">
        <v>390.51</v>
      </c>
    </row>
    <row r="997" spans="1:12" x14ac:dyDescent="0.2">
      <c r="A997" s="2">
        <v>42204</v>
      </c>
      <c r="B997" s="8">
        <f>YEAR(Sales_data[[#This Row],[Order Date]])</f>
        <v>2015</v>
      </c>
      <c r="C997" s="8">
        <f>MONTH(Sales_data[[#This Row],[Order Date]])</f>
        <v>7</v>
      </c>
      <c r="D997" s="8" t="str">
        <f>TEXT(Sales_data[[#This Row],[Order Date]],"mmm")</f>
        <v>Jul</v>
      </c>
      <c r="E997" t="s">
        <v>12</v>
      </c>
      <c r="F997" t="s">
        <v>29</v>
      </c>
      <c r="G997" t="s">
        <v>34</v>
      </c>
      <c r="H997" t="s">
        <v>40</v>
      </c>
      <c r="I997" t="s">
        <v>53</v>
      </c>
      <c r="J997" s="7">
        <v>788.99</v>
      </c>
      <c r="K997" s="8">
        <v>7</v>
      </c>
      <c r="L997" s="7">
        <v>93.79</v>
      </c>
    </row>
    <row r="998" spans="1:12" x14ac:dyDescent="0.2">
      <c r="A998" s="2">
        <v>42208</v>
      </c>
      <c r="B998" s="8">
        <f>YEAR(Sales_data[[#This Row],[Order Date]])</f>
        <v>2015</v>
      </c>
      <c r="C998" s="8">
        <f>MONTH(Sales_data[[#This Row],[Order Date]])</f>
        <v>7</v>
      </c>
      <c r="D998" s="8" t="str">
        <f>TEXT(Sales_data[[#This Row],[Order Date]],"mmm")</f>
        <v>Jul</v>
      </c>
      <c r="E998" t="s">
        <v>19</v>
      </c>
      <c r="F998" t="s">
        <v>23</v>
      </c>
      <c r="G998" t="s">
        <v>33</v>
      </c>
      <c r="H998" t="s">
        <v>40</v>
      </c>
      <c r="I998" t="s">
        <v>50</v>
      </c>
      <c r="J998" s="7">
        <v>1443.44</v>
      </c>
      <c r="K998" s="8">
        <v>1</v>
      </c>
      <c r="L998" s="7">
        <v>-95.33</v>
      </c>
    </row>
    <row r="999" spans="1:12" x14ac:dyDescent="0.2">
      <c r="A999" s="2">
        <v>42208</v>
      </c>
      <c r="B999" s="8">
        <f>YEAR(Sales_data[[#This Row],[Order Date]])</f>
        <v>2015</v>
      </c>
      <c r="C999" s="8">
        <f>MONTH(Sales_data[[#This Row],[Order Date]])</f>
        <v>7</v>
      </c>
      <c r="D999" s="8" t="str">
        <f>TEXT(Sales_data[[#This Row],[Order Date]],"mmm")</f>
        <v>Jul</v>
      </c>
      <c r="E999" t="s">
        <v>15</v>
      </c>
      <c r="F999" t="s">
        <v>26</v>
      </c>
      <c r="G999" t="s">
        <v>34</v>
      </c>
      <c r="H999" t="s">
        <v>38</v>
      </c>
      <c r="I999" t="s">
        <v>53</v>
      </c>
      <c r="J999" s="7">
        <v>524.58000000000004</v>
      </c>
      <c r="K999" s="8">
        <v>4</v>
      </c>
      <c r="L999" s="7">
        <v>-90.9</v>
      </c>
    </row>
    <row r="1000" spans="1:12" x14ac:dyDescent="0.2">
      <c r="A1000" s="2">
        <v>42208</v>
      </c>
      <c r="B1000" s="8">
        <f>YEAR(Sales_data[[#This Row],[Order Date]])</f>
        <v>2015</v>
      </c>
      <c r="C1000" s="8">
        <f>MONTH(Sales_data[[#This Row],[Order Date]])</f>
        <v>7</v>
      </c>
      <c r="D1000" s="8" t="str">
        <f>TEXT(Sales_data[[#This Row],[Order Date]],"mmm")</f>
        <v>Jul</v>
      </c>
      <c r="E1000" t="s">
        <v>11</v>
      </c>
      <c r="F1000" t="s">
        <v>30</v>
      </c>
      <c r="G1000" t="s">
        <v>33</v>
      </c>
      <c r="H1000" t="s">
        <v>38</v>
      </c>
      <c r="I1000" t="s">
        <v>50</v>
      </c>
      <c r="J1000" s="7">
        <v>1644.01</v>
      </c>
      <c r="K1000" s="8">
        <v>2</v>
      </c>
      <c r="L1000" s="7">
        <v>249.85</v>
      </c>
    </row>
    <row r="1001" spans="1:12" x14ac:dyDescent="0.2">
      <c r="A1001" s="2">
        <v>42209</v>
      </c>
      <c r="B1001" s="8">
        <f>YEAR(Sales_data[[#This Row],[Order Date]])</f>
        <v>2015</v>
      </c>
      <c r="C1001" s="8">
        <f>MONTH(Sales_data[[#This Row],[Order Date]])</f>
        <v>7</v>
      </c>
      <c r="D1001" s="8" t="str">
        <f>TEXT(Sales_data[[#This Row],[Order Date]],"mmm")</f>
        <v>Jul</v>
      </c>
      <c r="E1001" t="s">
        <v>13</v>
      </c>
      <c r="F1001" t="s">
        <v>25</v>
      </c>
      <c r="G1001" t="s">
        <v>33</v>
      </c>
      <c r="H1001" t="s">
        <v>35</v>
      </c>
      <c r="I1001" t="s">
        <v>51</v>
      </c>
      <c r="J1001" s="7">
        <v>599.73</v>
      </c>
      <c r="K1001" s="8">
        <v>3</v>
      </c>
      <c r="L1001" s="7">
        <v>-108.14</v>
      </c>
    </row>
    <row r="1002" spans="1:12" x14ac:dyDescent="0.2">
      <c r="A1002" s="2">
        <v>42209</v>
      </c>
      <c r="B1002" s="8">
        <f>YEAR(Sales_data[[#This Row],[Order Date]])</f>
        <v>2015</v>
      </c>
      <c r="C1002" s="8">
        <f>MONTH(Sales_data[[#This Row],[Order Date]])</f>
        <v>7</v>
      </c>
      <c r="D1002" s="8" t="str">
        <f>TEXT(Sales_data[[#This Row],[Order Date]],"mmm")</f>
        <v>Jul</v>
      </c>
      <c r="E1002" t="s">
        <v>18</v>
      </c>
      <c r="F1002" t="s">
        <v>30</v>
      </c>
      <c r="G1002" t="s">
        <v>34</v>
      </c>
      <c r="H1002" t="s">
        <v>38</v>
      </c>
      <c r="I1002" t="s">
        <v>50</v>
      </c>
      <c r="J1002" s="7">
        <v>251.96</v>
      </c>
      <c r="K1002" s="8">
        <v>8</v>
      </c>
      <c r="L1002" s="7">
        <v>292.77</v>
      </c>
    </row>
    <row r="1003" spans="1:12" x14ac:dyDescent="0.2">
      <c r="A1003" s="2">
        <v>42210</v>
      </c>
      <c r="B1003" s="8">
        <f>YEAR(Sales_data[[#This Row],[Order Date]])</f>
        <v>2015</v>
      </c>
      <c r="C1003" s="8">
        <f>MONTH(Sales_data[[#This Row],[Order Date]])</f>
        <v>7</v>
      </c>
      <c r="D1003" s="8" t="str">
        <f>TEXT(Sales_data[[#This Row],[Order Date]],"mmm")</f>
        <v>Jul</v>
      </c>
      <c r="E1003" t="s">
        <v>12</v>
      </c>
      <c r="F1003" t="s">
        <v>24</v>
      </c>
      <c r="G1003" t="s">
        <v>34</v>
      </c>
      <c r="H1003" t="s">
        <v>41</v>
      </c>
      <c r="I1003" t="s">
        <v>52</v>
      </c>
      <c r="J1003" s="7">
        <v>263.72000000000003</v>
      </c>
      <c r="K1003" s="8">
        <v>6</v>
      </c>
      <c r="L1003" s="7">
        <v>-160.84</v>
      </c>
    </row>
    <row r="1004" spans="1:12" x14ac:dyDescent="0.2">
      <c r="A1004" s="2">
        <v>42210</v>
      </c>
      <c r="B1004" s="8">
        <f>YEAR(Sales_data[[#This Row],[Order Date]])</f>
        <v>2015</v>
      </c>
      <c r="C1004" s="8">
        <f>MONTH(Sales_data[[#This Row],[Order Date]])</f>
        <v>7</v>
      </c>
      <c r="D1004" s="8" t="str">
        <f>TEXT(Sales_data[[#This Row],[Order Date]],"mmm")</f>
        <v>Jul</v>
      </c>
      <c r="E1004" t="s">
        <v>20</v>
      </c>
      <c r="F1004" t="s">
        <v>22</v>
      </c>
      <c r="G1004" t="s">
        <v>33</v>
      </c>
      <c r="H1004" t="s">
        <v>38</v>
      </c>
      <c r="I1004" t="s">
        <v>52</v>
      </c>
      <c r="J1004" s="7">
        <v>1251.6500000000001</v>
      </c>
      <c r="K1004" s="8">
        <v>5</v>
      </c>
      <c r="L1004" s="7">
        <v>256.41000000000003</v>
      </c>
    </row>
    <row r="1005" spans="1:12" x14ac:dyDescent="0.2">
      <c r="A1005" s="2">
        <v>42210</v>
      </c>
      <c r="B1005" s="8">
        <f>YEAR(Sales_data[[#This Row],[Order Date]])</f>
        <v>2015</v>
      </c>
      <c r="C1005" s="8">
        <f>MONTH(Sales_data[[#This Row],[Order Date]])</f>
        <v>7</v>
      </c>
      <c r="D1005" s="8" t="str">
        <f>TEXT(Sales_data[[#This Row],[Order Date]],"mmm")</f>
        <v>Jul</v>
      </c>
      <c r="E1005" t="s">
        <v>15</v>
      </c>
      <c r="F1005" t="s">
        <v>29</v>
      </c>
      <c r="G1005" t="s">
        <v>34</v>
      </c>
      <c r="H1005" t="s">
        <v>36</v>
      </c>
      <c r="I1005" t="s">
        <v>49</v>
      </c>
      <c r="J1005" s="7">
        <v>151.30000000000001</v>
      </c>
      <c r="K1005" s="8">
        <v>7</v>
      </c>
      <c r="L1005" s="7">
        <v>298.83</v>
      </c>
    </row>
    <row r="1006" spans="1:12" x14ac:dyDescent="0.2">
      <c r="A1006" s="2">
        <v>42211</v>
      </c>
      <c r="B1006" s="8">
        <f>YEAR(Sales_data[[#This Row],[Order Date]])</f>
        <v>2015</v>
      </c>
      <c r="C1006" s="8">
        <f>MONTH(Sales_data[[#This Row],[Order Date]])</f>
        <v>7</v>
      </c>
      <c r="D1006" s="8" t="str">
        <f>TEXT(Sales_data[[#This Row],[Order Date]],"mmm")</f>
        <v>Jul</v>
      </c>
      <c r="E1006" t="s">
        <v>21</v>
      </c>
      <c r="F1006" t="s">
        <v>28</v>
      </c>
      <c r="G1006" t="s">
        <v>34</v>
      </c>
      <c r="H1006" t="s">
        <v>37</v>
      </c>
      <c r="I1006" t="s">
        <v>51</v>
      </c>
      <c r="J1006" s="7">
        <v>801.21</v>
      </c>
      <c r="K1006" s="8">
        <v>6</v>
      </c>
      <c r="L1006" s="7">
        <v>113.37</v>
      </c>
    </row>
    <row r="1007" spans="1:12" x14ac:dyDescent="0.2">
      <c r="A1007" s="2">
        <v>42211</v>
      </c>
      <c r="B1007" s="8">
        <f>YEAR(Sales_data[[#This Row],[Order Date]])</f>
        <v>2015</v>
      </c>
      <c r="C1007" s="8">
        <f>MONTH(Sales_data[[#This Row],[Order Date]])</f>
        <v>7</v>
      </c>
      <c r="D1007" s="8" t="str">
        <f>TEXT(Sales_data[[#This Row],[Order Date]],"mmm")</f>
        <v>Jul</v>
      </c>
      <c r="E1007" t="s">
        <v>14</v>
      </c>
      <c r="F1007" t="s">
        <v>23</v>
      </c>
      <c r="G1007" t="s">
        <v>32</v>
      </c>
      <c r="H1007" t="s">
        <v>39</v>
      </c>
      <c r="I1007" t="s">
        <v>47</v>
      </c>
      <c r="J1007" s="7">
        <v>447.57</v>
      </c>
      <c r="K1007" s="8">
        <v>3</v>
      </c>
      <c r="L1007" s="7">
        <v>-136.04</v>
      </c>
    </row>
    <row r="1008" spans="1:12" x14ac:dyDescent="0.2">
      <c r="A1008" s="2">
        <v>42213</v>
      </c>
      <c r="B1008" s="8">
        <f>YEAR(Sales_data[[#This Row],[Order Date]])</f>
        <v>2015</v>
      </c>
      <c r="C1008" s="8">
        <f>MONTH(Sales_data[[#This Row],[Order Date]])</f>
        <v>7</v>
      </c>
      <c r="D1008" s="8" t="str">
        <f>TEXT(Sales_data[[#This Row],[Order Date]],"mmm")</f>
        <v>Jul</v>
      </c>
      <c r="E1008" t="s">
        <v>21</v>
      </c>
      <c r="F1008" t="s">
        <v>27</v>
      </c>
      <c r="G1008" t="s">
        <v>32</v>
      </c>
      <c r="H1008" t="s">
        <v>38</v>
      </c>
      <c r="I1008" t="s">
        <v>50</v>
      </c>
      <c r="J1008" s="7">
        <v>465.94</v>
      </c>
      <c r="K1008" s="8">
        <v>3</v>
      </c>
      <c r="L1008" s="7">
        <v>360.49</v>
      </c>
    </row>
    <row r="1009" spans="1:12" x14ac:dyDescent="0.2">
      <c r="A1009" s="2">
        <v>42213</v>
      </c>
      <c r="B1009" s="8">
        <f>YEAR(Sales_data[[#This Row],[Order Date]])</f>
        <v>2015</v>
      </c>
      <c r="C1009" s="8">
        <f>MONTH(Sales_data[[#This Row],[Order Date]])</f>
        <v>7</v>
      </c>
      <c r="D1009" s="8" t="str">
        <f>TEXT(Sales_data[[#This Row],[Order Date]],"mmm")</f>
        <v>Jul</v>
      </c>
      <c r="E1009" t="s">
        <v>12</v>
      </c>
      <c r="F1009" t="s">
        <v>25</v>
      </c>
      <c r="G1009" t="s">
        <v>33</v>
      </c>
      <c r="H1009" t="s">
        <v>38</v>
      </c>
      <c r="I1009" t="s">
        <v>44</v>
      </c>
      <c r="J1009" s="7">
        <v>917.33</v>
      </c>
      <c r="K1009" s="8">
        <v>8</v>
      </c>
      <c r="L1009" s="7">
        <v>-111.85</v>
      </c>
    </row>
    <row r="1010" spans="1:12" x14ac:dyDescent="0.2">
      <c r="A1010" s="2">
        <v>42213</v>
      </c>
      <c r="B1010" s="8">
        <f>YEAR(Sales_data[[#This Row],[Order Date]])</f>
        <v>2015</v>
      </c>
      <c r="C1010" s="8">
        <f>MONTH(Sales_data[[#This Row],[Order Date]])</f>
        <v>7</v>
      </c>
      <c r="D1010" s="8" t="str">
        <f>TEXT(Sales_data[[#This Row],[Order Date]],"mmm")</f>
        <v>Jul</v>
      </c>
      <c r="E1010" t="s">
        <v>11</v>
      </c>
      <c r="F1010" t="s">
        <v>24</v>
      </c>
      <c r="G1010" t="s">
        <v>33</v>
      </c>
      <c r="H1010" t="s">
        <v>41</v>
      </c>
      <c r="I1010" t="s">
        <v>44</v>
      </c>
      <c r="J1010" s="7">
        <v>1823.4</v>
      </c>
      <c r="K1010" s="8">
        <v>4</v>
      </c>
      <c r="L1010" s="7">
        <v>-45.22</v>
      </c>
    </row>
    <row r="1011" spans="1:12" x14ac:dyDescent="0.2">
      <c r="A1011" s="2">
        <v>42214</v>
      </c>
      <c r="B1011" s="8">
        <f>YEAR(Sales_data[[#This Row],[Order Date]])</f>
        <v>2015</v>
      </c>
      <c r="C1011" s="8">
        <f>MONTH(Sales_data[[#This Row],[Order Date]])</f>
        <v>7</v>
      </c>
      <c r="D1011" s="8" t="str">
        <f>TEXT(Sales_data[[#This Row],[Order Date]],"mmm")</f>
        <v>Jul</v>
      </c>
      <c r="E1011" t="s">
        <v>21</v>
      </c>
      <c r="F1011" t="s">
        <v>22</v>
      </c>
      <c r="G1011" t="s">
        <v>33</v>
      </c>
      <c r="H1011" t="s">
        <v>43</v>
      </c>
      <c r="I1011" t="s">
        <v>49</v>
      </c>
      <c r="J1011" s="7">
        <v>1953.06</v>
      </c>
      <c r="K1011" s="8">
        <v>1</v>
      </c>
      <c r="L1011" s="7">
        <v>164.39</v>
      </c>
    </row>
    <row r="1012" spans="1:12" x14ac:dyDescent="0.2">
      <c r="A1012" s="2">
        <v>42218</v>
      </c>
      <c r="B1012" s="8">
        <f>YEAR(Sales_data[[#This Row],[Order Date]])</f>
        <v>2015</v>
      </c>
      <c r="C1012" s="8">
        <f>MONTH(Sales_data[[#This Row],[Order Date]])</f>
        <v>8</v>
      </c>
      <c r="D1012" s="8" t="str">
        <f>TEXT(Sales_data[[#This Row],[Order Date]],"mmm")</f>
        <v>Aug</v>
      </c>
      <c r="E1012" t="s">
        <v>21</v>
      </c>
      <c r="F1012" t="s">
        <v>30</v>
      </c>
      <c r="G1012" t="s">
        <v>34</v>
      </c>
      <c r="H1012" t="s">
        <v>39</v>
      </c>
      <c r="I1012" t="s">
        <v>46</v>
      </c>
      <c r="J1012" s="7">
        <v>965.67</v>
      </c>
      <c r="K1012" s="8">
        <v>1</v>
      </c>
      <c r="L1012" s="7">
        <v>-104.5</v>
      </c>
    </row>
    <row r="1013" spans="1:12" x14ac:dyDescent="0.2">
      <c r="A1013" s="2">
        <v>42220</v>
      </c>
      <c r="B1013" s="8">
        <f>YEAR(Sales_data[[#This Row],[Order Date]])</f>
        <v>2015</v>
      </c>
      <c r="C1013" s="8">
        <f>MONTH(Sales_data[[#This Row],[Order Date]])</f>
        <v>8</v>
      </c>
      <c r="D1013" s="8" t="str">
        <f>TEXT(Sales_data[[#This Row],[Order Date]],"mmm")</f>
        <v>Aug</v>
      </c>
      <c r="E1013" t="s">
        <v>10</v>
      </c>
      <c r="F1013" t="s">
        <v>28</v>
      </c>
      <c r="G1013" t="s">
        <v>33</v>
      </c>
      <c r="H1013" t="s">
        <v>40</v>
      </c>
      <c r="I1013" t="s">
        <v>48</v>
      </c>
      <c r="J1013" s="7">
        <v>1370.56</v>
      </c>
      <c r="K1013" s="8">
        <v>9</v>
      </c>
      <c r="L1013" s="7">
        <v>322.5</v>
      </c>
    </row>
    <row r="1014" spans="1:12" x14ac:dyDescent="0.2">
      <c r="A1014" s="2">
        <v>42221</v>
      </c>
      <c r="B1014" s="8">
        <f>YEAR(Sales_data[[#This Row],[Order Date]])</f>
        <v>2015</v>
      </c>
      <c r="C1014" s="8">
        <f>MONTH(Sales_data[[#This Row],[Order Date]])</f>
        <v>8</v>
      </c>
      <c r="D1014" s="8" t="str">
        <f>TEXT(Sales_data[[#This Row],[Order Date]],"mmm")</f>
        <v>Aug</v>
      </c>
      <c r="E1014" t="s">
        <v>15</v>
      </c>
      <c r="F1014" t="s">
        <v>26</v>
      </c>
      <c r="G1014" t="s">
        <v>34</v>
      </c>
      <c r="H1014" t="s">
        <v>37</v>
      </c>
      <c r="I1014" t="s">
        <v>53</v>
      </c>
      <c r="J1014" s="7">
        <v>1835.52</v>
      </c>
      <c r="K1014" s="8">
        <v>7</v>
      </c>
      <c r="L1014" s="7">
        <v>-47.35</v>
      </c>
    </row>
    <row r="1015" spans="1:12" x14ac:dyDescent="0.2">
      <c r="A1015" s="2">
        <v>42221</v>
      </c>
      <c r="B1015" s="8">
        <f>YEAR(Sales_data[[#This Row],[Order Date]])</f>
        <v>2015</v>
      </c>
      <c r="C1015" s="8">
        <f>MONTH(Sales_data[[#This Row],[Order Date]])</f>
        <v>8</v>
      </c>
      <c r="D1015" s="8" t="str">
        <f>TEXT(Sales_data[[#This Row],[Order Date]],"mmm")</f>
        <v>Aug</v>
      </c>
      <c r="E1015" t="s">
        <v>16</v>
      </c>
      <c r="F1015" t="s">
        <v>26</v>
      </c>
      <c r="G1015" t="s">
        <v>34</v>
      </c>
      <c r="H1015" t="s">
        <v>38</v>
      </c>
      <c r="I1015" t="s">
        <v>44</v>
      </c>
      <c r="J1015" s="7">
        <v>528.19000000000005</v>
      </c>
      <c r="K1015" s="8">
        <v>3</v>
      </c>
      <c r="L1015" s="7">
        <v>209.55</v>
      </c>
    </row>
    <row r="1016" spans="1:12" x14ac:dyDescent="0.2">
      <c r="A1016" s="2">
        <v>42222</v>
      </c>
      <c r="B1016" s="8">
        <f>YEAR(Sales_data[[#This Row],[Order Date]])</f>
        <v>2015</v>
      </c>
      <c r="C1016" s="8">
        <f>MONTH(Sales_data[[#This Row],[Order Date]])</f>
        <v>8</v>
      </c>
      <c r="D1016" s="8" t="str">
        <f>TEXT(Sales_data[[#This Row],[Order Date]],"mmm")</f>
        <v>Aug</v>
      </c>
      <c r="E1016" t="s">
        <v>14</v>
      </c>
      <c r="F1016" t="s">
        <v>24</v>
      </c>
      <c r="G1016" t="s">
        <v>32</v>
      </c>
      <c r="H1016" t="s">
        <v>37</v>
      </c>
      <c r="I1016" t="s">
        <v>50</v>
      </c>
      <c r="J1016" s="7">
        <v>1170.17</v>
      </c>
      <c r="K1016" s="8">
        <v>1</v>
      </c>
      <c r="L1016" s="7">
        <v>1.62</v>
      </c>
    </row>
    <row r="1017" spans="1:12" x14ac:dyDescent="0.2">
      <c r="A1017" s="2">
        <v>42222</v>
      </c>
      <c r="B1017" s="8">
        <f>YEAR(Sales_data[[#This Row],[Order Date]])</f>
        <v>2015</v>
      </c>
      <c r="C1017" s="8">
        <f>MONTH(Sales_data[[#This Row],[Order Date]])</f>
        <v>8</v>
      </c>
      <c r="D1017" s="8" t="str">
        <f>TEXT(Sales_data[[#This Row],[Order Date]],"mmm")</f>
        <v>Aug</v>
      </c>
      <c r="E1017" t="s">
        <v>16</v>
      </c>
      <c r="F1017" t="s">
        <v>25</v>
      </c>
      <c r="G1017" t="s">
        <v>34</v>
      </c>
      <c r="H1017" t="s">
        <v>42</v>
      </c>
      <c r="I1017" t="s">
        <v>52</v>
      </c>
      <c r="J1017" s="7">
        <v>825.6</v>
      </c>
      <c r="K1017" s="8">
        <v>6</v>
      </c>
      <c r="L1017" s="7">
        <v>290.48</v>
      </c>
    </row>
    <row r="1018" spans="1:12" x14ac:dyDescent="0.2">
      <c r="A1018" s="2">
        <v>42223</v>
      </c>
      <c r="B1018" s="8">
        <f>YEAR(Sales_data[[#This Row],[Order Date]])</f>
        <v>2015</v>
      </c>
      <c r="C1018" s="8">
        <f>MONTH(Sales_data[[#This Row],[Order Date]])</f>
        <v>8</v>
      </c>
      <c r="D1018" s="8" t="str">
        <f>TEXT(Sales_data[[#This Row],[Order Date]],"mmm")</f>
        <v>Aug</v>
      </c>
      <c r="E1018" t="s">
        <v>18</v>
      </c>
      <c r="F1018" t="s">
        <v>22</v>
      </c>
      <c r="G1018" t="s">
        <v>33</v>
      </c>
      <c r="H1018" t="s">
        <v>38</v>
      </c>
      <c r="I1018" t="s">
        <v>46</v>
      </c>
      <c r="J1018" s="7">
        <v>1720.86</v>
      </c>
      <c r="K1018" s="8">
        <v>9</v>
      </c>
      <c r="L1018" s="7">
        <v>149.18</v>
      </c>
    </row>
    <row r="1019" spans="1:12" x14ac:dyDescent="0.2">
      <c r="A1019" s="2">
        <v>42225</v>
      </c>
      <c r="B1019" s="8">
        <f>YEAR(Sales_data[[#This Row],[Order Date]])</f>
        <v>2015</v>
      </c>
      <c r="C1019" s="8">
        <f>MONTH(Sales_data[[#This Row],[Order Date]])</f>
        <v>8</v>
      </c>
      <c r="D1019" s="8" t="str">
        <f>TEXT(Sales_data[[#This Row],[Order Date]],"mmm")</f>
        <v>Aug</v>
      </c>
      <c r="E1019" t="s">
        <v>18</v>
      </c>
      <c r="F1019" t="s">
        <v>27</v>
      </c>
      <c r="G1019" t="s">
        <v>33</v>
      </c>
      <c r="H1019" t="s">
        <v>42</v>
      </c>
      <c r="I1019" t="s">
        <v>45</v>
      </c>
      <c r="J1019" s="7">
        <v>1129.8</v>
      </c>
      <c r="K1019" s="8">
        <v>5</v>
      </c>
      <c r="L1019" s="7">
        <v>310.35000000000002</v>
      </c>
    </row>
    <row r="1020" spans="1:12" x14ac:dyDescent="0.2">
      <c r="A1020" s="2">
        <v>42226</v>
      </c>
      <c r="B1020" s="8">
        <f>YEAR(Sales_data[[#This Row],[Order Date]])</f>
        <v>2015</v>
      </c>
      <c r="C1020" s="8">
        <f>MONTH(Sales_data[[#This Row],[Order Date]])</f>
        <v>8</v>
      </c>
      <c r="D1020" s="8" t="str">
        <f>TEXT(Sales_data[[#This Row],[Order Date]],"mmm")</f>
        <v>Aug</v>
      </c>
      <c r="E1020" t="s">
        <v>18</v>
      </c>
      <c r="F1020" t="s">
        <v>30</v>
      </c>
      <c r="G1020" t="s">
        <v>33</v>
      </c>
      <c r="H1020" t="s">
        <v>42</v>
      </c>
      <c r="I1020" t="s">
        <v>47</v>
      </c>
      <c r="J1020" s="7">
        <v>784.64</v>
      </c>
      <c r="K1020" s="8">
        <v>6</v>
      </c>
      <c r="L1020" s="7">
        <v>-134.77000000000001</v>
      </c>
    </row>
    <row r="1021" spans="1:12" x14ac:dyDescent="0.2">
      <c r="A1021" s="2">
        <v>42226</v>
      </c>
      <c r="B1021" s="8">
        <f>YEAR(Sales_data[[#This Row],[Order Date]])</f>
        <v>2015</v>
      </c>
      <c r="C1021" s="8">
        <f>MONTH(Sales_data[[#This Row],[Order Date]])</f>
        <v>8</v>
      </c>
      <c r="D1021" s="8" t="str">
        <f>TEXT(Sales_data[[#This Row],[Order Date]],"mmm")</f>
        <v>Aug</v>
      </c>
      <c r="E1021" t="s">
        <v>16</v>
      </c>
      <c r="F1021" t="s">
        <v>27</v>
      </c>
      <c r="G1021" t="s">
        <v>32</v>
      </c>
      <c r="H1021" t="s">
        <v>38</v>
      </c>
      <c r="I1021" t="s">
        <v>48</v>
      </c>
      <c r="J1021" s="7">
        <v>1527.68</v>
      </c>
      <c r="K1021" s="8">
        <v>4</v>
      </c>
      <c r="L1021" s="7">
        <v>103.9</v>
      </c>
    </row>
    <row r="1022" spans="1:12" x14ac:dyDescent="0.2">
      <c r="A1022" s="2">
        <v>42226</v>
      </c>
      <c r="B1022" s="8">
        <f>YEAR(Sales_data[[#This Row],[Order Date]])</f>
        <v>2015</v>
      </c>
      <c r="C1022" s="8">
        <f>MONTH(Sales_data[[#This Row],[Order Date]])</f>
        <v>8</v>
      </c>
      <c r="D1022" s="8" t="str">
        <f>TEXT(Sales_data[[#This Row],[Order Date]],"mmm")</f>
        <v>Aug</v>
      </c>
      <c r="E1022" t="s">
        <v>20</v>
      </c>
      <c r="F1022" t="s">
        <v>22</v>
      </c>
      <c r="G1022" t="s">
        <v>32</v>
      </c>
      <c r="H1022" t="s">
        <v>38</v>
      </c>
      <c r="I1022" t="s">
        <v>49</v>
      </c>
      <c r="J1022" s="7">
        <v>1412.13</v>
      </c>
      <c r="K1022" s="8">
        <v>4</v>
      </c>
      <c r="L1022" s="7">
        <v>3.09</v>
      </c>
    </row>
    <row r="1023" spans="1:12" x14ac:dyDescent="0.2">
      <c r="A1023" s="2">
        <v>42228</v>
      </c>
      <c r="B1023" s="8">
        <f>YEAR(Sales_data[[#This Row],[Order Date]])</f>
        <v>2015</v>
      </c>
      <c r="C1023" s="8">
        <f>MONTH(Sales_data[[#This Row],[Order Date]])</f>
        <v>8</v>
      </c>
      <c r="D1023" s="8" t="str">
        <f>TEXT(Sales_data[[#This Row],[Order Date]],"mmm")</f>
        <v>Aug</v>
      </c>
      <c r="E1023" t="s">
        <v>16</v>
      </c>
      <c r="F1023" t="s">
        <v>27</v>
      </c>
      <c r="G1023" t="s">
        <v>33</v>
      </c>
      <c r="H1023" t="s">
        <v>42</v>
      </c>
      <c r="I1023" t="s">
        <v>45</v>
      </c>
      <c r="J1023" s="7">
        <v>644.21</v>
      </c>
      <c r="K1023" s="8">
        <v>2</v>
      </c>
      <c r="L1023" s="7">
        <v>306.64999999999998</v>
      </c>
    </row>
    <row r="1024" spans="1:12" x14ac:dyDescent="0.2">
      <c r="A1024" s="2">
        <v>42229</v>
      </c>
      <c r="B1024" s="8">
        <f>YEAR(Sales_data[[#This Row],[Order Date]])</f>
        <v>2015</v>
      </c>
      <c r="C1024" s="8">
        <f>MONTH(Sales_data[[#This Row],[Order Date]])</f>
        <v>8</v>
      </c>
      <c r="D1024" s="8" t="str">
        <f>TEXT(Sales_data[[#This Row],[Order Date]],"mmm")</f>
        <v>Aug</v>
      </c>
      <c r="E1024" t="s">
        <v>10</v>
      </c>
      <c r="F1024" t="s">
        <v>28</v>
      </c>
      <c r="G1024" t="s">
        <v>34</v>
      </c>
      <c r="H1024" t="s">
        <v>43</v>
      </c>
      <c r="I1024" t="s">
        <v>48</v>
      </c>
      <c r="J1024" s="7">
        <v>758.32</v>
      </c>
      <c r="K1024" s="8">
        <v>4</v>
      </c>
      <c r="L1024" s="7">
        <v>-188.34</v>
      </c>
    </row>
    <row r="1025" spans="1:12" x14ac:dyDescent="0.2">
      <c r="A1025" s="2">
        <v>42229</v>
      </c>
      <c r="B1025" s="8">
        <f>YEAR(Sales_data[[#This Row],[Order Date]])</f>
        <v>2015</v>
      </c>
      <c r="C1025" s="8">
        <f>MONTH(Sales_data[[#This Row],[Order Date]])</f>
        <v>8</v>
      </c>
      <c r="D1025" s="8" t="str">
        <f>TEXT(Sales_data[[#This Row],[Order Date]],"mmm")</f>
        <v>Aug</v>
      </c>
      <c r="E1025" t="s">
        <v>9</v>
      </c>
      <c r="F1025" t="s">
        <v>25</v>
      </c>
      <c r="G1025" t="s">
        <v>34</v>
      </c>
      <c r="H1025" t="s">
        <v>37</v>
      </c>
      <c r="I1025" t="s">
        <v>45</v>
      </c>
      <c r="J1025" s="7">
        <v>1039.1300000000001</v>
      </c>
      <c r="K1025" s="8">
        <v>7</v>
      </c>
      <c r="L1025" s="7">
        <v>-72.069999999999993</v>
      </c>
    </row>
    <row r="1026" spans="1:12" x14ac:dyDescent="0.2">
      <c r="A1026" s="2">
        <v>42229</v>
      </c>
      <c r="B1026" s="8">
        <f>YEAR(Sales_data[[#This Row],[Order Date]])</f>
        <v>2015</v>
      </c>
      <c r="C1026" s="8">
        <f>MONTH(Sales_data[[#This Row],[Order Date]])</f>
        <v>8</v>
      </c>
      <c r="D1026" s="8" t="str">
        <f>TEXT(Sales_data[[#This Row],[Order Date]],"mmm")</f>
        <v>Aug</v>
      </c>
      <c r="E1026" t="s">
        <v>16</v>
      </c>
      <c r="F1026" t="s">
        <v>31</v>
      </c>
      <c r="G1026" t="s">
        <v>32</v>
      </c>
      <c r="H1026" t="s">
        <v>40</v>
      </c>
      <c r="I1026" t="s">
        <v>45</v>
      </c>
      <c r="J1026" s="7">
        <v>471.26</v>
      </c>
      <c r="K1026" s="8">
        <v>1</v>
      </c>
      <c r="L1026" s="7">
        <v>-72.19</v>
      </c>
    </row>
    <row r="1027" spans="1:12" x14ac:dyDescent="0.2">
      <c r="A1027" s="2">
        <v>42230</v>
      </c>
      <c r="B1027" s="8">
        <f>YEAR(Sales_data[[#This Row],[Order Date]])</f>
        <v>2015</v>
      </c>
      <c r="C1027" s="8">
        <f>MONTH(Sales_data[[#This Row],[Order Date]])</f>
        <v>8</v>
      </c>
      <c r="D1027" s="8" t="str">
        <f>TEXT(Sales_data[[#This Row],[Order Date]],"mmm")</f>
        <v>Aug</v>
      </c>
      <c r="E1027" t="s">
        <v>9</v>
      </c>
      <c r="F1027" t="s">
        <v>30</v>
      </c>
      <c r="G1027" t="s">
        <v>32</v>
      </c>
      <c r="H1027" t="s">
        <v>35</v>
      </c>
      <c r="I1027" t="s">
        <v>44</v>
      </c>
      <c r="J1027" s="7">
        <v>1449.93</v>
      </c>
      <c r="K1027" s="8">
        <v>5</v>
      </c>
      <c r="L1027" s="7">
        <v>-78.84</v>
      </c>
    </row>
    <row r="1028" spans="1:12" x14ac:dyDescent="0.2">
      <c r="A1028" s="2">
        <v>42230</v>
      </c>
      <c r="B1028" s="8">
        <f>YEAR(Sales_data[[#This Row],[Order Date]])</f>
        <v>2015</v>
      </c>
      <c r="C1028" s="8">
        <f>MONTH(Sales_data[[#This Row],[Order Date]])</f>
        <v>8</v>
      </c>
      <c r="D1028" s="8" t="str">
        <f>TEXT(Sales_data[[#This Row],[Order Date]],"mmm")</f>
        <v>Aug</v>
      </c>
      <c r="E1028" t="s">
        <v>21</v>
      </c>
      <c r="F1028" t="s">
        <v>28</v>
      </c>
      <c r="G1028" t="s">
        <v>33</v>
      </c>
      <c r="H1028" t="s">
        <v>41</v>
      </c>
      <c r="I1028" t="s">
        <v>44</v>
      </c>
      <c r="J1028" s="7">
        <v>1710.69</v>
      </c>
      <c r="K1028" s="8">
        <v>3</v>
      </c>
      <c r="L1028" s="7">
        <v>323.45</v>
      </c>
    </row>
    <row r="1029" spans="1:12" x14ac:dyDescent="0.2">
      <c r="A1029" s="2">
        <v>42231</v>
      </c>
      <c r="B1029" s="8">
        <f>YEAR(Sales_data[[#This Row],[Order Date]])</f>
        <v>2015</v>
      </c>
      <c r="C1029" s="8">
        <f>MONTH(Sales_data[[#This Row],[Order Date]])</f>
        <v>8</v>
      </c>
      <c r="D1029" s="8" t="str">
        <f>TEXT(Sales_data[[#This Row],[Order Date]],"mmm")</f>
        <v>Aug</v>
      </c>
      <c r="E1029" t="s">
        <v>15</v>
      </c>
      <c r="F1029" t="s">
        <v>27</v>
      </c>
      <c r="G1029" t="s">
        <v>33</v>
      </c>
      <c r="H1029" t="s">
        <v>38</v>
      </c>
      <c r="I1029" t="s">
        <v>49</v>
      </c>
      <c r="J1029" s="7">
        <v>1719.67</v>
      </c>
      <c r="K1029" s="8">
        <v>2</v>
      </c>
      <c r="L1029" s="7">
        <v>-79.81</v>
      </c>
    </row>
    <row r="1030" spans="1:12" x14ac:dyDescent="0.2">
      <c r="A1030" s="2">
        <v>42231</v>
      </c>
      <c r="B1030" s="8">
        <f>YEAR(Sales_data[[#This Row],[Order Date]])</f>
        <v>2015</v>
      </c>
      <c r="C1030" s="8">
        <f>MONTH(Sales_data[[#This Row],[Order Date]])</f>
        <v>8</v>
      </c>
      <c r="D1030" s="8" t="str">
        <f>TEXT(Sales_data[[#This Row],[Order Date]],"mmm")</f>
        <v>Aug</v>
      </c>
      <c r="E1030" t="s">
        <v>20</v>
      </c>
      <c r="F1030" t="s">
        <v>31</v>
      </c>
      <c r="G1030" t="s">
        <v>34</v>
      </c>
      <c r="H1030" t="s">
        <v>37</v>
      </c>
      <c r="I1030" t="s">
        <v>50</v>
      </c>
      <c r="J1030" s="7">
        <v>863.16</v>
      </c>
      <c r="K1030" s="8">
        <v>3</v>
      </c>
      <c r="L1030" s="7">
        <v>14.94</v>
      </c>
    </row>
    <row r="1031" spans="1:12" x14ac:dyDescent="0.2">
      <c r="A1031" s="2">
        <v>42231</v>
      </c>
      <c r="B1031" s="8">
        <f>YEAR(Sales_data[[#This Row],[Order Date]])</f>
        <v>2015</v>
      </c>
      <c r="C1031" s="8">
        <f>MONTH(Sales_data[[#This Row],[Order Date]])</f>
        <v>8</v>
      </c>
      <c r="D1031" s="8" t="str">
        <f>TEXT(Sales_data[[#This Row],[Order Date]],"mmm")</f>
        <v>Aug</v>
      </c>
      <c r="E1031" t="s">
        <v>17</v>
      </c>
      <c r="F1031" t="s">
        <v>27</v>
      </c>
      <c r="G1031" t="s">
        <v>33</v>
      </c>
      <c r="H1031" t="s">
        <v>41</v>
      </c>
      <c r="I1031" t="s">
        <v>52</v>
      </c>
      <c r="J1031" s="7">
        <v>746.94</v>
      </c>
      <c r="K1031" s="8">
        <v>5</v>
      </c>
      <c r="L1031" s="7">
        <v>130.54</v>
      </c>
    </row>
    <row r="1032" spans="1:12" x14ac:dyDescent="0.2">
      <c r="A1032" s="2">
        <v>42232</v>
      </c>
      <c r="B1032" s="8">
        <f>YEAR(Sales_data[[#This Row],[Order Date]])</f>
        <v>2015</v>
      </c>
      <c r="C1032" s="8">
        <f>MONTH(Sales_data[[#This Row],[Order Date]])</f>
        <v>8</v>
      </c>
      <c r="D1032" s="8" t="str">
        <f>TEXT(Sales_data[[#This Row],[Order Date]],"mmm")</f>
        <v>Aug</v>
      </c>
      <c r="E1032" t="s">
        <v>17</v>
      </c>
      <c r="F1032" t="s">
        <v>24</v>
      </c>
      <c r="G1032" t="s">
        <v>33</v>
      </c>
      <c r="H1032" t="s">
        <v>42</v>
      </c>
      <c r="I1032" t="s">
        <v>50</v>
      </c>
      <c r="J1032" s="7">
        <v>718.38</v>
      </c>
      <c r="K1032" s="8">
        <v>1</v>
      </c>
      <c r="L1032" s="7">
        <v>109.74</v>
      </c>
    </row>
    <row r="1033" spans="1:12" x14ac:dyDescent="0.2">
      <c r="A1033" s="2">
        <v>42232</v>
      </c>
      <c r="B1033" s="8">
        <f>YEAR(Sales_data[[#This Row],[Order Date]])</f>
        <v>2015</v>
      </c>
      <c r="C1033" s="8">
        <f>MONTH(Sales_data[[#This Row],[Order Date]])</f>
        <v>8</v>
      </c>
      <c r="D1033" s="8" t="str">
        <f>TEXT(Sales_data[[#This Row],[Order Date]],"mmm")</f>
        <v>Aug</v>
      </c>
      <c r="E1033" t="s">
        <v>11</v>
      </c>
      <c r="F1033" t="s">
        <v>25</v>
      </c>
      <c r="G1033" t="s">
        <v>34</v>
      </c>
      <c r="H1033" t="s">
        <v>39</v>
      </c>
      <c r="I1033" t="s">
        <v>45</v>
      </c>
      <c r="J1033" s="7">
        <v>360.42</v>
      </c>
      <c r="K1033" s="8">
        <v>8</v>
      </c>
      <c r="L1033" s="7">
        <v>-143.62</v>
      </c>
    </row>
    <row r="1034" spans="1:12" x14ac:dyDescent="0.2">
      <c r="A1034" s="2">
        <v>42232</v>
      </c>
      <c r="B1034" s="8">
        <f>YEAR(Sales_data[[#This Row],[Order Date]])</f>
        <v>2015</v>
      </c>
      <c r="C1034" s="8">
        <f>MONTH(Sales_data[[#This Row],[Order Date]])</f>
        <v>8</v>
      </c>
      <c r="D1034" s="8" t="str">
        <f>TEXT(Sales_data[[#This Row],[Order Date]],"mmm")</f>
        <v>Aug</v>
      </c>
      <c r="E1034" t="s">
        <v>18</v>
      </c>
      <c r="F1034" t="s">
        <v>25</v>
      </c>
      <c r="G1034" t="s">
        <v>32</v>
      </c>
      <c r="H1034" t="s">
        <v>38</v>
      </c>
      <c r="I1034" t="s">
        <v>44</v>
      </c>
      <c r="J1034" s="7">
        <v>1086.96</v>
      </c>
      <c r="K1034" s="8">
        <v>3</v>
      </c>
      <c r="L1034" s="7">
        <v>128.35</v>
      </c>
    </row>
    <row r="1035" spans="1:12" x14ac:dyDescent="0.2">
      <c r="A1035" s="2">
        <v>42232</v>
      </c>
      <c r="B1035" s="8">
        <f>YEAR(Sales_data[[#This Row],[Order Date]])</f>
        <v>2015</v>
      </c>
      <c r="C1035" s="8">
        <f>MONTH(Sales_data[[#This Row],[Order Date]])</f>
        <v>8</v>
      </c>
      <c r="D1035" s="8" t="str">
        <f>TEXT(Sales_data[[#This Row],[Order Date]],"mmm")</f>
        <v>Aug</v>
      </c>
      <c r="E1035" t="s">
        <v>9</v>
      </c>
      <c r="F1035" t="s">
        <v>29</v>
      </c>
      <c r="G1035" t="s">
        <v>32</v>
      </c>
      <c r="H1035" t="s">
        <v>35</v>
      </c>
      <c r="I1035" t="s">
        <v>50</v>
      </c>
      <c r="J1035" s="7">
        <v>461.73</v>
      </c>
      <c r="K1035" s="8">
        <v>6</v>
      </c>
      <c r="L1035" s="7">
        <v>-79.55</v>
      </c>
    </row>
    <row r="1036" spans="1:12" x14ac:dyDescent="0.2">
      <c r="A1036" s="2">
        <v>42232</v>
      </c>
      <c r="B1036" s="8">
        <f>YEAR(Sales_data[[#This Row],[Order Date]])</f>
        <v>2015</v>
      </c>
      <c r="C1036" s="8">
        <f>MONTH(Sales_data[[#This Row],[Order Date]])</f>
        <v>8</v>
      </c>
      <c r="D1036" s="8" t="str">
        <f>TEXT(Sales_data[[#This Row],[Order Date]],"mmm")</f>
        <v>Aug</v>
      </c>
      <c r="E1036" t="s">
        <v>18</v>
      </c>
      <c r="F1036" t="s">
        <v>31</v>
      </c>
      <c r="G1036" t="s">
        <v>32</v>
      </c>
      <c r="H1036" t="s">
        <v>40</v>
      </c>
      <c r="I1036" t="s">
        <v>44</v>
      </c>
      <c r="J1036" s="7">
        <v>661.48</v>
      </c>
      <c r="K1036" s="8">
        <v>1</v>
      </c>
      <c r="L1036" s="7">
        <v>275.62</v>
      </c>
    </row>
    <row r="1037" spans="1:12" x14ac:dyDescent="0.2">
      <c r="A1037" s="2">
        <v>42232</v>
      </c>
      <c r="B1037" s="8">
        <f>YEAR(Sales_data[[#This Row],[Order Date]])</f>
        <v>2015</v>
      </c>
      <c r="C1037" s="8">
        <f>MONTH(Sales_data[[#This Row],[Order Date]])</f>
        <v>8</v>
      </c>
      <c r="D1037" s="8" t="str">
        <f>TEXT(Sales_data[[#This Row],[Order Date]],"mmm")</f>
        <v>Aug</v>
      </c>
      <c r="E1037" t="s">
        <v>15</v>
      </c>
      <c r="F1037" t="s">
        <v>25</v>
      </c>
      <c r="G1037" t="s">
        <v>34</v>
      </c>
      <c r="H1037" t="s">
        <v>36</v>
      </c>
      <c r="I1037" t="s">
        <v>53</v>
      </c>
      <c r="J1037" s="7">
        <v>102.69</v>
      </c>
      <c r="K1037" s="8">
        <v>1</v>
      </c>
      <c r="L1037" s="7">
        <v>307.47000000000003</v>
      </c>
    </row>
    <row r="1038" spans="1:12" x14ac:dyDescent="0.2">
      <c r="A1038" s="2">
        <v>42233</v>
      </c>
      <c r="B1038" s="8">
        <f>YEAR(Sales_data[[#This Row],[Order Date]])</f>
        <v>2015</v>
      </c>
      <c r="C1038" s="8">
        <f>MONTH(Sales_data[[#This Row],[Order Date]])</f>
        <v>8</v>
      </c>
      <c r="D1038" s="8" t="str">
        <f>TEXT(Sales_data[[#This Row],[Order Date]],"mmm")</f>
        <v>Aug</v>
      </c>
      <c r="E1038" t="s">
        <v>15</v>
      </c>
      <c r="F1038" t="s">
        <v>23</v>
      </c>
      <c r="G1038" t="s">
        <v>32</v>
      </c>
      <c r="H1038" t="s">
        <v>43</v>
      </c>
      <c r="I1038" t="s">
        <v>53</v>
      </c>
      <c r="J1038" s="7">
        <v>111.2</v>
      </c>
      <c r="K1038" s="8">
        <v>5</v>
      </c>
      <c r="L1038" s="7">
        <v>30.58</v>
      </c>
    </row>
    <row r="1039" spans="1:12" x14ac:dyDescent="0.2">
      <c r="A1039" s="2">
        <v>42234</v>
      </c>
      <c r="B1039" s="8">
        <f>YEAR(Sales_data[[#This Row],[Order Date]])</f>
        <v>2015</v>
      </c>
      <c r="C1039" s="8">
        <f>MONTH(Sales_data[[#This Row],[Order Date]])</f>
        <v>8</v>
      </c>
      <c r="D1039" s="8" t="str">
        <f>TEXT(Sales_data[[#This Row],[Order Date]],"mmm")</f>
        <v>Aug</v>
      </c>
      <c r="E1039" t="s">
        <v>21</v>
      </c>
      <c r="F1039" t="s">
        <v>23</v>
      </c>
      <c r="G1039" t="s">
        <v>32</v>
      </c>
      <c r="H1039" t="s">
        <v>43</v>
      </c>
      <c r="I1039" t="s">
        <v>46</v>
      </c>
      <c r="J1039" s="7">
        <v>1407.31</v>
      </c>
      <c r="K1039" s="8">
        <v>5</v>
      </c>
      <c r="L1039" s="7">
        <v>139.38</v>
      </c>
    </row>
    <row r="1040" spans="1:12" x14ac:dyDescent="0.2">
      <c r="A1040" s="2">
        <v>42235</v>
      </c>
      <c r="B1040" s="8">
        <f>YEAR(Sales_data[[#This Row],[Order Date]])</f>
        <v>2015</v>
      </c>
      <c r="C1040" s="8">
        <f>MONTH(Sales_data[[#This Row],[Order Date]])</f>
        <v>8</v>
      </c>
      <c r="D1040" s="8" t="str">
        <f>TEXT(Sales_data[[#This Row],[Order Date]],"mmm")</f>
        <v>Aug</v>
      </c>
      <c r="E1040" t="s">
        <v>17</v>
      </c>
      <c r="F1040" t="s">
        <v>29</v>
      </c>
      <c r="G1040" t="s">
        <v>34</v>
      </c>
      <c r="H1040" t="s">
        <v>42</v>
      </c>
      <c r="I1040" t="s">
        <v>52</v>
      </c>
      <c r="J1040" s="7">
        <v>1151.26</v>
      </c>
      <c r="K1040" s="8">
        <v>6</v>
      </c>
      <c r="L1040" s="7">
        <v>31.01</v>
      </c>
    </row>
    <row r="1041" spans="1:12" x14ac:dyDescent="0.2">
      <c r="A1041" s="2">
        <v>42236</v>
      </c>
      <c r="B1041" s="8">
        <f>YEAR(Sales_data[[#This Row],[Order Date]])</f>
        <v>2015</v>
      </c>
      <c r="C1041" s="8">
        <f>MONTH(Sales_data[[#This Row],[Order Date]])</f>
        <v>8</v>
      </c>
      <c r="D1041" s="8" t="str">
        <f>TEXT(Sales_data[[#This Row],[Order Date]],"mmm")</f>
        <v>Aug</v>
      </c>
      <c r="E1041" t="s">
        <v>12</v>
      </c>
      <c r="F1041" t="s">
        <v>29</v>
      </c>
      <c r="G1041" t="s">
        <v>32</v>
      </c>
      <c r="H1041" t="s">
        <v>42</v>
      </c>
      <c r="I1041" t="s">
        <v>53</v>
      </c>
      <c r="J1041" s="7">
        <v>827.98</v>
      </c>
      <c r="K1041" s="8">
        <v>3</v>
      </c>
      <c r="L1041" s="7">
        <v>149.19</v>
      </c>
    </row>
    <row r="1042" spans="1:12" x14ac:dyDescent="0.2">
      <c r="A1042" s="2">
        <v>42238</v>
      </c>
      <c r="B1042" s="8">
        <f>YEAR(Sales_data[[#This Row],[Order Date]])</f>
        <v>2015</v>
      </c>
      <c r="C1042" s="8">
        <f>MONTH(Sales_data[[#This Row],[Order Date]])</f>
        <v>8</v>
      </c>
      <c r="D1042" s="8" t="str">
        <f>TEXT(Sales_data[[#This Row],[Order Date]],"mmm")</f>
        <v>Aug</v>
      </c>
      <c r="E1042" t="s">
        <v>14</v>
      </c>
      <c r="F1042" t="s">
        <v>24</v>
      </c>
      <c r="G1042" t="s">
        <v>33</v>
      </c>
      <c r="H1042" t="s">
        <v>40</v>
      </c>
      <c r="I1042" t="s">
        <v>44</v>
      </c>
      <c r="J1042" s="7">
        <v>953.1</v>
      </c>
      <c r="K1042" s="8">
        <v>5</v>
      </c>
      <c r="L1042" s="7">
        <v>164.61</v>
      </c>
    </row>
    <row r="1043" spans="1:12" x14ac:dyDescent="0.2">
      <c r="A1043" s="2">
        <v>42241</v>
      </c>
      <c r="B1043" s="8">
        <f>YEAR(Sales_data[[#This Row],[Order Date]])</f>
        <v>2015</v>
      </c>
      <c r="C1043" s="8">
        <f>MONTH(Sales_data[[#This Row],[Order Date]])</f>
        <v>8</v>
      </c>
      <c r="D1043" s="8" t="str">
        <f>TEXT(Sales_data[[#This Row],[Order Date]],"mmm")</f>
        <v>Aug</v>
      </c>
      <c r="E1043" t="s">
        <v>21</v>
      </c>
      <c r="F1043" t="s">
        <v>23</v>
      </c>
      <c r="G1043" t="s">
        <v>34</v>
      </c>
      <c r="H1043" t="s">
        <v>40</v>
      </c>
      <c r="I1043" t="s">
        <v>44</v>
      </c>
      <c r="J1043" s="7">
        <v>860.61</v>
      </c>
      <c r="K1043" s="8">
        <v>1</v>
      </c>
      <c r="L1043" s="7">
        <v>268.60000000000002</v>
      </c>
    </row>
    <row r="1044" spans="1:12" x14ac:dyDescent="0.2">
      <c r="A1044" s="2">
        <v>42242</v>
      </c>
      <c r="B1044" s="8">
        <f>YEAR(Sales_data[[#This Row],[Order Date]])</f>
        <v>2015</v>
      </c>
      <c r="C1044" s="8">
        <f>MONTH(Sales_data[[#This Row],[Order Date]])</f>
        <v>8</v>
      </c>
      <c r="D1044" s="8" t="str">
        <f>TEXT(Sales_data[[#This Row],[Order Date]],"mmm")</f>
        <v>Aug</v>
      </c>
      <c r="E1044" t="s">
        <v>10</v>
      </c>
      <c r="F1044" t="s">
        <v>26</v>
      </c>
      <c r="G1044" t="s">
        <v>32</v>
      </c>
      <c r="H1044" t="s">
        <v>42</v>
      </c>
      <c r="I1044" t="s">
        <v>52</v>
      </c>
      <c r="J1044" s="7">
        <v>222.77</v>
      </c>
      <c r="K1044" s="8">
        <v>6</v>
      </c>
      <c r="L1044" s="7">
        <v>239.26</v>
      </c>
    </row>
    <row r="1045" spans="1:12" x14ac:dyDescent="0.2">
      <c r="A1045" s="2">
        <v>42243</v>
      </c>
      <c r="B1045" s="8">
        <f>YEAR(Sales_data[[#This Row],[Order Date]])</f>
        <v>2015</v>
      </c>
      <c r="C1045" s="8">
        <f>MONTH(Sales_data[[#This Row],[Order Date]])</f>
        <v>8</v>
      </c>
      <c r="D1045" s="8" t="str">
        <f>TEXT(Sales_data[[#This Row],[Order Date]],"mmm")</f>
        <v>Aug</v>
      </c>
      <c r="E1045" t="s">
        <v>12</v>
      </c>
      <c r="F1045" t="s">
        <v>22</v>
      </c>
      <c r="G1045" t="s">
        <v>32</v>
      </c>
      <c r="H1045" t="s">
        <v>38</v>
      </c>
      <c r="I1045" t="s">
        <v>48</v>
      </c>
      <c r="J1045" s="7">
        <v>38.799999999999997</v>
      </c>
      <c r="K1045" s="8">
        <v>7</v>
      </c>
      <c r="L1045" s="7">
        <v>-36.19</v>
      </c>
    </row>
    <row r="1046" spans="1:12" x14ac:dyDescent="0.2">
      <c r="A1046" s="2">
        <v>42244</v>
      </c>
      <c r="B1046" s="8">
        <f>YEAR(Sales_data[[#This Row],[Order Date]])</f>
        <v>2015</v>
      </c>
      <c r="C1046" s="8">
        <f>MONTH(Sales_data[[#This Row],[Order Date]])</f>
        <v>8</v>
      </c>
      <c r="D1046" s="8" t="str">
        <f>TEXT(Sales_data[[#This Row],[Order Date]],"mmm")</f>
        <v>Aug</v>
      </c>
      <c r="E1046" t="s">
        <v>12</v>
      </c>
      <c r="F1046" t="s">
        <v>28</v>
      </c>
      <c r="G1046" t="s">
        <v>33</v>
      </c>
      <c r="H1046" t="s">
        <v>43</v>
      </c>
      <c r="I1046" t="s">
        <v>53</v>
      </c>
      <c r="J1046" s="7">
        <v>1729.17</v>
      </c>
      <c r="K1046" s="8">
        <v>4</v>
      </c>
      <c r="L1046" s="7">
        <v>-180.76</v>
      </c>
    </row>
    <row r="1047" spans="1:12" x14ac:dyDescent="0.2">
      <c r="A1047" s="2">
        <v>42245</v>
      </c>
      <c r="B1047" s="8">
        <f>YEAR(Sales_data[[#This Row],[Order Date]])</f>
        <v>2015</v>
      </c>
      <c r="C1047" s="8">
        <f>MONTH(Sales_data[[#This Row],[Order Date]])</f>
        <v>8</v>
      </c>
      <c r="D1047" s="8" t="str">
        <f>TEXT(Sales_data[[#This Row],[Order Date]],"mmm")</f>
        <v>Aug</v>
      </c>
      <c r="E1047" t="s">
        <v>10</v>
      </c>
      <c r="F1047" t="s">
        <v>28</v>
      </c>
      <c r="G1047" t="s">
        <v>33</v>
      </c>
      <c r="H1047" t="s">
        <v>35</v>
      </c>
      <c r="I1047" t="s">
        <v>46</v>
      </c>
      <c r="J1047" s="7">
        <v>1893.07</v>
      </c>
      <c r="K1047" s="8">
        <v>9</v>
      </c>
      <c r="L1047" s="7">
        <v>-63.37</v>
      </c>
    </row>
    <row r="1048" spans="1:12" x14ac:dyDescent="0.2">
      <c r="A1048" s="2">
        <v>42246</v>
      </c>
      <c r="B1048" s="8">
        <f>YEAR(Sales_data[[#This Row],[Order Date]])</f>
        <v>2015</v>
      </c>
      <c r="C1048" s="8">
        <f>MONTH(Sales_data[[#This Row],[Order Date]])</f>
        <v>8</v>
      </c>
      <c r="D1048" s="8" t="str">
        <f>TEXT(Sales_data[[#This Row],[Order Date]],"mmm")</f>
        <v>Aug</v>
      </c>
      <c r="E1048" t="s">
        <v>13</v>
      </c>
      <c r="F1048" t="s">
        <v>22</v>
      </c>
      <c r="G1048" t="s">
        <v>34</v>
      </c>
      <c r="H1048" t="s">
        <v>37</v>
      </c>
      <c r="I1048" t="s">
        <v>46</v>
      </c>
      <c r="J1048" s="7">
        <v>555.09</v>
      </c>
      <c r="K1048" s="8">
        <v>3</v>
      </c>
      <c r="L1048" s="7">
        <v>173.03</v>
      </c>
    </row>
    <row r="1049" spans="1:12" x14ac:dyDescent="0.2">
      <c r="A1049" s="2">
        <v>42246</v>
      </c>
      <c r="B1049" s="8">
        <f>YEAR(Sales_data[[#This Row],[Order Date]])</f>
        <v>2015</v>
      </c>
      <c r="C1049" s="8">
        <f>MONTH(Sales_data[[#This Row],[Order Date]])</f>
        <v>8</v>
      </c>
      <c r="D1049" s="8" t="str">
        <f>TEXT(Sales_data[[#This Row],[Order Date]],"mmm")</f>
        <v>Aug</v>
      </c>
      <c r="E1049" t="s">
        <v>12</v>
      </c>
      <c r="F1049" t="s">
        <v>24</v>
      </c>
      <c r="G1049" t="s">
        <v>33</v>
      </c>
      <c r="H1049" t="s">
        <v>40</v>
      </c>
      <c r="I1049" t="s">
        <v>45</v>
      </c>
      <c r="J1049" s="7">
        <v>1397.21</v>
      </c>
      <c r="K1049" s="8">
        <v>3</v>
      </c>
      <c r="L1049" s="7">
        <v>-31.72</v>
      </c>
    </row>
    <row r="1050" spans="1:12" x14ac:dyDescent="0.2">
      <c r="A1050" s="2">
        <v>42247</v>
      </c>
      <c r="B1050" s="8">
        <f>YEAR(Sales_data[[#This Row],[Order Date]])</f>
        <v>2015</v>
      </c>
      <c r="C1050" s="8">
        <f>MONTH(Sales_data[[#This Row],[Order Date]])</f>
        <v>8</v>
      </c>
      <c r="D1050" s="8" t="str">
        <f>TEXT(Sales_data[[#This Row],[Order Date]],"mmm")</f>
        <v>Aug</v>
      </c>
      <c r="E1050" t="s">
        <v>13</v>
      </c>
      <c r="F1050" t="s">
        <v>30</v>
      </c>
      <c r="G1050" t="s">
        <v>32</v>
      </c>
      <c r="H1050" t="s">
        <v>36</v>
      </c>
      <c r="I1050" t="s">
        <v>51</v>
      </c>
      <c r="J1050" s="7">
        <v>1261.1600000000001</v>
      </c>
      <c r="K1050" s="8">
        <v>2</v>
      </c>
      <c r="L1050" s="7">
        <v>-68.95</v>
      </c>
    </row>
    <row r="1051" spans="1:12" x14ac:dyDescent="0.2">
      <c r="A1051" s="2">
        <v>42250</v>
      </c>
      <c r="B1051" s="8">
        <f>YEAR(Sales_data[[#This Row],[Order Date]])</f>
        <v>2015</v>
      </c>
      <c r="C1051" s="8">
        <f>MONTH(Sales_data[[#This Row],[Order Date]])</f>
        <v>9</v>
      </c>
      <c r="D1051" s="8" t="str">
        <f>TEXT(Sales_data[[#This Row],[Order Date]],"mmm")</f>
        <v>Sep</v>
      </c>
      <c r="E1051" t="s">
        <v>10</v>
      </c>
      <c r="F1051" t="s">
        <v>26</v>
      </c>
      <c r="G1051" t="s">
        <v>33</v>
      </c>
      <c r="H1051" t="s">
        <v>43</v>
      </c>
      <c r="I1051" t="s">
        <v>44</v>
      </c>
      <c r="J1051" s="7">
        <v>1451.6</v>
      </c>
      <c r="K1051" s="8">
        <v>4</v>
      </c>
      <c r="L1051" s="7">
        <v>304.01</v>
      </c>
    </row>
    <row r="1052" spans="1:12" x14ac:dyDescent="0.2">
      <c r="A1052" s="2">
        <v>42250</v>
      </c>
      <c r="B1052" s="8">
        <f>YEAR(Sales_data[[#This Row],[Order Date]])</f>
        <v>2015</v>
      </c>
      <c r="C1052" s="8">
        <f>MONTH(Sales_data[[#This Row],[Order Date]])</f>
        <v>9</v>
      </c>
      <c r="D1052" s="8" t="str">
        <f>TEXT(Sales_data[[#This Row],[Order Date]],"mmm")</f>
        <v>Sep</v>
      </c>
      <c r="E1052" t="s">
        <v>18</v>
      </c>
      <c r="F1052" t="s">
        <v>25</v>
      </c>
      <c r="G1052" t="s">
        <v>33</v>
      </c>
      <c r="H1052" t="s">
        <v>39</v>
      </c>
      <c r="I1052" t="s">
        <v>50</v>
      </c>
      <c r="J1052" s="7">
        <v>273.10000000000002</v>
      </c>
      <c r="K1052" s="8">
        <v>2</v>
      </c>
      <c r="L1052" s="7">
        <v>149.63</v>
      </c>
    </row>
    <row r="1053" spans="1:12" x14ac:dyDescent="0.2">
      <c r="A1053" s="2">
        <v>42252</v>
      </c>
      <c r="B1053" s="8">
        <f>YEAR(Sales_data[[#This Row],[Order Date]])</f>
        <v>2015</v>
      </c>
      <c r="C1053" s="8">
        <f>MONTH(Sales_data[[#This Row],[Order Date]])</f>
        <v>9</v>
      </c>
      <c r="D1053" s="8" t="str">
        <f>TEXT(Sales_data[[#This Row],[Order Date]],"mmm")</f>
        <v>Sep</v>
      </c>
      <c r="E1053" t="s">
        <v>15</v>
      </c>
      <c r="F1053" t="s">
        <v>30</v>
      </c>
      <c r="G1053" t="s">
        <v>33</v>
      </c>
      <c r="H1053" t="s">
        <v>40</v>
      </c>
      <c r="I1053" t="s">
        <v>45</v>
      </c>
      <c r="J1053" s="7">
        <v>500.91</v>
      </c>
      <c r="K1053" s="8">
        <v>8</v>
      </c>
      <c r="L1053" s="7">
        <v>285.16000000000003</v>
      </c>
    </row>
    <row r="1054" spans="1:12" x14ac:dyDescent="0.2">
      <c r="A1054" s="2">
        <v>42255</v>
      </c>
      <c r="B1054" s="8">
        <f>YEAR(Sales_data[[#This Row],[Order Date]])</f>
        <v>2015</v>
      </c>
      <c r="C1054" s="8">
        <f>MONTH(Sales_data[[#This Row],[Order Date]])</f>
        <v>9</v>
      </c>
      <c r="D1054" s="8" t="str">
        <f>TEXT(Sales_data[[#This Row],[Order Date]],"mmm")</f>
        <v>Sep</v>
      </c>
      <c r="E1054" t="s">
        <v>10</v>
      </c>
      <c r="F1054" t="s">
        <v>30</v>
      </c>
      <c r="G1054" t="s">
        <v>32</v>
      </c>
      <c r="H1054" t="s">
        <v>37</v>
      </c>
      <c r="I1054" t="s">
        <v>47</v>
      </c>
      <c r="J1054" s="7">
        <v>1206.1500000000001</v>
      </c>
      <c r="K1054" s="8">
        <v>7</v>
      </c>
      <c r="L1054" s="7">
        <v>-140.07</v>
      </c>
    </row>
    <row r="1055" spans="1:12" x14ac:dyDescent="0.2">
      <c r="A1055" s="2">
        <v>42255</v>
      </c>
      <c r="B1055" s="8">
        <f>YEAR(Sales_data[[#This Row],[Order Date]])</f>
        <v>2015</v>
      </c>
      <c r="C1055" s="8">
        <f>MONTH(Sales_data[[#This Row],[Order Date]])</f>
        <v>9</v>
      </c>
      <c r="D1055" s="8" t="str">
        <f>TEXT(Sales_data[[#This Row],[Order Date]],"mmm")</f>
        <v>Sep</v>
      </c>
      <c r="E1055" t="s">
        <v>18</v>
      </c>
      <c r="F1055" t="s">
        <v>31</v>
      </c>
      <c r="G1055" t="s">
        <v>34</v>
      </c>
      <c r="H1055" t="s">
        <v>40</v>
      </c>
      <c r="I1055" t="s">
        <v>50</v>
      </c>
      <c r="J1055" s="7">
        <v>1629.89</v>
      </c>
      <c r="K1055" s="8">
        <v>9</v>
      </c>
      <c r="L1055" s="7">
        <v>239.14</v>
      </c>
    </row>
    <row r="1056" spans="1:12" x14ac:dyDescent="0.2">
      <c r="A1056" s="2">
        <v>42255</v>
      </c>
      <c r="B1056" s="8">
        <f>YEAR(Sales_data[[#This Row],[Order Date]])</f>
        <v>2015</v>
      </c>
      <c r="C1056" s="8">
        <f>MONTH(Sales_data[[#This Row],[Order Date]])</f>
        <v>9</v>
      </c>
      <c r="D1056" s="8" t="str">
        <f>TEXT(Sales_data[[#This Row],[Order Date]],"mmm")</f>
        <v>Sep</v>
      </c>
      <c r="E1056" t="s">
        <v>10</v>
      </c>
      <c r="F1056" t="s">
        <v>27</v>
      </c>
      <c r="G1056" t="s">
        <v>33</v>
      </c>
      <c r="H1056" t="s">
        <v>38</v>
      </c>
      <c r="I1056" t="s">
        <v>50</v>
      </c>
      <c r="J1056" s="7">
        <v>27.92</v>
      </c>
      <c r="K1056" s="8">
        <v>2</v>
      </c>
      <c r="L1056" s="7">
        <v>373.17</v>
      </c>
    </row>
    <row r="1057" spans="1:12" x14ac:dyDescent="0.2">
      <c r="A1057" s="2">
        <v>42256</v>
      </c>
      <c r="B1057" s="8">
        <f>YEAR(Sales_data[[#This Row],[Order Date]])</f>
        <v>2015</v>
      </c>
      <c r="C1057" s="8">
        <f>MONTH(Sales_data[[#This Row],[Order Date]])</f>
        <v>9</v>
      </c>
      <c r="D1057" s="8" t="str">
        <f>TEXT(Sales_data[[#This Row],[Order Date]],"mmm")</f>
        <v>Sep</v>
      </c>
      <c r="E1057" t="s">
        <v>9</v>
      </c>
      <c r="F1057" t="s">
        <v>27</v>
      </c>
      <c r="G1057" t="s">
        <v>33</v>
      </c>
      <c r="H1057" t="s">
        <v>40</v>
      </c>
      <c r="I1057" t="s">
        <v>49</v>
      </c>
      <c r="J1057" s="7">
        <v>557.21</v>
      </c>
      <c r="K1057" s="8">
        <v>2</v>
      </c>
      <c r="L1057" s="7">
        <v>358.51</v>
      </c>
    </row>
    <row r="1058" spans="1:12" x14ac:dyDescent="0.2">
      <c r="A1058" s="2">
        <v>42256</v>
      </c>
      <c r="B1058" s="8">
        <f>YEAR(Sales_data[[#This Row],[Order Date]])</f>
        <v>2015</v>
      </c>
      <c r="C1058" s="8">
        <f>MONTH(Sales_data[[#This Row],[Order Date]])</f>
        <v>9</v>
      </c>
      <c r="D1058" s="8" t="str">
        <f>TEXT(Sales_data[[#This Row],[Order Date]],"mmm")</f>
        <v>Sep</v>
      </c>
      <c r="E1058" t="s">
        <v>19</v>
      </c>
      <c r="F1058" t="s">
        <v>28</v>
      </c>
      <c r="G1058" t="s">
        <v>33</v>
      </c>
      <c r="H1058" t="s">
        <v>39</v>
      </c>
      <c r="I1058" t="s">
        <v>50</v>
      </c>
      <c r="J1058" s="7">
        <v>189.73</v>
      </c>
      <c r="K1058" s="8">
        <v>7</v>
      </c>
      <c r="L1058" s="7">
        <v>-174.24</v>
      </c>
    </row>
    <row r="1059" spans="1:12" x14ac:dyDescent="0.2">
      <c r="A1059" s="2">
        <v>42257</v>
      </c>
      <c r="B1059" s="8">
        <f>YEAR(Sales_data[[#This Row],[Order Date]])</f>
        <v>2015</v>
      </c>
      <c r="C1059" s="8">
        <f>MONTH(Sales_data[[#This Row],[Order Date]])</f>
        <v>9</v>
      </c>
      <c r="D1059" s="8" t="str">
        <f>TEXT(Sales_data[[#This Row],[Order Date]],"mmm")</f>
        <v>Sep</v>
      </c>
      <c r="E1059" t="s">
        <v>13</v>
      </c>
      <c r="F1059" t="s">
        <v>31</v>
      </c>
      <c r="G1059" t="s">
        <v>32</v>
      </c>
      <c r="H1059" t="s">
        <v>42</v>
      </c>
      <c r="I1059" t="s">
        <v>47</v>
      </c>
      <c r="J1059" s="7">
        <v>1695.1</v>
      </c>
      <c r="K1059" s="8">
        <v>5</v>
      </c>
      <c r="L1059" s="7">
        <v>64.08</v>
      </c>
    </row>
    <row r="1060" spans="1:12" x14ac:dyDescent="0.2">
      <c r="A1060" s="2">
        <v>42257</v>
      </c>
      <c r="B1060" s="8">
        <f>YEAR(Sales_data[[#This Row],[Order Date]])</f>
        <v>2015</v>
      </c>
      <c r="C1060" s="8">
        <f>MONTH(Sales_data[[#This Row],[Order Date]])</f>
        <v>9</v>
      </c>
      <c r="D1060" s="8" t="str">
        <f>TEXT(Sales_data[[#This Row],[Order Date]],"mmm")</f>
        <v>Sep</v>
      </c>
      <c r="E1060" t="s">
        <v>19</v>
      </c>
      <c r="F1060" t="s">
        <v>31</v>
      </c>
      <c r="G1060" t="s">
        <v>33</v>
      </c>
      <c r="H1060" t="s">
        <v>35</v>
      </c>
      <c r="I1060" t="s">
        <v>53</v>
      </c>
      <c r="J1060" s="7">
        <v>1499.31</v>
      </c>
      <c r="K1060" s="8">
        <v>2</v>
      </c>
      <c r="L1060" s="7">
        <v>24.5</v>
      </c>
    </row>
    <row r="1061" spans="1:12" x14ac:dyDescent="0.2">
      <c r="A1061" s="2">
        <v>42258</v>
      </c>
      <c r="B1061" s="8">
        <f>YEAR(Sales_data[[#This Row],[Order Date]])</f>
        <v>2015</v>
      </c>
      <c r="C1061" s="8">
        <f>MONTH(Sales_data[[#This Row],[Order Date]])</f>
        <v>9</v>
      </c>
      <c r="D1061" s="8" t="str">
        <f>TEXT(Sales_data[[#This Row],[Order Date]],"mmm")</f>
        <v>Sep</v>
      </c>
      <c r="E1061" t="s">
        <v>21</v>
      </c>
      <c r="F1061" t="s">
        <v>22</v>
      </c>
      <c r="G1061" t="s">
        <v>33</v>
      </c>
      <c r="H1061" t="s">
        <v>37</v>
      </c>
      <c r="I1061" t="s">
        <v>51</v>
      </c>
      <c r="J1061" s="7">
        <v>1602.11</v>
      </c>
      <c r="K1061" s="8">
        <v>8</v>
      </c>
      <c r="L1061" s="7">
        <v>-74.97</v>
      </c>
    </row>
    <row r="1062" spans="1:12" x14ac:dyDescent="0.2">
      <c r="A1062" s="2">
        <v>42258</v>
      </c>
      <c r="B1062" s="8">
        <f>YEAR(Sales_data[[#This Row],[Order Date]])</f>
        <v>2015</v>
      </c>
      <c r="C1062" s="8">
        <f>MONTH(Sales_data[[#This Row],[Order Date]])</f>
        <v>9</v>
      </c>
      <c r="D1062" s="8" t="str">
        <f>TEXT(Sales_data[[#This Row],[Order Date]],"mmm")</f>
        <v>Sep</v>
      </c>
      <c r="E1062" t="s">
        <v>14</v>
      </c>
      <c r="F1062" t="s">
        <v>30</v>
      </c>
      <c r="G1062" t="s">
        <v>34</v>
      </c>
      <c r="H1062" t="s">
        <v>40</v>
      </c>
      <c r="I1062" t="s">
        <v>45</v>
      </c>
      <c r="J1062" s="7">
        <v>1542.48</v>
      </c>
      <c r="K1062" s="8">
        <v>7</v>
      </c>
      <c r="L1062" s="7">
        <v>319.08999999999997</v>
      </c>
    </row>
    <row r="1063" spans="1:12" x14ac:dyDescent="0.2">
      <c r="A1063" s="2">
        <v>42259</v>
      </c>
      <c r="B1063" s="8">
        <f>YEAR(Sales_data[[#This Row],[Order Date]])</f>
        <v>2015</v>
      </c>
      <c r="C1063" s="8">
        <f>MONTH(Sales_data[[#This Row],[Order Date]])</f>
        <v>9</v>
      </c>
      <c r="D1063" s="8" t="str">
        <f>TEXT(Sales_data[[#This Row],[Order Date]],"mmm")</f>
        <v>Sep</v>
      </c>
      <c r="E1063" t="s">
        <v>20</v>
      </c>
      <c r="F1063" t="s">
        <v>25</v>
      </c>
      <c r="G1063" t="s">
        <v>32</v>
      </c>
      <c r="H1063" t="s">
        <v>39</v>
      </c>
      <c r="I1063" t="s">
        <v>44</v>
      </c>
      <c r="J1063" s="7">
        <v>331.22</v>
      </c>
      <c r="K1063" s="8">
        <v>4</v>
      </c>
      <c r="L1063" s="7">
        <v>160.51</v>
      </c>
    </row>
    <row r="1064" spans="1:12" x14ac:dyDescent="0.2">
      <c r="A1064" s="2">
        <v>42260</v>
      </c>
      <c r="B1064" s="8">
        <f>YEAR(Sales_data[[#This Row],[Order Date]])</f>
        <v>2015</v>
      </c>
      <c r="C1064" s="8">
        <f>MONTH(Sales_data[[#This Row],[Order Date]])</f>
        <v>9</v>
      </c>
      <c r="D1064" s="8" t="str">
        <f>TEXT(Sales_data[[#This Row],[Order Date]],"mmm")</f>
        <v>Sep</v>
      </c>
      <c r="E1064" t="s">
        <v>14</v>
      </c>
      <c r="F1064" t="s">
        <v>25</v>
      </c>
      <c r="G1064" t="s">
        <v>33</v>
      </c>
      <c r="H1064" t="s">
        <v>36</v>
      </c>
      <c r="I1064" t="s">
        <v>53</v>
      </c>
      <c r="J1064" s="7">
        <v>1785.3</v>
      </c>
      <c r="K1064" s="8">
        <v>5</v>
      </c>
      <c r="L1064" s="7">
        <v>-175.85</v>
      </c>
    </row>
    <row r="1065" spans="1:12" x14ac:dyDescent="0.2">
      <c r="A1065" s="2">
        <v>42262</v>
      </c>
      <c r="B1065" s="8">
        <f>YEAR(Sales_data[[#This Row],[Order Date]])</f>
        <v>2015</v>
      </c>
      <c r="C1065" s="8">
        <f>MONTH(Sales_data[[#This Row],[Order Date]])</f>
        <v>9</v>
      </c>
      <c r="D1065" s="8" t="str">
        <f>TEXT(Sales_data[[#This Row],[Order Date]],"mmm")</f>
        <v>Sep</v>
      </c>
      <c r="E1065" t="s">
        <v>19</v>
      </c>
      <c r="F1065" t="s">
        <v>31</v>
      </c>
      <c r="G1065" t="s">
        <v>33</v>
      </c>
      <c r="H1065" t="s">
        <v>39</v>
      </c>
      <c r="I1065" t="s">
        <v>52</v>
      </c>
      <c r="J1065" s="7">
        <v>1088.3399999999999</v>
      </c>
      <c r="K1065" s="8">
        <v>7</v>
      </c>
      <c r="L1065" s="7">
        <v>38.049999999999997</v>
      </c>
    </row>
    <row r="1066" spans="1:12" x14ac:dyDescent="0.2">
      <c r="A1066" s="2">
        <v>42262</v>
      </c>
      <c r="B1066" s="8">
        <f>YEAR(Sales_data[[#This Row],[Order Date]])</f>
        <v>2015</v>
      </c>
      <c r="C1066" s="8">
        <f>MONTH(Sales_data[[#This Row],[Order Date]])</f>
        <v>9</v>
      </c>
      <c r="D1066" s="8" t="str">
        <f>TEXT(Sales_data[[#This Row],[Order Date]],"mmm")</f>
        <v>Sep</v>
      </c>
      <c r="E1066" t="s">
        <v>14</v>
      </c>
      <c r="F1066" t="s">
        <v>22</v>
      </c>
      <c r="G1066" t="s">
        <v>34</v>
      </c>
      <c r="H1066" t="s">
        <v>40</v>
      </c>
      <c r="I1066" t="s">
        <v>45</v>
      </c>
      <c r="J1066" s="7">
        <v>437.89</v>
      </c>
      <c r="K1066" s="8">
        <v>4</v>
      </c>
      <c r="L1066" s="7">
        <v>177.08</v>
      </c>
    </row>
    <row r="1067" spans="1:12" x14ac:dyDescent="0.2">
      <c r="A1067" s="2">
        <v>42264</v>
      </c>
      <c r="B1067" s="8">
        <f>YEAR(Sales_data[[#This Row],[Order Date]])</f>
        <v>2015</v>
      </c>
      <c r="C1067" s="8">
        <f>MONTH(Sales_data[[#This Row],[Order Date]])</f>
        <v>9</v>
      </c>
      <c r="D1067" s="8" t="str">
        <f>TEXT(Sales_data[[#This Row],[Order Date]],"mmm")</f>
        <v>Sep</v>
      </c>
      <c r="E1067" t="s">
        <v>17</v>
      </c>
      <c r="F1067" t="s">
        <v>31</v>
      </c>
      <c r="G1067" t="s">
        <v>32</v>
      </c>
      <c r="H1067" t="s">
        <v>43</v>
      </c>
      <c r="I1067" t="s">
        <v>53</v>
      </c>
      <c r="J1067" s="7">
        <v>782.02</v>
      </c>
      <c r="K1067" s="8">
        <v>8</v>
      </c>
      <c r="L1067" s="7">
        <v>-78.63</v>
      </c>
    </row>
    <row r="1068" spans="1:12" x14ac:dyDescent="0.2">
      <c r="A1068" s="2">
        <v>42264</v>
      </c>
      <c r="B1068" s="8">
        <f>YEAR(Sales_data[[#This Row],[Order Date]])</f>
        <v>2015</v>
      </c>
      <c r="C1068" s="8">
        <f>MONTH(Sales_data[[#This Row],[Order Date]])</f>
        <v>9</v>
      </c>
      <c r="D1068" s="8" t="str">
        <f>TEXT(Sales_data[[#This Row],[Order Date]],"mmm")</f>
        <v>Sep</v>
      </c>
      <c r="E1068" t="s">
        <v>15</v>
      </c>
      <c r="F1068" t="s">
        <v>30</v>
      </c>
      <c r="G1068" t="s">
        <v>32</v>
      </c>
      <c r="H1068" t="s">
        <v>39</v>
      </c>
      <c r="I1068" t="s">
        <v>53</v>
      </c>
      <c r="J1068" s="7">
        <v>461.53</v>
      </c>
      <c r="K1068" s="8">
        <v>2</v>
      </c>
      <c r="L1068" s="7">
        <v>244.92</v>
      </c>
    </row>
    <row r="1069" spans="1:12" x14ac:dyDescent="0.2">
      <c r="A1069" s="2">
        <v>42264</v>
      </c>
      <c r="B1069" s="8">
        <f>YEAR(Sales_data[[#This Row],[Order Date]])</f>
        <v>2015</v>
      </c>
      <c r="C1069" s="8">
        <f>MONTH(Sales_data[[#This Row],[Order Date]])</f>
        <v>9</v>
      </c>
      <c r="D1069" s="8" t="str">
        <f>TEXT(Sales_data[[#This Row],[Order Date]],"mmm")</f>
        <v>Sep</v>
      </c>
      <c r="E1069" t="s">
        <v>19</v>
      </c>
      <c r="F1069" t="s">
        <v>25</v>
      </c>
      <c r="G1069" t="s">
        <v>32</v>
      </c>
      <c r="H1069" t="s">
        <v>39</v>
      </c>
      <c r="I1069" t="s">
        <v>48</v>
      </c>
      <c r="J1069" s="7">
        <v>1428.93</v>
      </c>
      <c r="K1069" s="8">
        <v>3</v>
      </c>
      <c r="L1069" s="7">
        <v>31.53</v>
      </c>
    </row>
    <row r="1070" spans="1:12" x14ac:dyDescent="0.2">
      <c r="A1070" s="2">
        <v>42266</v>
      </c>
      <c r="B1070" s="8">
        <f>YEAR(Sales_data[[#This Row],[Order Date]])</f>
        <v>2015</v>
      </c>
      <c r="C1070" s="8">
        <f>MONTH(Sales_data[[#This Row],[Order Date]])</f>
        <v>9</v>
      </c>
      <c r="D1070" s="8" t="str">
        <f>TEXT(Sales_data[[#This Row],[Order Date]],"mmm")</f>
        <v>Sep</v>
      </c>
      <c r="E1070" t="s">
        <v>18</v>
      </c>
      <c r="F1070" t="s">
        <v>29</v>
      </c>
      <c r="G1070" t="s">
        <v>34</v>
      </c>
      <c r="H1070" t="s">
        <v>40</v>
      </c>
      <c r="I1070" t="s">
        <v>49</v>
      </c>
      <c r="J1070" s="7">
        <v>810.72</v>
      </c>
      <c r="K1070" s="8">
        <v>4</v>
      </c>
      <c r="L1070" s="7">
        <v>-103.49</v>
      </c>
    </row>
    <row r="1071" spans="1:12" x14ac:dyDescent="0.2">
      <c r="A1071" s="2">
        <v>42267</v>
      </c>
      <c r="B1071" s="8">
        <f>YEAR(Sales_data[[#This Row],[Order Date]])</f>
        <v>2015</v>
      </c>
      <c r="C1071" s="8">
        <f>MONTH(Sales_data[[#This Row],[Order Date]])</f>
        <v>9</v>
      </c>
      <c r="D1071" s="8" t="str">
        <f>TEXT(Sales_data[[#This Row],[Order Date]],"mmm")</f>
        <v>Sep</v>
      </c>
      <c r="E1071" t="s">
        <v>9</v>
      </c>
      <c r="F1071" t="s">
        <v>31</v>
      </c>
      <c r="G1071" t="s">
        <v>33</v>
      </c>
      <c r="H1071" t="s">
        <v>38</v>
      </c>
      <c r="I1071" t="s">
        <v>47</v>
      </c>
      <c r="J1071" s="7">
        <v>1791.18</v>
      </c>
      <c r="K1071" s="8">
        <v>2</v>
      </c>
      <c r="L1071" s="7">
        <v>-39</v>
      </c>
    </row>
    <row r="1072" spans="1:12" x14ac:dyDescent="0.2">
      <c r="A1072" s="2">
        <v>42267</v>
      </c>
      <c r="B1072" s="8">
        <f>YEAR(Sales_data[[#This Row],[Order Date]])</f>
        <v>2015</v>
      </c>
      <c r="C1072" s="8">
        <f>MONTH(Sales_data[[#This Row],[Order Date]])</f>
        <v>9</v>
      </c>
      <c r="D1072" s="8" t="str">
        <f>TEXT(Sales_data[[#This Row],[Order Date]],"mmm")</f>
        <v>Sep</v>
      </c>
      <c r="E1072" t="s">
        <v>11</v>
      </c>
      <c r="F1072" t="s">
        <v>29</v>
      </c>
      <c r="G1072" t="s">
        <v>34</v>
      </c>
      <c r="H1072" t="s">
        <v>36</v>
      </c>
      <c r="I1072" t="s">
        <v>52</v>
      </c>
      <c r="J1072" s="7">
        <v>1202.5899999999999</v>
      </c>
      <c r="K1072" s="8">
        <v>9</v>
      </c>
      <c r="L1072" s="7">
        <v>-118.18</v>
      </c>
    </row>
    <row r="1073" spans="1:12" x14ac:dyDescent="0.2">
      <c r="A1073" s="2">
        <v>42267</v>
      </c>
      <c r="B1073" s="8">
        <f>YEAR(Sales_data[[#This Row],[Order Date]])</f>
        <v>2015</v>
      </c>
      <c r="C1073" s="8">
        <f>MONTH(Sales_data[[#This Row],[Order Date]])</f>
        <v>9</v>
      </c>
      <c r="D1073" s="8" t="str">
        <f>TEXT(Sales_data[[#This Row],[Order Date]],"mmm")</f>
        <v>Sep</v>
      </c>
      <c r="E1073" t="s">
        <v>19</v>
      </c>
      <c r="F1073" t="s">
        <v>31</v>
      </c>
      <c r="G1073" t="s">
        <v>33</v>
      </c>
      <c r="H1073" t="s">
        <v>41</v>
      </c>
      <c r="I1073" t="s">
        <v>44</v>
      </c>
      <c r="J1073" s="7">
        <v>1732.74</v>
      </c>
      <c r="K1073" s="8">
        <v>7</v>
      </c>
      <c r="L1073" s="7">
        <v>-183.89</v>
      </c>
    </row>
    <row r="1074" spans="1:12" x14ac:dyDescent="0.2">
      <c r="A1074" s="2">
        <v>42267</v>
      </c>
      <c r="B1074" s="8">
        <f>YEAR(Sales_data[[#This Row],[Order Date]])</f>
        <v>2015</v>
      </c>
      <c r="C1074" s="8">
        <f>MONTH(Sales_data[[#This Row],[Order Date]])</f>
        <v>9</v>
      </c>
      <c r="D1074" s="8" t="str">
        <f>TEXT(Sales_data[[#This Row],[Order Date]],"mmm")</f>
        <v>Sep</v>
      </c>
      <c r="E1074" t="s">
        <v>15</v>
      </c>
      <c r="F1074" t="s">
        <v>22</v>
      </c>
      <c r="G1074" t="s">
        <v>34</v>
      </c>
      <c r="H1074" t="s">
        <v>38</v>
      </c>
      <c r="I1074" t="s">
        <v>47</v>
      </c>
      <c r="J1074" s="7">
        <v>750.27</v>
      </c>
      <c r="K1074" s="8">
        <v>2</v>
      </c>
      <c r="L1074" s="7">
        <v>-103.82</v>
      </c>
    </row>
    <row r="1075" spans="1:12" x14ac:dyDescent="0.2">
      <c r="A1075" s="2">
        <v>42269</v>
      </c>
      <c r="B1075" s="8">
        <f>YEAR(Sales_data[[#This Row],[Order Date]])</f>
        <v>2015</v>
      </c>
      <c r="C1075" s="8">
        <f>MONTH(Sales_data[[#This Row],[Order Date]])</f>
        <v>9</v>
      </c>
      <c r="D1075" s="8" t="str">
        <f>TEXT(Sales_data[[#This Row],[Order Date]],"mmm")</f>
        <v>Sep</v>
      </c>
      <c r="E1075" t="s">
        <v>11</v>
      </c>
      <c r="F1075" t="s">
        <v>31</v>
      </c>
      <c r="G1075" t="s">
        <v>34</v>
      </c>
      <c r="H1075" t="s">
        <v>41</v>
      </c>
      <c r="I1075" t="s">
        <v>52</v>
      </c>
      <c r="J1075" s="7">
        <v>1116.55</v>
      </c>
      <c r="K1075" s="8">
        <v>5</v>
      </c>
      <c r="L1075" s="7">
        <v>219.25</v>
      </c>
    </row>
    <row r="1076" spans="1:12" x14ac:dyDescent="0.2">
      <c r="A1076" s="2">
        <v>42269</v>
      </c>
      <c r="B1076" s="8">
        <f>YEAR(Sales_data[[#This Row],[Order Date]])</f>
        <v>2015</v>
      </c>
      <c r="C1076" s="8">
        <f>MONTH(Sales_data[[#This Row],[Order Date]])</f>
        <v>9</v>
      </c>
      <c r="D1076" s="8" t="str">
        <f>TEXT(Sales_data[[#This Row],[Order Date]],"mmm")</f>
        <v>Sep</v>
      </c>
      <c r="E1076" t="s">
        <v>9</v>
      </c>
      <c r="F1076" t="s">
        <v>30</v>
      </c>
      <c r="G1076" t="s">
        <v>34</v>
      </c>
      <c r="H1076" t="s">
        <v>43</v>
      </c>
      <c r="I1076" t="s">
        <v>50</v>
      </c>
      <c r="J1076" s="7">
        <v>1073.04</v>
      </c>
      <c r="K1076" s="8">
        <v>8</v>
      </c>
      <c r="L1076" s="7">
        <v>-116.32</v>
      </c>
    </row>
    <row r="1077" spans="1:12" x14ac:dyDescent="0.2">
      <c r="A1077" s="2">
        <v>42270</v>
      </c>
      <c r="B1077" s="8">
        <f>YEAR(Sales_data[[#This Row],[Order Date]])</f>
        <v>2015</v>
      </c>
      <c r="C1077" s="8">
        <f>MONTH(Sales_data[[#This Row],[Order Date]])</f>
        <v>9</v>
      </c>
      <c r="D1077" s="8" t="str">
        <f>TEXT(Sales_data[[#This Row],[Order Date]],"mmm")</f>
        <v>Sep</v>
      </c>
      <c r="E1077" t="s">
        <v>15</v>
      </c>
      <c r="F1077" t="s">
        <v>24</v>
      </c>
      <c r="G1077" t="s">
        <v>34</v>
      </c>
      <c r="H1077" t="s">
        <v>41</v>
      </c>
      <c r="I1077" t="s">
        <v>47</v>
      </c>
      <c r="J1077" s="7">
        <v>1548.02</v>
      </c>
      <c r="K1077" s="8">
        <v>1</v>
      </c>
      <c r="L1077" s="7">
        <v>199.28</v>
      </c>
    </row>
    <row r="1078" spans="1:12" x14ac:dyDescent="0.2">
      <c r="A1078" s="2">
        <v>42271</v>
      </c>
      <c r="B1078" s="8">
        <f>YEAR(Sales_data[[#This Row],[Order Date]])</f>
        <v>2015</v>
      </c>
      <c r="C1078" s="8">
        <f>MONTH(Sales_data[[#This Row],[Order Date]])</f>
        <v>9</v>
      </c>
      <c r="D1078" s="8" t="str">
        <f>TEXT(Sales_data[[#This Row],[Order Date]],"mmm")</f>
        <v>Sep</v>
      </c>
      <c r="E1078" t="s">
        <v>14</v>
      </c>
      <c r="F1078" t="s">
        <v>28</v>
      </c>
      <c r="G1078" t="s">
        <v>32</v>
      </c>
      <c r="H1078" t="s">
        <v>39</v>
      </c>
      <c r="I1078" t="s">
        <v>48</v>
      </c>
      <c r="J1078" s="7">
        <v>567.47</v>
      </c>
      <c r="K1078" s="8">
        <v>2</v>
      </c>
      <c r="L1078" s="7">
        <v>207.84</v>
      </c>
    </row>
    <row r="1079" spans="1:12" x14ac:dyDescent="0.2">
      <c r="A1079" s="2">
        <v>42271</v>
      </c>
      <c r="B1079" s="8">
        <f>YEAR(Sales_data[[#This Row],[Order Date]])</f>
        <v>2015</v>
      </c>
      <c r="C1079" s="8">
        <f>MONTH(Sales_data[[#This Row],[Order Date]])</f>
        <v>9</v>
      </c>
      <c r="D1079" s="8" t="str">
        <f>TEXT(Sales_data[[#This Row],[Order Date]],"mmm")</f>
        <v>Sep</v>
      </c>
      <c r="E1079" t="s">
        <v>13</v>
      </c>
      <c r="F1079" t="s">
        <v>25</v>
      </c>
      <c r="G1079" t="s">
        <v>32</v>
      </c>
      <c r="H1079" t="s">
        <v>43</v>
      </c>
      <c r="I1079" t="s">
        <v>49</v>
      </c>
      <c r="J1079" s="7">
        <v>1873.34</v>
      </c>
      <c r="K1079" s="8">
        <v>7</v>
      </c>
      <c r="L1079" s="7">
        <v>238.28</v>
      </c>
    </row>
    <row r="1080" spans="1:12" x14ac:dyDescent="0.2">
      <c r="A1080" s="2">
        <v>42271</v>
      </c>
      <c r="B1080" s="8">
        <f>YEAR(Sales_data[[#This Row],[Order Date]])</f>
        <v>2015</v>
      </c>
      <c r="C1080" s="8">
        <f>MONTH(Sales_data[[#This Row],[Order Date]])</f>
        <v>9</v>
      </c>
      <c r="D1080" s="8" t="str">
        <f>TEXT(Sales_data[[#This Row],[Order Date]],"mmm")</f>
        <v>Sep</v>
      </c>
      <c r="E1080" t="s">
        <v>17</v>
      </c>
      <c r="F1080" t="s">
        <v>30</v>
      </c>
      <c r="G1080" t="s">
        <v>33</v>
      </c>
      <c r="H1080" t="s">
        <v>41</v>
      </c>
      <c r="I1080" t="s">
        <v>48</v>
      </c>
      <c r="J1080" s="7">
        <v>1788.36</v>
      </c>
      <c r="K1080" s="8">
        <v>7</v>
      </c>
      <c r="L1080" s="7">
        <v>386.6</v>
      </c>
    </row>
    <row r="1081" spans="1:12" x14ac:dyDescent="0.2">
      <c r="A1081" s="2">
        <v>42272</v>
      </c>
      <c r="B1081" s="8">
        <f>YEAR(Sales_data[[#This Row],[Order Date]])</f>
        <v>2015</v>
      </c>
      <c r="C1081" s="8">
        <f>MONTH(Sales_data[[#This Row],[Order Date]])</f>
        <v>9</v>
      </c>
      <c r="D1081" s="8" t="str">
        <f>TEXT(Sales_data[[#This Row],[Order Date]],"mmm")</f>
        <v>Sep</v>
      </c>
      <c r="E1081" t="s">
        <v>14</v>
      </c>
      <c r="F1081" t="s">
        <v>29</v>
      </c>
      <c r="G1081" t="s">
        <v>32</v>
      </c>
      <c r="H1081" t="s">
        <v>41</v>
      </c>
      <c r="I1081" t="s">
        <v>49</v>
      </c>
      <c r="J1081" s="7">
        <v>209.73</v>
      </c>
      <c r="K1081" s="8">
        <v>9</v>
      </c>
      <c r="L1081" s="7">
        <v>-124.46</v>
      </c>
    </row>
    <row r="1082" spans="1:12" x14ac:dyDescent="0.2">
      <c r="A1082" s="2">
        <v>42277</v>
      </c>
      <c r="B1082" s="8">
        <f>YEAR(Sales_data[[#This Row],[Order Date]])</f>
        <v>2015</v>
      </c>
      <c r="C1082" s="8">
        <f>MONTH(Sales_data[[#This Row],[Order Date]])</f>
        <v>9</v>
      </c>
      <c r="D1082" s="8" t="str">
        <f>TEXT(Sales_data[[#This Row],[Order Date]],"mmm")</f>
        <v>Sep</v>
      </c>
      <c r="E1082" t="s">
        <v>9</v>
      </c>
      <c r="F1082" t="s">
        <v>24</v>
      </c>
      <c r="G1082" t="s">
        <v>33</v>
      </c>
      <c r="H1082" t="s">
        <v>41</v>
      </c>
      <c r="I1082" t="s">
        <v>45</v>
      </c>
      <c r="J1082" s="7">
        <v>1145.42</v>
      </c>
      <c r="K1082" s="8">
        <v>7</v>
      </c>
      <c r="L1082" s="7">
        <v>-170.12</v>
      </c>
    </row>
    <row r="1083" spans="1:12" x14ac:dyDescent="0.2">
      <c r="A1083" s="2">
        <v>42277</v>
      </c>
      <c r="B1083" s="8">
        <f>YEAR(Sales_data[[#This Row],[Order Date]])</f>
        <v>2015</v>
      </c>
      <c r="C1083" s="8">
        <f>MONTH(Sales_data[[#This Row],[Order Date]])</f>
        <v>9</v>
      </c>
      <c r="D1083" s="8" t="str">
        <f>TEXT(Sales_data[[#This Row],[Order Date]],"mmm")</f>
        <v>Sep</v>
      </c>
      <c r="E1083" t="s">
        <v>11</v>
      </c>
      <c r="F1083" t="s">
        <v>27</v>
      </c>
      <c r="G1083" t="s">
        <v>32</v>
      </c>
      <c r="H1083" t="s">
        <v>43</v>
      </c>
      <c r="I1083" t="s">
        <v>53</v>
      </c>
      <c r="J1083" s="7">
        <v>288.44</v>
      </c>
      <c r="K1083" s="8">
        <v>2</v>
      </c>
      <c r="L1083" s="7">
        <v>-14.13</v>
      </c>
    </row>
    <row r="1084" spans="1:12" x14ac:dyDescent="0.2">
      <c r="A1084" s="2">
        <v>42278</v>
      </c>
      <c r="B1084" s="8">
        <f>YEAR(Sales_data[[#This Row],[Order Date]])</f>
        <v>2015</v>
      </c>
      <c r="C1084" s="8">
        <f>MONTH(Sales_data[[#This Row],[Order Date]])</f>
        <v>10</v>
      </c>
      <c r="D1084" s="8" t="str">
        <f>TEXT(Sales_data[[#This Row],[Order Date]],"mmm")</f>
        <v>Oct</v>
      </c>
      <c r="E1084" t="s">
        <v>21</v>
      </c>
      <c r="F1084" t="s">
        <v>30</v>
      </c>
      <c r="G1084" t="s">
        <v>34</v>
      </c>
      <c r="H1084" t="s">
        <v>39</v>
      </c>
      <c r="I1084" t="s">
        <v>50</v>
      </c>
      <c r="J1084" s="7">
        <v>1007.23</v>
      </c>
      <c r="K1084" s="8">
        <v>9</v>
      </c>
      <c r="L1084" s="7">
        <v>330.03</v>
      </c>
    </row>
    <row r="1085" spans="1:12" x14ac:dyDescent="0.2">
      <c r="A1085" s="2">
        <v>42278</v>
      </c>
      <c r="B1085" s="8">
        <f>YEAR(Sales_data[[#This Row],[Order Date]])</f>
        <v>2015</v>
      </c>
      <c r="C1085" s="8">
        <f>MONTH(Sales_data[[#This Row],[Order Date]])</f>
        <v>10</v>
      </c>
      <c r="D1085" s="8" t="str">
        <f>TEXT(Sales_data[[#This Row],[Order Date]],"mmm")</f>
        <v>Oct</v>
      </c>
      <c r="E1085" t="s">
        <v>10</v>
      </c>
      <c r="F1085" t="s">
        <v>25</v>
      </c>
      <c r="G1085" t="s">
        <v>32</v>
      </c>
      <c r="H1085" t="s">
        <v>41</v>
      </c>
      <c r="I1085" t="s">
        <v>45</v>
      </c>
      <c r="J1085" s="7">
        <v>490</v>
      </c>
      <c r="K1085" s="8">
        <v>5</v>
      </c>
      <c r="L1085" s="7">
        <v>251.81</v>
      </c>
    </row>
    <row r="1086" spans="1:12" x14ac:dyDescent="0.2">
      <c r="A1086" s="2">
        <v>42281</v>
      </c>
      <c r="B1086" s="8">
        <f>YEAR(Sales_data[[#This Row],[Order Date]])</f>
        <v>2015</v>
      </c>
      <c r="C1086" s="8">
        <f>MONTH(Sales_data[[#This Row],[Order Date]])</f>
        <v>10</v>
      </c>
      <c r="D1086" s="8" t="str">
        <f>TEXT(Sales_data[[#This Row],[Order Date]],"mmm")</f>
        <v>Oct</v>
      </c>
      <c r="E1086" t="s">
        <v>18</v>
      </c>
      <c r="F1086" t="s">
        <v>23</v>
      </c>
      <c r="G1086" t="s">
        <v>32</v>
      </c>
      <c r="H1086" t="s">
        <v>40</v>
      </c>
      <c r="I1086" t="s">
        <v>51</v>
      </c>
      <c r="J1086" s="7">
        <v>1521.38</v>
      </c>
      <c r="K1086" s="8">
        <v>2</v>
      </c>
      <c r="L1086" s="7">
        <v>336.27</v>
      </c>
    </row>
    <row r="1087" spans="1:12" x14ac:dyDescent="0.2">
      <c r="A1087" s="2">
        <v>42281</v>
      </c>
      <c r="B1087" s="8">
        <f>YEAR(Sales_data[[#This Row],[Order Date]])</f>
        <v>2015</v>
      </c>
      <c r="C1087" s="8">
        <f>MONTH(Sales_data[[#This Row],[Order Date]])</f>
        <v>10</v>
      </c>
      <c r="D1087" s="8" t="str">
        <f>TEXT(Sales_data[[#This Row],[Order Date]],"mmm")</f>
        <v>Oct</v>
      </c>
      <c r="E1087" t="s">
        <v>13</v>
      </c>
      <c r="F1087" t="s">
        <v>25</v>
      </c>
      <c r="G1087" t="s">
        <v>32</v>
      </c>
      <c r="H1087" t="s">
        <v>37</v>
      </c>
      <c r="I1087" t="s">
        <v>48</v>
      </c>
      <c r="J1087" s="7">
        <v>1007.78</v>
      </c>
      <c r="K1087" s="8">
        <v>5</v>
      </c>
      <c r="L1087" s="7">
        <v>214.48</v>
      </c>
    </row>
    <row r="1088" spans="1:12" x14ac:dyDescent="0.2">
      <c r="A1088" s="2">
        <v>42282</v>
      </c>
      <c r="B1088" s="8">
        <f>YEAR(Sales_data[[#This Row],[Order Date]])</f>
        <v>2015</v>
      </c>
      <c r="C1088" s="8">
        <f>MONTH(Sales_data[[#This Row],[Order Date]])</f>
        <v>10</v>
      </c>
      <c r="D1088" s="8" t="str">
        <f>TEXT(Sales_data[[#This Row],[Order Date]],"mmm")</f>
        <v>Oct</v>
      </c>
      <c r="E1088" t="s">
        <v>9</v>
      </c>
      <c r="F1088" t="s">
        <v>30</v>
      </c>
      <c r="G1088" t="s">
        <v>34</v>
      </c>
      <c r="H1088" t="s">
        <v>43</v>
      </c>
      <c r="I1088" t="s">
        <v>51</v>
      </c>
      <c r="J1088" s="7">
        <v>1944.47</v>
      </c>
      <c r="K1088" s="8">
        <v>8</v>
      </c>
      <c r="L1088" s="7">
        <v>299.74</v>
      </c>
    </row>
    <row r="1089" spans="1:12" x14ac:dyDescent="0.2">
      <c r="A1089" s="2">
        <v>42283</v>
      </c>
      <c r="B1089" s="8">
        <f>YEAR(Sales_data[[#This Row],[Order Date]])</f>
        <v>2015</v>
      </c>
      <c r="C1089" s="8">
        <f>MONTH(Sales_data[[#This Row],[Order Date]])</f>
        <v>10</v>
      </c>
      <c r="D1089" s="8" t="str">
        <f>TEXT(Sales_data[[#This Row],[Order Date]],"mmm")</f>
        <v>Oct</v>
      </c>
      <c r="E1089" t="s">
        <v>10</v>
      </c>
      <c r="F1089" t="s">
        <v>22</v>
      </c>
      <c r="G1089" t="s">
        <v>34</v>
      </c>
      <c r="H1089" t="s">
        <v>42</v>
      </c>
      <c r="I1089" t="s">
        <v>51</v>
      </c>
      <c r="J1089" s="7">
        <v>1441.75</v>
      </c>
      <c r="K1089" s="8">
        <v>5</v>
      </c>
      <c r="L1089" s="7">
        <v>19.43</v>
      </c>
    </row>
    <row r="1090" spans="1:12" x14ac:dyDescent="0.2">
      <c r="A1090" s="2">
        <v>42283</v>
      </c>
      <c r="B1090" s="8">
        <f>YEAR(Sales_data[[#This Row],[Order Date]])</f>
        <v>2015</v>
      </c>
      <c r="C1090" s="8">
        <f>MONTH(Sales_data[[#This Row],[Order Date]])</f>
        <v>10</v>
      </c>
      <c r="D1090" s="8" t="str">
        <f>TEXT(Sales_data[[#This Row],[Order Date]],"mmm")</f>
        <v>Oct</v>
      </c>
      <c r="E1090" t="s">
        <v>11</v>
      </c>
      <c r="F1090" t="s">
        <v>28</v>
      </c>
      <c r="G1090" t="s">
        <v>32</v>
      </c>
      <c r="H1090" t="s">
        <v>35</v>
      </c>
      <c r="I1090" t="s">
        <v>45</v>
      </c>
      <c r="J1090" s="7">
        <v>1393.68</v>
      </c>
      <c r="K1090" s="8">
        <v>5</v>
      </c>
      <c r="L1090" s="7">
        <v>-58.5</v>
      </c>
    </row>
    <row r="1091" spans="1:12" x14ac:dyDescent="0.2">
      <c r="A1091" s="2">
        <v>42283</v>
      </c>
      <c r="B1091" s="8">
        <f>YEAR(Sales_data[[#This Row],[Order Date]])</f>
        <v>2015</v>
      </c>
      <c r="C1091" s="8">
        <f>MONTH(Sales_data[[#This Row],[Order Date]])</f>
        <v>10</v>
      </c>
      <c r="D1091" s="8" t="str">
        <f>TEXT(Sales_data[[#This Row],[Order Date]],"mmm")</f>
        <v>Oct</v>
      </c>
      <c r="E1091" t="s">
        <v>16</v>
      </c>
      <c r="F1091" t="s">
        <v>27</v>
      </c>
      <c r="G1091" t="s">
        <v>32</v>
      </c>
      <c r="H1091" t="s">
        <v>39</v>
      </c>
      <c r="I1091" t="s">
        <v>47</v>
      </c>
      <c r="J1091" s="7">
        <v>529.79</v>
      </c>
      <c r="K1091" s="8">
        <v>2</v>
      </c>
      <c r="L1091" s="7">
        <v>-173.39</v>
      </c>
    </row>
    <row r="1092" spans="1:12" x14ac:dyDescent="0.2">
      <c r="A1092" s="2">
        <v>42284</v>
      </c>
      <c r="B1092" s="8">
        <f>YEAR(Sales_data[[#This Row],[Order Date]])</f>
        <v>2015</v>
      </c>
      <c r="C1092" s="8">
        <f>MONTH(Sales_data[[#This Row],[Order Date]])</f>
        <v>10</v>
      </c>
      <c r="D1092" s="8" t="str">
        <f>TEXT(Sales_data[[#This Row],[Order Date]],"mmm")</f>
        <v>Oct</v>
      </c>
      <c r="E1092" t="s">
        <v>12</v>
      </c>
      <c r="F1092" t="s">
        <v>28</v>
      </c>
      <c r="G1092" t="s">
        <v>33</v>
      </c>
      <c r="H1092" t="s">
        <v>35</v>
      </c>
      <c r="I1092" t="s">
        <v>44</v>
      </c>
      <c r="J1092" s="7">
        <v>1570.28</v>
      </c>
      <c r="K1092" s="8">
        <v>2</v>
      </c>
      <c r="L1092" s="7">
        <v>-175.88</v>
      </c>
    </row>
    <row r="1093" spans="1:12" x14ac:dyDescent="0.2">
      <c r="A1093" s="2">
        <v>42286</v>
      </c>
      <c r="B1093" s="8">
        <f>YEAR(Sales_data[[#This Row],[Order Date]])</f>
        <v>2015</v>
      </c>
      <c r="C1093" s="8">
        <f>MONTH(Sales_data[[#This Row],[Order Date]])</f>
        <v>10</v>
      </c>
      <c r="D1093" s="8" t="str">
        <f>TEXT(Sales_data[[#This Row],[Order Date]],"mmm")</f>
        <v>Oct</v>
      </c>
      <c r="E1093" t="s">
        <v>19</v>
      </c>
      <c r="F1093" t="s">
        <v>29</v>
      </c>
      <c r="G1093" t="s">
        <v>33</v>
      </c>
      <c r="H1093" t="s">
        <v>35</v>
      </c>
      <c r="I1093" t="s">
        <v>53</v>
      </c>
      <c r="J1093" s="7">
        <v>57.2</v>
      </c>
      <c r="K1093" s="8">
        <v>1</v>
      </c>
      <c r="L1093" s="7">
        <v>125.97</v>
      </c>
    </row>
    <row r="1094" spans="1:12" x14ac:dyDescent="0.2">
      <c r="A1094" s="2">
        <v>42287</v>
      </c>
      <c r="B1094" s="8">
        <f>YEAR(Sales_data[[#This Row],[Order Date]])</f>
        <v>2015</v>
      </c>
      <c r="C1094" s="8">
        <f>MONTH(Sales_data[[#This Row],[Order Date]])</f>
        <v>10</v>
      </c>
      <c r="D1094" s="8" t="str">
        <f>TEXT(Sales_data[[#This Row],[Order Date]],"mmm")</f>
        <v>Oct</v>
      </c>
      <c r="E1094" t="s">
        <v>21</v>
      </c>
      <c r="F1094" t="s">
        <v>27</v>
      </c>
      <c r="G1094" t="s">
        <v>32</v>
      </c>
      <c r="H1094" t="s">
        <v>37</v>
      </c>
      <c r="I1094" t="s">
        <v>53</v>
      </c>
      <c r="J1094" s="7">
        <v>1452.49</v>
      </c>
      <c r="K1094" s="8">
        <v>9</v>
      </c>
      <c r="L1094" s="7">
        <v>313.19</v>
      </c>
    </row>
    <row r="1095" spans="1:12" x14ac:dyDescent="0.2">
      <c r="A1095" s="2">
        <v>42287</v>
      </c>
      <c r="B1095" s="8">
        <f>YEAR(Sales_data[[#This Row],[Order Date]])</f>
        <v>2015</v>
      </c>
      <c r="C1095" s="8">
        <f>MONTH(Sales_data[[#This Row],[Order Date]])</f>
        <v>10</v>
      </c>
      <c r="D1095" s="8" t="str">
        <f>TEXT(Sales_data[[#This Row],[Order Date]],"mmm")</f>
        <v>Oct</v>
      </c>
      <c r="E1095" t="s">
        <v>11</v>
      </c>
      <c r="F1095" t="s">
        <v>25</v>
      </c>
      <c r="G1095" t="s">
        <v>34</v>
      </c>
      <c r="H1095" t="s">
        <v>39</v>
      </c>
      <c r="I1095" t="s">
        <v>47</v>
      </c>
      <c r="J1095" s="7">
        <v>676.12</v>
      </c>
      <c r="K1095" s="8">
        <v>3</v>
      </c>
      <c r="L1095" s="7">
        <v>287.19</v>
      </c>
    </row>
    <row r="1096" spans="1:12" x14ac:dyDescent="0.2">
      <c r="A1096" s="2">
        <v>42288</v>
      </c>
      <c r="B1096" s="8">
        <f>YEAR(Sales_data[[#This Row],[Order Date]])</f>
        <v>2015</v>
      </c>
      <c r="C1096" s="8">
        <f>MONTH(Sales_data[[#This Row],[Order Date]])</f>
        <v>10</v>
      </c>
      <c r="D1096" s="8" t="str">
        <f>TEXT(Sales_data[[#This Row],[Order Date]],"mmm")</f>
        <v>Oct</v>
      </c>
      <c r="E1096" t="s">
        <v>19</v>
      </c>
      <c r="F1096" t="s">
        <v>27</v>
      </c>
      <c r="G1096" t="s">
        <v>33</v>
      </c>
      <c r="H1096" t="s">
        <v>41</v>
      </c>
      <c r="I1096" t="s">
        <v>44</v>
      </c>
      <c r="J1096" s="7">
        <v>533.13</v>
      </c>
      <c r="K1096" s="8">
        <v>1</v>
      </c>
      <c r="L1096" s="7">
        <v>192.68</v>
      </c>
    </row>
    <row r="1097" spans="1:12" x14ac:dyDescent="0.2">
      <c r="A1097" s="2">
        <v>42289</v>
      </c>
      <c r="B1097" s="8">
        <f>YEAR(Sales_data[[#This Row],[Order Date]])</f>
        <v>2015</v>
      </c>
      <c r="C1097" s="8">
        <f>MONTH(Sales_data[[#This Row],[Order Date]])</f>
        <v>10</v>
      </c>
      <c r="D1097" s="8" t="str">
        <f>TEXT(Sales_data[[#This Row],[Order Date]],"mmm")</f>
        <v>Oct</v>
      </c>
      <c r="E1097" t="s">
        <v>19</v>
      </c>
      <c r="F1097" t="s">
        <v>31</v>
      </c>
      <c r="G1097" t="s">
        <v>33</v>
      </c>
      <c r="H1097" t="s">
        <v>36</v>
      </c>
      <c r="I1097" t="s">
        <v>47</v>
      </c>
      <c r="J1097" s="7">
        <v>618.1</v>
      </c>
      <c r="K1097" s="8">
        <v>6</v>
      </c>
      <c r="L1097" s="7">
        <v>214.81</v>
      </c>
    </row>
    <row r="1098" spans="1:12" x14ac:dyDescent="0.2">
      <c r="A1098" s="2">
        <v>42290</v>
      </c>
      <c r="B1098" s="8">
        <f>YEAR(Sales_data[[#This Row],[Order Date]])</f>
        <v>2015</v>
      </c>
      <c r="C1098" s="8">
        <f>MONTH(Sales_data[[#This Row],[Order Date]])</f>
        <v>10</v>
      </c>
      <c r="D1098" s="8" t="str">
        <f>TEXT(Sales_data[[#This Row],[Order Date]],"mmm")</f>
        <v>Oct</v>
      </c>
      <c r="E1098" t="s">
        <v>12</v>
      </c>
      <c r="F1098" t="s">
        <v>28</v>
      </c>
      <c r="G1098" t="s">
        <v>32</v>
      </c>
      <c r="H1098" t="s">
        <v>37</v>
      </c>
      <c r="I1098" t="s">
        <v>47</v>
      </c>
      <c r="J1098" s="7">
        <v>286.52999999999997</v>
      </c>
      <c r="K1098" s="8">
        <v>6</v>
      </c>
      <c r="L1098" s="7">
        <v>28.95</v>
      </c>
    </row>
    <row r="1099" spans="1:12" x14ac:dyDescent="0.2">
      <c r="A1099" s="2">
        <v>42290</v>
      </c>
      <c r="B1099" s="8">
        <f>YEAR(Sales_data[[#This Row],[Order Date]])</f>
        <v>2015</v>
      </c>
      <c r="C1099" s="8">
        <f>MONTH(Sales_data[[#This Row],[Order Date]])</f>
        <v>10</v>
      </c>
      <c r="D1099" s="8" t="str">
        <f>TEXT(Sales_data[[#This Row],[Order Date]],"mmm")</f>
        <v>Oct</v>
      </c>
      <c r="E1099" t="s">
        <v>20</v>
      </c>
      <c r="F1099" t="s">
        <v>26</v>
      </c>
      <c r="G1099" t="s">
        <v>33</v>
      </c>
      <c r="H1099" t="s">
        <v>43</v>
      </c>
      <c r="I1099" t="s">
        <v>50</v>
      </c>
      <c r="J1099" s="7">
        <v>1550.13</v>
      </c>
      <c r="K1099" s="8">
        <v>7</v>
      </c>
      <c r="L1099" s="7">
        <v>-198.44</v>
      </c>
    </row>
    <row r="1100" spans="1:12" x14ac:dyDescent="0.2">
      <c r="A1100" s="2">
        <v>42291</v>
      </c>
      <c r="B1100" s="8">
        <f>YEAR(Sales_data[[#This Row],[Order Date]])</f>
        <v>2015</v>
      </c>
      <c r="C1100" s="8">
        <f>MONTH(Sales_data[[#This Row],[Order Date]])</f>
        <v>10</v>
      </c>
      <c r="D1100" s="8" t="str">
        <f>TEXT(Sales_data[[#This Row],[Order Date]],"mmm")</f>
        <v>Oct</v>
      </c>
      <c r="E1100" t="s">
        <v>14</v>
      </c>
      <c r="F1100" t="s">
        <v>31</v>
      </c>
      <c r="G1100" t="s">
        <v>33</v>
      </c>
      <c r="H1100" t="s">
        <v>41</v>
      </c>
      <c r="I1100" t="s">
        <v>52</v>
      </c>
      <c r="J1100" s="7">
        <v>996.68</v>
      </c>
      <c r="K1100" s="8">
        <v>5</v>
      </c>
      <c r="L1100" s="7">
        <v>-188.22</v>
      </c>
    </row>
    <row r="1101" spans="1:12" x14ac:dyDescent="0.2">
      <c r="A1101" s="2">
        <v>42291</v>
      </c>
      <c r="B1101" s="8">
        <f>YEAR(Sales_data[[#This Row],[Order Date]])</f>
        <v>2015</v>
      </c>
      <c r="C1101" s="8">
        <f>MONTH(Sales_data[[#This Row],[Order Date]])</f>
        <v>10</v>
      </c>
      <c r="D1101" s="8" t="str">
        <f>TEXT(Sales_data[[#This Row],[Order Date]],"mmm")</f>
        <v>Oct</v>
      </c>
      <c r="E1101" t="s">
        <v>15</v>
      </c>
      <c r="F1101" t="s">
        <v>26</v>
      </c>
      <c r="G1101" t="s">
        <v>32</v>
      </c>
      <c r="H1101" t="s">
        <v>36</v>
      </c>
      <c r="I1101" t="s">
        <v>52</v>
      </c>
      <c r="J1101" s="7">
        <v>176.96</v>
      </c>
      <c r="K1101" s="8">
        <v>4</v>
      </c>
      <c r="L1101" s="7">
        <v>-83.82</v>
      </c>
    </row>
    <row r="1102" spans="1:12" x14ac:dyDescent="0.2">
      <c r="A1102" s="2">
        <v>42292</v>
      </c>
      <c r="B1102" s="8">
        <f>YEAR(Sales_data[[#This Row],[Order Date]])</f>
        <v>2015</v>
      </c>
      <c r="C1102" s="8">
        <f>MONTH(Sales_data[[#This Row],[Order Date]])</f>
        <v>10</v>
      </c>
      <c r="D1102" s="8" t="str">
        <f>TEXT(Sales_data[[#This Row],[Order Date]],"mmm")</f>
        <v>Oct</v>
      </c>
      <c r="E1102" t="s">
        <v>17</v>
      </c>
      <c r="F1102" t="s">
        <v>26</v>
      </c>
      <c r="G1102" t="s">
        <v>33</v>
      </c>
      <c r="H1102" t="s">
        <v>37</v>
      </c>
      <c r="I1102" t="s">
        <v>53</v>
      </c>
      <c r="J1102" s="7">
        <v>263.08999999999997</v>
      </c>
      <c r="K1102" s="8">
        <v>9</v>
      </c>
      <c r="L1102" s="7">
        <v>-156.87</v>
      </c>
    </row>
    <row r="1103" spans="1:12" x14ac:dyDescent="0.2">
      <c r="A1103" s="2">
        <v>42294</v>
      </c>
      <c r="B1103" s="8">
        <f>YEAR(Sales_data[[#This Row],[Order Date]])</f>
        <v>2015</v>
      </c>
      <c r="C1103" s="8">
        <f>MONTH(Sales_data[[#This Row],[Order Date]])</f>
        <v>10</v>
      </c>
      <c r="D1103" s="8" t="str">
        <f>TEXT(Sales_data[[#This Row],[Order Date]],"mmm")</f>
        <v>Oct</v>
      </c>
      <c r="E1103" t="s">
        <v>12</v>
      </c>
      <c r="F1103" t="s">
        <v>25</v>
      </c>
      <c r="G1103" t="s">
        <v>33</v>
      </c>
      <c r="H1103" t="s">
        <v>36</v>
      </c>
      <c r="I1103" t="s">
        <v>46</v>
      </c>
      <c r="J1103" s="7">
        <v>584.98</v>
      </c>
      <c r="K1103" s="8">
        <v>1</v>
      </c>
      <c r="L1103" s="7">
        <v>192.21</v>
      </c>
    </row>
    <row r="1104" spans="1:12" x14ac:dyDescent="0.2">
      <c r="A1104" s="2">
        <v>42294</v>
      </c>
      <c r="B1104" s="8">
        <f>YEAR(Sales_data[[#This Row],[Order Date]])</f>
        <v>2015</v>
      </c>
      <c r="C1104" s="8">
        <f>MONTH(Sales_data[[#This Row],[Order Date]])</f>
        <v>10</v>
      </c>
      <c r="D1104" s="8" t="str">
        <f>TEXT(Sales_data[[#This Row],[Order Date]],"mmm")</f>
        <v>Oct</v>
      </c>
      <c r="E1104" t="s">
        <v>18</v>
      </c>
      <c r="F1104" t="s">
        <v>25</v>
      </c>
      <c r="G1104" t="s">
        <v>34</v>
      </c>
      <c r="H1104" t="s">
        <v>37</v>
      </c>
      <c r="I1104" t="s">
        <v>47</v>
      </c>
      <c r="J1104" s="7">
        <v>353.49</v>
      </c>
      <c r="K1104" s="8">
        <v>2</v>
      </c>
      <c r="L1104" s="7">
        <v>-168.8</v>
      </c>
    </row>
    <row r="1105" spans="1:12" x14ac:dyDescent="0.2">
      <c r="A1105" s="2">
        <v>42294</v>
      </c>
      <c r="B1105" s="8">
        <f>YEAR(Sales_data[[#This Row],[Order Date]])</f>
        <v>2015</v>
      </c>
      <c r="C1105" s="8">
        <f>MONTH(Sales_data[[#This Row],[Order Date]])</f>
        <v>10</v>
      </c>
      <c r="D1105" s="8" t="str">
        <f>TEXT(Sales_data[[#This Row],[Order Date]],"mmm")</f>
        <v>Oct</v>
      </c>
      <c r="E1105" t="s">
        <v>20</v>
      </c>
      <c r="F1105" t="s">
        <v>22</v>
      </c>
      <c r="G1105" t="s">
        <v>34</v>
      </c>
      <c r="H1105" t="s">
        <v>42</v>
      </c>
      <c r="I1105" t="s">
        <v>49</v>
      </c>
      <c r="J1105" s="7">
        <v>396.36</v>
      </c>
      <c r="K1105" s="8">
        <v>6</v>
      </c>
      <c r="L1105" s="7">
        <v>383.74</v>
      </c>
    </row>
    <row r="1106" spans="1:12" x14ac:dyDescent="0.2">
      <c r="A1106" s="2">
        <v>42295</v>
      </c>
      <c r="B1106" s="8">
        <f>YEAR(Sales_data[[#This Row],[Order Date]])</f>
        <v>2015</v>
      </c>
      <c r="C1106" s="8">
        <f>MONTH(Sales_data[[#This Row],[Order Date]])</f>
        <v>10</v>
      </c>
      <c r="D1106" s="8" t="str">
        <f>TEXT(Sales_data[[#This Row],[Order Date]],"mmm")</f>
        <v>Oct</v>
      </c>
      <c r="E1106" t="s">
        <v>9</v>
      </c>
      <c r="F1106" t="s">
        <v>22</v>
      </c>
      <c r="G1106" t="s">
        <v>32</v>
      </c>
      <c r="H1106" t="s">
        <v>36</v>
      </c>
      <c r="I1106" t="s">
        <v>53</v>
      </c>
      <c r="J1106" s="7">
        <v>1393.51</v>
      </c>
      <c r="K1106" s="8">
        <v>6</v>
      </c>
      <c r="L1106" s="7">
        <v>159.57</v>
      </c>
    </row>
    <row r="1107" spans="1:12" x14ac:dyDescent="0.2">
      <c r="A1107" s="2">
        <v>42295</v>
      </c>
      <c r="B1107" s="8">
        <f>YEAR(Sales_data[[#This Row],[Order Date]])</f>
        <v>2015</v>
      </c>
      <c r="C1107" s="8">
        <f>MONTH(Sales_data[[#This Row],[Order Date]])</f>
        <v>10</v>
      </c>
      <c r="D1107" s="8" t="str">
        <f>TEXT(Sales_data[[#This Row],[Order Date]],"mmm")</f>
        <v>Oct</v>
      </c>
      <c r="E1107" t="s">
        <v>21</v>
      </c>
      <c r="F1107" t="s">
        <v>22</v>
      </c>
      <c r="G1107" t="s">
        <v>34</v>
      </c>
      <c r="H1107" t="s">
        <v>38</v>
      </c>
      <c r="I1107" t="s">
        <v>53</v>
      </c>
      <c r="J1107" s="7">
        <v>576.86</v>
      </c>
      <c r="K1107" s="8">
        <v>1</v>
      </c>
      <c r="L1107" s="7">
        <v>320.07</v>
      </c>
    </row>
    <row r="1108" spans="1:12" x14ac:dyDescent="0.2">
      <c r="A1108" s="2">
        <v>42295</v>
      </c>
      <c r="B1108" s="8">
        <f>YEAR(Sales_data[[#This Row],[Order Date]])</f>
        <v>2015</v>
      </c>
      <c r="C1108" s="8">
        <f>MONTH(Sales_data[[#This Row],[Order Date]])</f>
        <v>10</v>
      </c>
      <c r="D1108" s="8" t="str">
        <f>TEXT(Sales_data[[#This Row],[Order Date]],"mmm")</f>
        <v>Oct</v>
      </c>
      <c r="E1108" t="s">
        <v>15</v>
      </c>
      <c r="F1108" t="s">
        <v>27</v>
      </c>
      <c r="G1108" t="s">
        <v>32</v>
      </c>
      <c r="H1108" t="s">
        <v>42</v>
      </c>
      <c r="I1108" t="s">
        <v>49</v>
      </c>
      <c r="J1108" s="7">
        <v>696.13</v>
      </c>
      <c r="K1108" s="8">
        <v>4</v>
      </c>
      <c r="L1108" s="7">
        <v>247.35</v>
      </c>
    </row>
    <row r="1109" spans="1:12" x14ac:dyDescent="0.2">
      <c r="A1109" s="2">
        <v>42296</v>
      </c>
      <c r="B1109" s="8">
        <f>YEAR(Sales_data[[#This Row],[Order Date]])</f>
        <v>2015</v>
      </c>
      <c r="C1109" s="8">
        <f>MONTH(Sales_data[[#This Row],[Order Date]])</f>
        <v>10</v>
      </c>
      <c r="D1109" s="8" t="str">
        <f>TEXT(Sales_data[[#This Row],[Order Date]],"mmm")</f>
        <v>Oct</v>
      </c>
      <c r="E1109" t="s">
        <v>17</v>
      </c>
      <c r="F1109" t="s">
        <v>28</v>
      </c>
      <c r="G1109" t="s">
        <v>34</v>
      </c>
      <c r="H1109" t="s">
        <v>36</v>
      </c>
      <c r="I1109" t="s">
        <v>44</v>
      </c>
      <c r="J1109" s="7">
        <v>1586</v>
      </c>
      <c r="K1109" s="8">
        <v>3</v>
      </c>
      <c r="L1109" s="7">
        <v>-58.55</v>
      </c>
    </row>
    <row r="1110" spans="1:12" x14ac:dyDescent="0.2">
      <c r="A1110" s="2">
        <v>42296</v>
      </c>
      <c r="B1110" s="8">
        <f>YEAR(Sales_data[[#This Row],[Order Date]])</f>
        <v>2015</v>
      </c>
      <c r="C1110" s="8">
        <f>MONTH(Sales_data[[#This Row],[Order Date]])</f>
        <v>10</v>
      </c>
      <c r="D1110" s="8" t="str">
        <f>TEXT(Sales_data[[#This Row],[Order Date]],"mmm")</f>
        <v>Oct</v>
      </c>
      <c r="E1110" t="s">
        <v>14</v>
      </c>
      <c r="F1110" t="s">
        <v>28</v>
      </c>
      <c r="G1110" t="s">
        <v>33</v>
      </c>
      <c r="H1110" t="s">
        <v>41</v>
      </c>
      <c r="I1110" t="s">
        <v>50</v>
      </c>
      <c r="J1110" s="7">
        <v>1714.01</v>
      </c>
      <c r="K1110" s="8">
        <v>3</v>
      </c>
      <c r="L1110" s="7">
        <v>6.71</v>
      </c>
    </row>
    <row r="1111" spans="1:12" x14ac:dyDescent="0.2">
      <c r="A1111" s="2">
        <v>42297</v>
      </c>
      <c r="B1111" s="8">
        <f>YEAR(Sales_data[[#This Row],[Order Date]])</f>
        <v>2015</v>
      </c>
      <c r="C1111" s="8">
        <f>MONTH(Sales_data[[#This Row],[Order Date]])</f>
        <v>10</v>
      </c>
      <c r="D1111" s="8" t="str">
        <f>TEXT(Sales_data[[#This Row],[Order Date]],"mmm")</f>
        <v>Oct</v>
      </c>
      <c r="E1111" t="s">
        <v>14</v>
      </c>
      <c r="F1111" t="s">
        <v>23</v>
      </c>
      <c r="G1111" t="s">
        <v>32</v>
      </c>
      <c r="H1111" t="s">
        <v>36</v>
      </c>
      <c r="I1111" t="s">
        <v>48</v>
      </c>
      <c r="J1111" s="7">
        <v>1956.76</v>
      </c>
      <c r="K1111" s="8">
        <v>3</v>
      </c>
      <c r="L1111" s="7">
        <v>194.04</v>
      </c>
    </row>
    <row r="1112" spans="1:12" x14ac:dyDescent="0.2">
      <c r="A1112" s="2">
        <v>42299</v>
      </c>
      <c r="B1112" s="8">
        <f>YEAR(Sales_data[[#This Row],[Order Date]])</f>
        <v>2015</v>
      </c>
      <c r="C1112" s="8">
        <f>MONTH(Sales_data[[#This Row],[Order Date]])</f>
        <v>10</v>
      </c>
      <c r="D1112" s="8" t="str">
        <f>TEXT(Sales_data[[#This Row],[Order Date]],"mmm")</f>
        <v>Oct</v>
      </c>
      <c r="E1112" t="s">
        <v>17</v>
      </c>
      <c r="F1112" t="s">
        <v>23</v>
      </c>
      <c r="G1112" t="s">
        <v>32</v>
      </c>
      <c r="H1112" t="s">
        <v>43</v>
      </c>
      <c r="I1112" t="s">
        <v>47</v>
      </c>
      <c r="J1112" s="7">
        <v>186.16</v>
      </c>
      <c r="K1112" s="8">
        <v>8</v>
      </c>
      <c r="L1112" s="7">
        <v>391.86</v>
      </c>
    </row>
    <row r="1113" spans="1:12" x14ac:dyDescent="0.2">
      <c r="A1113" s="2">
        <v>42299</v>
      </c>
      <c r="B1113" s="8">
        <f>YEAR(Sales_data[[#This Row],[Order Date]])</f>
        <v>2015</v>
      </c>
      <c r="C1113" s="8">
        <f>MONTH(Sales_data[[#This Row],[Order Date]])</f>
        <v>10</v>
      </c>
      <c r="D1113" s="8" t="str">
        <f>TEXT(Sales_data[[#This Row],[Order Date]],"mmm")</f>
        <v>Oct</v>
      </c>
      <c r="E1113" t="s">
        <v>12</v>
      </c>
      <c r="F1113" t="s">
        <v>24</v>
      </c>
      <c r="G1113" t="s">
        <v>33</v>
      </c>
      <c r="H1113" t="s">
        <v>43</v>
      </c>
      <c r="I1113" t="s">
        <v>45</v>
      </c>
      <c r="J1113" s="7">
        <v>1366.85</v>
      </c>
      <c r="K1113" s="8">
        <v>7</v>
      </c>
      <c r="L1113" s="7">
        <v>210.02</v>
      </c>
    </row>
    <row r="1114" spans="1:12" x14ac:dyDescent="0.2">
      <c r="A1114" s="2">
        <v>42300</v>
      </c>
      <c r="B1114" s="8">
        <f>YEAR(Sales_data[[#This Row],[Order Date]])</f>
        <v>2015</v>
      </c>
      <c r="C1114" s="8">
        <f>MONTH(Sales_data[[#This Row],[Order Date]])</f>
        <v>10</v>
      </c>
      <c r="D1114" s="8" t="str">
        <f>TEXT(Sales_data[[#This Row],[Order Date]],"mmm")</f>
        <v>Oct</v>
      </c>
      <c r="E1114" t="s">
        <v>9</v>
      </c>
      <c r="F1114" t="s">
        <v>23</v>
      </c>
      <c r="G1114" t="s">
        <v>32</v>
      </c>
      <c r="H1114" t="s">
        <v>35</v>
      </c>
      <c r="I1114" t="s">
        <v>53</v>
      </c>
      <c r="J1114" s="7">
        <v>1610.18</v>
      </c>
      <c r="K1114" s="8">
        <v>5</v>
      </c>
      <c r="L1114" s="7">
        <v>-5.45</v>
      </c>
    </row>
    <row r="1115" spans="1:12" x14ac:dyDescent="0.2">
      <c r="A1115" s="2">
        <v>42301</v>
      </c>
      <c r="B1115" s="8">
        <f>YEAR(Sales_data[[#This Row],[Order Date]])</f>
        <v>2015</v>
      </c>
      <c r="C1115" s="8">
        <f>MONTH(Sales_data[[#This Row],[Order Date]])</f>
        <v>10</v>
      </c>
      <c r="D1115" s="8" t="str">
        <f>TEXT(Sales_data[[#This Row],[Order Date]],"mmm")</f>
        <v>Oct</v>
      </c>
      <c r="E1115" t="s">
        <v>11</v>
      </c>
      <c r="F1115" t="s">
        <v>27</v>
      </c>
      <c r="G1115" t="s">
        <v>34</v>
      </c>
      <c r="H1115" t="s">
        <v>43</v>
      </c>
      <c r="I1115" t="s">
        <v>53</v>
      </c>
      <c r="J1115" s="7">
        <v>1071.8399999999999</v>
      </c>
      <c r="K1115" s="8">
        <v>1</v>
      </c>
      <c r="L1115" s="7">
        <v>167.36</v>
      </c>
    </row>
    <row r="1116" spans="1:12" x14ac:dyDescent="0.2">
      <c r="A1116" s="2">
        <v>42303</v>
      </c>
      <c r="B1116" s="8">
        <f>YEAR(Sales_data[[#This Row],[Order Date]])</f>
        <v>2015</v>
      </c>
      <c r="C1116" s="8">
        <f>MONTH(Sales_data[[#This Row],[Order Date]])</f>
        <v>10</v>
      </c>
      <c r="D1116" s="8" t="str">
        <f>TEXT(Sales_data[[#This Row],[Order Date]],"mmm")</f>
        <v>Oct</v>
      </c>
      <c r="E1116" t="s">
        <v>19</v>
      </c>
      <c r="F1116" t="s">
        <v>28</v>
      </c>
      <c r="G1116" t="s">
        <v>34</v>
      </c>
      <c r="H1116" t="s">
        <v>40</v>
      </c>
      <c r="I1116" t="s">
        <v>44</v>
      </c>
      <c r="J1116" s="7">
        <v>1866.9</v>
      </c>
      <c r="K1116" s="8">
        <v>5</v>
      </c>
      <c r="L1116" s="7">
        <v>266.39999999999998</v>
      </c>
    </row>
    <row r="1117" spans="1:12" x14ac:dyDescent="0.2">
      <c r="A1117" s="2">
        <v>42303</v>
      </c>
      <c r="B1117" s="8">
        <f>YEAR(Sales_data[[#This Row],[Order Date]])</f>
        <v>2015</v>
      </c>
      <c r="C1117" s="8">
        <f>MONTH(Sales_data[[#This Row],[Order Date]])</f>
        <v>10</v>
      </c>
      <c r="D1117" s="8" t="str">
        <f>TEXT(Sales_data[[#This Row],[Order Date]],"mmm")</f>
        <v>Oct</v>
      </c>
      <c r="E1117" t="s">
        <v>15</v>
      </c>
      <c r="F1117" t="s">
        <v>31</v>
      </c>
      <c r="G1117" t="s">
        <v>32</v>
      </c>
      <c r="H1117" t="s">
        <v>42</v>
      </c>
      <c r="I1117" t="s">
        <v>44</v>
      </c>
      <c r="J1117" s="7">
        <v>97.37</v>
      </c>
      <c r="K1117" s="8">
        <v>3</v>
      </c>
      <c r="L1117" s="7">
        <v>191.25</v>
      </c>
    </row>
    <row r="1118" spans="1:12" x14ac:dyDescent="0.2">
      <c r="A1118" s="2">
        <v>42303</v>
      </c>
      <c r="B1118" s="8">
        <f>YEAR(Sales_data[[#This Row],[Order Date]])</f>
        <v>2015</v>
      </c>
      <c r="C1118" s="8">
        <f>MONTH(Sales_data[[#This Row],[Order Date]])</f>
        <v>10</v>
      </c>
      <c r="D1118" s="8" t="str">
        <f>TEXT(Sales_data[[#This Row],[Order Date]],"mmm")</f>
        <v>Oct</v>
      </c>
      <c r="E1118" t="s">
        <v>16</v>
      </c>
      <c r="F1118" t="s">
        <v>26</v>
      </c>
      <c r="G1118" t="s">
        <v>33</v>
      </c>
      <c r="H1118" t="s">
        <v>43</v>
      </c>
      <c r="I1118" t="s">
        <v>48</v>
      </c>
      <c r="J1118" s="7">
        <v>451.08</v>
      </c>
      <c r="K1118" s="8">
        <v>9</v>
      </c>
      <c r="L1118" s="7">
        <v>362.87</v>
      </c>
    </row>
    <row r="1119" spans="1:12" x14ac:dyDescent="0.2">
      <c r="A1119" s="2">
        <v>42305</v>
      </c>
      <c r="B1119" s="8">
        <f>YEAR(Sales_data[[#This Row],[Order Date]])</f>
        <v>2015</v>
      </c>
      <c r="C1119" s="8">
        <f>MONTH(Sales_data[[#This Row],[Order Date]])</f>
        <v>10</v>
      </c>
      <c r="D1119" s="8" t="str">
        <f>TEXT(Sales_data[[#This Row],[Order Date]],"mmm")</f>
        <v>Oct</v>
      </c>
      <c r="E1119" t="s">
        <v>11</v>
      </c>
      <c r="F1119" t="s">
        <v>24</v>
      </c>
      <c r="G1119" t="s">
        <v>34</v>
      </c>
      <c r="H1119" t="s">
        <v>37</v>
      </c>
      <c r="I1119" t="s">
        <v>47</v>
      </c>
      <c r="J1119" s="7">
        <v>1972.9</v>
      </c>
      <c r="K1119" s="8">
        <v>3</v>
      </c>
      <c r="L1119" s="7">
        <v>231.01</v>
      </c>
    </row>
    <row r="1120" spans="1:12" x14ac:dyDescent="0.2">
      <c r="A1120" s="2">
        <v>42306</v>
      </c>
      <c r="B1120" s="8">
        <f>YEAR(Sales_data[[#This Row],[Order Date]])</f>
        <v>2015</v>
      </c>
      <c r="C1120" s="8">
        <f>MONTH(Sales_data[[#This Row],[Order Date]])</f>
        <v>10</v>
      </c>
      <c r="D1120" s="8" t="str">
        <f>TEXT(Sales_data[[#This Row],[Order Date]],"mmm")</f>
        <v>Oct</v>
      </c>
      <c r="E1120" t="s">
        <v>16</v>
      </c>
      <c r="F1120" t="s">
        <v>25</v>
      </c>
      <c r="G1120" t="s">
        <v>32</v>
      </c>
      <c r="H1120" t="s">
        <v>37</v>
      </c>
      <c r="I1120" t="s">
        <v>52</v>
      </c>
      <c r="J1120" s="7">
        <v>1384.5</v>
      </c>
      <c r="K1120" s="8">
        <v>1</v>
      </c>
      <c r="L1120" s="7">
        <v>-2.5299999999999998</v>
      </c>
    </row>
    <row r="1121" spans="1:12" x14ac:dyDescent="0.2">
      <c r="A1121" s="2">
        <v>42306</v>
      </c>
      <c r="B1121" s="8">
        <f>YEAR(Sales_data[[#This Row],[Order Date]])</f>
        <v>2015</v>
      </c>
      <c r="C1121" s="8">
        <f>MONTH(Sales_data[[#This Row],[Order Date]])</f>
        <v>10</v>
      </c>
      <c r="D1121" s="8" t="str">
        <f>TEXT(Sales_data[[#This Row],[Order Date]],"mmm")</f>
        <v>Oct</v>
      </c>
      <c r="E1121" t="s">
        <v>10</v>
      </c>
      <c r="F1121" t="s">
        <v>30</v>
      </c>
      <c r="G1121" t="s">
        <v>33</v>
      </c>
      <c r="H1121" t="s">
        <v>37</v>
      </c>
      <c r="I1121" t="s">
        <v>46</v>
      </c>
      <c r="J1121" s="7">
        <v>956.3</v>
      </c>
      <c r="K1121" s="8">
        <v>2</v>
      </c>
      <c r="L1121" s="7">
        <v>-155.36000000000001</v>
      </c>
    </row>
    <row r="1122" spans="1:12" x14ac:dyDescent="0.2">
      <c r="A1122" s="2">
        <v>42307</v>
      </c>
      <c r="B1122" s="8">
        <f>YEAR(Sales_data[[#This Row],[Order Date]])</f>
        <v>2015</v>
      </c>
      <c r="C1122" s="8">
        <f>MONTH(Sales_data[[#This Row],[Order Date]])</f>
        <v>10</v>
      </c>
      <c r="D1122" s="8" t="str">
        <f>TEXT(Sales_data[[#This Row],[Order Date]],"mmm")</f>
        <v>Oct</v>
      </c>
      <c r="E1122" t="s">
        <v>19</v>
      </c>
      <c r="F1122" t="s">
        <v>25</v>
      </c>
      <c r="G1122" t="s">
        <v>32</v>
      </c>
      <c r="H1122" t="s">
        <v>36</v>
      </c>
      <c r="I1122" t="s">
        <v>46</v>
      </c>
      <c r="J1122" s="7">
        <v>1434.97</v>
      </c>
      <c r="K1122" s="8">
        <v>3</v>
      </c>
      <c r="L1122" s="7">
        <v>-148.71</v>
      </c>
    </row>
    <row r="1123" spans="1:12" x14ac:dyDescent="0.2">
      <c r="A1123" s="2">
        <v>42310</v>
      </c>
      <c r="B1123" s="8">
        <f>YEAR(Sales_data[[#This Row],[Order Date]])</f>
        <v>2015</v>
      </c>
      <c r="C1123" s="8">
        <f>MONTH(Sales_data[[#This Row],[Order Date]])</f>
        <v>11</v>
      </c>
      <c r="D1123" s="8" t="str">
        <f>TEXT(Sales_data[[#This Row],[Order Date]],"mmm")</f>
        <v>Nov</v>
      </c>
      <c r="E1123" t="s">
        <v>11</v>
      </c>
      <c r="F1123" t="s">
        <v>30</v>
      </c>
      <c r="G1123" t="s">
        <v>32</v>
      </c>
      <c r="H1123" t="s">
        <v>41</v>
      </c>
      <c r="I1123" t="s">
        <v>53</v>
      </c>
      <c r="J1123" s="7">
        <v>1469.39</v>
      </c>
      <c r="K1123" s="8">
        <v>1</v>
      </c>
      <c r="L1123" s="7">
        <v>-140.66</v>
      </c>
    </row>
    <row r="1124" spans="1:12" x14ac:dyDescent="0.2">
      <c r="A1124" s="2">
        <v>42313</v>
      </c>
      <c r="B1124" s="8">
        <f>YEAR(Sales_data[[#This Row],[Order Date]])</f>
        <v>2015</v>
      </c>
      <c r="C1124" s="8">
        <f>MONTH(Sales_data[[#This Row],[Order Date]])</f>
        <v>11</v>
      </c>
      <c r="D1124" s="8" t="str">
        <f>TEXT(Sales_data[[#This Row],[Order Date]],"mmm")</f>
        <v>Nov</v>
      </c>
      <c r="E1124" t="s">
        <v>13</v>
      </c>
      <c r="F1124" t="s">
        <v>25</v>
      </c>
      <c r="G1124" t="s">
        <v>34</v>
      </c>
      <c r="H1124" t="s">
        <v>39</v>
      </c>
      <c r="I1124" t="s">
        <v>49</v>
      </c>
      <c r="J1124" s="7">
        <v>257.45</v>
      </c>
      <c r="K1124" s="8">
        <v>6</v>
      </c>
      <c r="L1124" s="7">
        <v>145.86000000000001</v>
      </c>
    </row>
    <row r="1125" spans="1:12" x14ac:dyDescent="0.2">
      <c r="A1125" s="2">
        <v>42313</v>
      </c>
      <c r="B1125" s="8">
        <f>YEAR(Sales_data[[#This Row],[Order Date]])</f>
        <v>2015</v>
      </c>
      <c r="C1125" s="8">
        <f>MONTH(Sales_data[[#This Row],[Order Date]])</f>
        <v>11</v>
      </c>
      <c r="D1125" s="8" t="str">
        <f>TEXT(Sales_data[[#This Row],[Order Date]],"mmm")</f>
        <v>Nov</v>
      </c>
      <c r="E1125" t="s">
        <v>13</v>
      </c>
      <c r="F1125" t="s">
        <v>23</v>
      </c>
      <c r="G1125" t="s">
        <v>34</v>
      </c>
      <c r="H1125" t="s">
        <v>43</v>
      </c>
      <c r="I1125" t="s">
        <v>45</v>
      </c>
      <c r="J1125" s="7">
        <v>1276.3800000000001</v>
      </c>
      <c r="K1125" s="8">
        <v>2</v>
      </c>
      <c r="L1125" s="7">
        <v>264.36</v>
      </c>
    </row>
    <row r="1126" spans="1:12" x14ac:dyDescent="0.2">
      <c r="A1126" s="2">
        <v>42313</v>
      </c>
      <c r="B1126" s="8">
        <f>YEAR(Sales_data[[#This Row],[Order Date]])</f>
        <v>2015</v>
      </c>
      <c r="C1126" s="8">
        <f>MONTH(Sales_data[[#This Row],[Order Date]])</f>
        <v>11</v>
      </c>
      <c r="D1126" s="8" t="str">
        <f>TEXT(Sales_data[[#This Row],[Order Date]],"mmm")</f>
        <v>Nov</v>
      </c>
      <c r="E1126" t="s">
        <v>18</v>
      </c>
      <c r="F1126" t="s">
        <v>29</v>
      </c>
      <c r="G1126" t="s">
        <v>33</v>
      </c>
      <c r="H1126" t="s">
        <v>43</v>
      </c>
      <c r="I1126" t="s">
        <v>44</v>
      </c>
      <c r="J1126" s="7">
        <v>26.36</v>
      </c>
      <c r="K1126" s="8">
        <v>6</v>
      </c>
      <c r="L1126" s="7">
        <v>291.60000000000002</v>
      </c>
    </row>
    <row r="1127" spans="1:12" x14ac:dyDescent="0.2">
      <c r="A1127" s="2">
        <v>42314</v>
      </c>
      <c r="B1127" s="8">
        <f>YEAR(Sales_data[[#This Row],[Order Date]])</f>
        <v>2015</v>
      </c>
      <c r="C1127" s="8">
        <f>MONTH(Sales_data[[#This Row],[Order Date]])</f>
        <v>11</v>
      </c>
      <c r="D1127" s="8" t="str">
        <f>TEXT(Sales_data[[#This Row],[Order Date]],"mmm")</f>
        <v>Nov</v>
      </c>
      <c r="E1127" t="s">
        <v>13</v>
      </c>
      <c r="F1127" t="s">
        <v>28</v>
      </c>
      <c r="G1127" t="s">
        <v>33</v>
      </c>
      <c r="H1127" t="s">
        <v>43</v>
      </c>
      <c r="I1127" t="s">
        <v>48</v>
      </c>
      <c r="J1127" s="7">
        <v>337.82</v>
      </c>
      <c r="K1127" s="8">
        <v>9</v>
      </c>
      <c r="L1127" s="7">
        <v>117.75</v>
      </c>
    </row>
    <row r="1128" spans="1:12" x14ac:dyDescent="0.2">
      <c r="A1128" s="2">
        <v>42314</v>
      </c>
      <c r="B1128" s="8">
        <f>YEAR(Sales_data[[#This Row],[Order Date]])</f>
        <v>2015</v>
      </c>
      <c r="C1128" s="8">
        <f>MONTH(Sales_data[[#This Row],[Order Date]])</f>
        <v>11</v>
      </c>
      <c r="D1128" s="8" t="str">
        <f>TEXT(Sales_data[[#This Row],[Order Date]],"mmm")</f>
        <v>Nov</v>
      </c>
      <c r="E1128" t="s">
        <v>20</v>
      </c>
      <c r="F1128" t="s">
        <v>24</v>
      </c>
      <c r="G1128" t="s">
        <v>32</v>
      </c>
      <c r="H1128" t="s">
        <v>35</v>
      </c>
      <c r="I1128" t="s">
        <v>44</v>
      </c>
      <c r="J1128" s="7">
        <v>1874.85</v>
      </c>
      <c r="K1128" s="8">
        <v>9</v>
      </c>
      <c r="L1128" s="7">
        <v>55.25</v>
      </c>
    </row>
    <row r="1129" spans="1:12" x14ac:dyDescent="0.2">
      <c r="A1129" s="2">
        <v>42315</v>
      </c>
      <c r="B1129" s="8">
        <f>YEAR(Sales_data[[#This Row],[Order Date]])</f>
        <v>2015</v>
      </c>
      <c r="C1129" s="8">
        <f>MONTH(Sales_data[[#This Row],[Order Date]])</f>
        <v>11</v>
      </c>
      <c r="D1129" s="8" t="str">
        <f>TEXT(Sales_data[[#This Row],[Order Date]],"mmm")</f>
        <v>Nov</v>
      </c>
      <c r="E1129" t="s">
        <v>13</v>
      </c>
      <c r="F1129" t="s">
        <v>22</v>
      </c>
      <c r="G1129" t="s">
        <v>32</v>
      </c>
      <c r="H1129" t="s">
        <v>40</v>
      </c>
      <c r="I1129" t="s">
        <v>46</v>
      </c>
      <c r="J1129" s="7">
        <v>153.97</v>
      </c>
      <c r="K1129" s="8">
        <v>7</v>
      </c>
      <c r="L1129" s="7">
        <v>80.38</v>
      </c>
    </row>
    <row r="1130" spans="1:12" x14ac:dyDescent="0.2">
      <c r="A1130" s="2">
        <v>42315</v>
      </c>
      <c r="B1130" s="8">
        <f>YEAR(Sales_data[[#This Row],[Order Date]])</f>
        <v>2015</v>
      </c>
      <c r="C1130" s="8">
        <f>MONTH(Sales_data[[#This Row],[Order Date]])</f>
        <v>11</v>
      </c>
      <c r="D1130" s="8" t="str">
        <f>TEXT(Sales_data[[#This Row],[Order Date]],"mmm")</f>
        <v>Nov</v>
      </c>
      <c r="E1130" t="s">
        <v>11</v>
      </c>
      <c r="F1130" t="s">
        <v>25</v>
      </c>
      <c r="G1130" t="s">
        <v>33</v>
      </c>
      <c r="H1130" t="s">
        <v>37</v>
      </c>
      <c r="I1130" t="s">
        <v>46</v>
      </c>
      <c r="J1130" s="7">
        <v>1816.7</v>
      </c>
      <c r="K1130" s="8">
        <v>4</v>
      </c>
      <c r="L1130" s="7">
        <v>169.82</v>
      </c>
    </row>
    <row r="1131" spans="1:12" x14ac:dyDescent="0.2">
      <c r="A1131" s="2">
        <v>42315</v>
      </c>
      <c r="B1131" s="8">
        <f>YEAR(Sales_data[[#This Row],[Order Date]])</f>
        <v>2015</v>
      </c>
      <c r="C1131" s="8">
        <f>MONTH(Sales_data[[#This Row],[Order Date]])</f>
        <v>11</v>
      </c>
      <c r="D1131" s="8" t="str">
        <f>TEXT(Sales_data[[#This Row],[Order Date]],"mmm")</f>
        <v>Nov</v>
      </c>
      <c r="E1131" t="s">
        <v>21</v>
      </c>
      <c r="F1131" t="s">
        <v>23</v>
      </c>
      <c r="G1131" t="s">
        <v>32</v>
      </c>
      <c r="H1131" t="s">
        <v>38</v>
      </c>
      <c r="I1131" t="s">
        <v>44</v>
      </c>
      <c r="J1131" s="7">
        <v>50.27</v>
      </c>
      <c r="K1131" s="8">
        <v>1</v>
      </c>
      <c r="L1131" s="7">
        <v>46.43</v>
      </c>
    </row>
    <row r="1132" spans="1:12" x14ac:dyDescent="0.2">
      <c r="A1132" s="2">
        <v>42317</v>
      </c>
      <c r="B1132" s="8">
        <f>YEAR(Sales_data[[#This Row],[Order Date]])</f>
        <v>2015</v>
      </c>
      <c r="C1132" s="8">
        <f>MONTH(Sales_data[[#This Row],[Order Date]])</f>
        <v>11</v>
      </c>
      <c r="D1132" s="8" t="str">
        <f>TEXT(Sales_data[[#This Row],[Order Date]],"mmm")</f>
        <v>Nov</v>
      </c>
      <c r="E1132" t="s">
        <v>14</v>
      </c>
      <c r="F1132" t="s">
        <v>23</v>
      </c>
      <c r="G1132" t="s">
        <v>33</v>
      </c>
      <c r="H1132" t="s">
        <v>35</v>
      </c>
      <c r="I1132" t="s">
        <v>44</v>
      </c>
      <c r="J1132" s="7">
        <v>54.91</v>
      </c>
      <c r="K1132" s="8">
        <v>7</v>
      </c>
      <c r="L1132" s="7">
        <v>255.05</v>
      </c>
    </row>
    <row r="1133" spans="1:12" x14ac:dyDescent="0.2">
      <c r="A1133" s="2">
        <v>42317</v>
      </c>
      <c r="B1133" s="8">
        <f>YEAR(Sales_data[[#This Row],[Order Date]])</f>
        <v>2015</v>
      </c>
      <c r="C1133" s="8">
        <f>MONTH(Sales_data[[#This Row],[Order Date]])</f>
        <v>11</v>
      </c>
      <c r="D1133" s="8" t="str">
        <f>TEXT(Sales_data[[#This Row],[Order Date]],"mmm")</f>
        <v>Nov</v>
      </c>
      <c r="E1133" t="s">
        <v>15</v>
      </c>
      <c r="F1133" t="s">
        <v>27</v>
      </c>
      <c r="G1133" t="s">
        <v>34</v>
      </c>
      <c r="H1133" t="s">
        <v>40</v>
      </c>
      <c r="I1133" t="s">
        <v>49</v>
      </c>
      <c r="J1133" s="7">
        <v>1262.42</v>
      </c>
      <c r="K1133" s="8">
        <v>9</v>
      </c>
      <c r="L1133" s="7">
        <v>2.86</v>
      </c>
    </row>
    <row r="1134" spans="1:12" x14ac:dyDescent="0.2">
      <c r="A1134" s="2">
        <v>42318</v>
      </c>
      <c r="B1134" s="8">
        <f>YEAR(Sales_data[[#This Row],[Order Date]])</f>
        <v>2015</v>
      </c>
      <c r="C1134" s="8">
        <f>MONTH(Sales_data[[#This Row],[Order Date]])</f>
        <v>11</v>
      </c>
      <c r="D1134" s="8" t="str">
        <f>TEXT(Sales_data[[#This Row],[Order Date]],"mmm")</f>
        <v>Nov</v>
      </c>
      <c r="E1134" t="s">
        <v>21</v>
      </c>
      <c r="F1134" t="s">
        <v>27</v>
      </c>
      <c r="G1134" t="s">
        <v>33</v>
      </c>
      <c r="H1134" t="s">
        <v>40</v>
      </c>
      <c r="I1134" t="s">
        <v>49</v>
      </c>
      <c r="J1134" s="7">
        <v>157.58000000000001</v>
      </c>
      <c r="K1134" s="8">
        <v>3</v>
      </c>
      <c r="L1134" s="7">
        <v>-152.76</v>
      </c>
    </row>
    <row r="1135" spans="1:12" x14ac:dyDescent="0.2">
      <c r="A1135" s="2">
        <v>42319</v>
      </c>
      <c r="B1135" s="8">
        <f>YEAR(Sales_data[[#This Row],[Order Date]])</f>
        <v>2015</v>
      </c>
      <c r="C1135" s="8">
        <f>MONTH(Sales_data[[#This Row],[Order Date]])</f>
        <v>11</v>
      </c>
      <c r="D1135" s="8" t="str">
        <f>TEXT(Sales_data[[#This Row],[Order Date]],"mmm")</f>
        <v>Nov</v>
      </c>
      <c r="E1135" t="s">
        <v>14</v>
      </c>
      <c r="F1135" t="s">
        <v>26</v>
      </c>
      <c r="G1135" t="s">
        <v>34</v>
      </c>
      <c r="H1135" t="s">
        <v>41</v>
      </c>
      <c r="I1135" t="s">
        <v>50</v>
      </c>
      <c r="J1135" s="7">
        <v>183.01</v>
      </c>
      <c r="K1135" s="8">
        <v>6</v>
      </c>
      <c r="L1135" s="7">
        <v>76.63</v>
      </c>
    </row>
    <row r="1136" spans="1:12" x14ac:dyDescent="0.2">
      <c r="A1136" s="2">
        <v>42320</v>
      </c>
      <c r="B1136" s="8">
        <f>YEAR(Sales_data[[#This Row],[Order Date]])</f>
        <v>2015</v>
      </c>
      <c r="C1136" s="8">
        <f>MONTH(Sales_data[[#This Row],[Order Date]])</f>
        <v>11</v>
      </c>
      <c r="D1136" s="8" t="str">
        <f>TEXT(Sales_data[[#This Row],[Order Date]],"mmm")</f>
        <v>Nov</v>
      </c>
      <c r="E1136" t="s">
        <v>16</v>
      </c>
      <c r="F1136" t="s">
        <v>27</v>
      </c>
      <c r="G1136" t="s">
        <v>34</v>
      </c>
      <c r="H1136" t="s">
        <v>43</v>
      </c>
      <c r="I1136" t="s">
        <v>52</v>
      </c>
      <c r="J1136" s="7">
        <v>1570.53</v>
      </c>
      <c r="K1136" s="8">
        <v>6</v>
      </c>
      <c r="L1136" s="7">
        <v>75.06</v>
      </c>
    </row>
    <row r="1137" spans="1:12" x14ac:dyDescent="0.2">
      <c r="A1137" s="2">
        <v>42321</v>
      </c>
      <c r="B1137" s="8">
        <f>YEAR(Sales_data[[#This Row],[Order Date]])</f>
        <v>2015</v>
      </c>
      <c r="C1137" s="8">
        <f>MONTH(Sales_data[[#This Row],[Order Date]])</f>
        <v>11</v>
      </c>
      <c r="D1137" s="8" t="str">
        <f>TEXT(Sales_data[[#This Row],[Order Date]],"mmm")</f>
        <v>Nov</v>
      </c>
      <c r="E1137" t="s">
        <v>12</v>
      </c>
      <c r="F1137" t="s">
        <v>24</v>
      </c>
      <c r="G1137" t="s">
        <v>33</v>
      </c>
      <c r="H1137" t="s">
        <v>39</v>
      </c>
      <c r="I1137" t="s">
        <v>51</v>
      </c>
      <c r="J1137" s="7">
        <v>405.84</v>
      </c>
      <c r="K1137" s="8">
        <v>4</v>
      </c>
      <c r="L1137" s="7">
        <v>22.53</v>
      </c>
    </row>
    <row r="1138" spans="1:12" x14ac:dyDescent="0.2">
      <c r="A1138" s="2">
        <v>42321</v>
      </c>
      <c r="B1138" s="8">
        <f>YEAR(Sales_data[[#This Row],[Order Date]])</f>
        <v>2015</v>
      </c>
      <c r="C1138" s="8">
        <f>MONTH(Sales_data[[#This Row],[Order Date]])</f>
        <v>11</v>
      </c>
      <c r="D1138" s="8" t="str">
        <f>TEXT(Sales_data[[#This Row],[Order Date]],"mmm")</f>
        <v>Nov</v>
      </c>
      <c r="E1138" t="s">
        <v>9</v>
      </c>
      <c r="F1138" t="s">
        <v>24</v>
      </c>
      <c r="G1138" t="s">
        <v>33</v>
      </c>
      <c r="H1138" t="s">
        <v>38</v>
      </c>
      <c r="I1138" t="s">
        <v>53</v>
      </c>
      <c r="J1138" s="7">
        <v>360.55</v>
      </c>
      <c r="K1138" s="8">
        <v>5</v>
      </c>
      <c r="L1138" s="7">
        <v>-30.71</v>
      </c>
    </row>
    <row r="1139" spans="1:12" x14ac:dyDescent="0.2">
      <c r="A1139" s="2">
        <v>42323</v>
      </c>
      <c r="B1139" s="8">
        <f>YEAR(Sales_data[[#This Row],[Order Date]])</f>
        <v>2015</v>
      </c>
      <c r="C1139" s="8">
        <f>MONTH(Sales_data[[#This Row],[Order Date]])</f>
        <v>11</v>
      </c>
      <c r="D1139" s="8" t="str">
        <f>TEXT(Sales_data[[#This Row],[Order Date]],"mmm")</f>
        <v>Nov</v>
      </c>
      <c r="E1139" t="s">
        <v>19</v>
      </c>
      <c r="F1139" t="s">
        <v>24</v>
      </c>
      <c r="G1139" t="s">
        <v>33</v>
      </c>
      <c r="H1139" t="s">
        <v>40</v>
      </c>
      <c r="I1139" t="s">
        <v>49</v>
      </c>
      <c r="J1139" s="7">
        <v>1102.68</v>
      </c>
      <c r="K1139" s="8">
        <v>5</v>
      </c>
      <c r="L1139" s="7">
        <v>357.61</v>
      </c>
    </row>
    <row r="1140" spans="1:12" x14ac:dyDescent="0.2">
      <c r="A1140" s="2">
        <v>42324</v>
      </c>
      <c r="B1140" s="8">
        <f>YEAR(Sales_data[[#This Row],[Order Date]])</f>
        <v>2015</v>
      </c>
      <c r="C1140" s="8">
        <f>MONTH(Sales_data[[#This Row],[Order Date]])</f>
        <v>11</v>
      </c>
      <c r="D1140" s="8" t="str">
        <f>TEXT(Sales_data[[#This Row],[Order Date]],"mmm")</f>
        <v>Nov</v>
      </c>
      <c r="E1140" t="s">
        <v>21</v>
      </c>
      <c r="F1140" t="s">
        <v>29</v>
      </c>
      <c r="G1140" t="s">
        <v>34</v>
      </c>
      <c r="H1140" t="s">
        <v>39</v>
      </c>
      <c r="I1140" t="s">
        <v>48</v>
      </c>
      <c r="J1140" s="7">
        <v>1089.29</v>
      </c>
      <c r="K1140" s="8">
        <v>8</v>
      </c>
      <c r="L1140" s="7">
        <v>-121.23</v>
      </c>
    </row>
    <row r="1141" spans="1:12" x14ac:dyDescent="0.2">
      <c r="A1141" s="2">
        <v>42324</v>
      </c>
      <c r="B1141" s="8">
        <f>YEAR(Sales_data[[#This Row],[Order Date]])</f>
        <v>2015</v>
      </c>
      <c r="C1141" s="8">
        <f>MONTH(Sales_data[[#This Row],[Order Date]])</f>
        <v>11</v>
      </c>
      <c r="D1141" s="8" t="str">
        <f>TEXT(Sales_data[[#This Row],[Order Date]],"mmm")</f>
        <v>Nov</v>
      </c>
      <c r="E1141" t="s">
        <v>15</v>
      </c>
      <c r="F1141" t="s">
        <v>24</v>
      </c>
      <c r="G1141" t="s">
        <v>33</v>
      </c>
      <c r="H1141" t="s">
        <v>35</v>
      </c>
      <c r="I1141" t="s">
        <v>48</v>
      </c>
      <c r="J1141" s="7">
        <v>1817.3</v>
      </c>
      <c r="K1141" s="8">
        <v>1</v>
      </c>
      <c r="L1141" s="7">
        <v>278.92</v>
      </c>
    </row>
    <row r="1142" spans="1:12" x14ac:dyDescent="0.2">
      <c r="A1142" s="2">
        <v>42326</v>
      </c>
      <c r="B1142" s="8">
        <f>YEAR(Sales_data[[#This Row],[Order Date]])</f>
        <v>2015</v>
      </c>
      <c r="C1142" s="8">
        <f>MONTH(Sales_data[[#This Row],[Order Date]])</f>
        <v>11</v>
      </c>
      <c r="D1142" s="8" t="str">
        <f>TEXT(Sales_data[[#This Row],[Order Date]],"mmm")</f>
        <v>Nov</v>
      </c>
      <c r="E1142" t="s">
        <v>21</v>
      </c>
      <c r="F1142" t="s">
        <v>24</v>
      </c>
      <c r="G1142" t="s">
        <v>34</v>
      </c>
      <c r="H1142" t="s">
        <v>41</v>
      </c>
      <c r="I1142" t="s">
        <v>52</v>
      </c>
      <c r="J1142" s="7">
        <v>1758.28</v>
      </c>
      <c r="K1142" s="8">
        <v>3</v>
      </c>
      <c r="L1142" s="7">
        <v>210.63</v>
      </c>
    </row>
    <row r="1143" spans="1:12" x14ac:dyDescent="0.2">
      <c r="A1143" s="2">
        <v>42326</v>
      </c>
      <c r="B1143" s="8">
        <f>YEAR(Sales_data[[#This Row],[Order Date]])</f>
        <v>2015</v>
      </c>
      <c r="C1143" s="8">
        <f>MONTH(Sales_data[[#This Row],[Order Date]])</f>
        <v>11</v>
      </c>
      <c r="D1143" s="8" t="str">
        <f>TEXT(Sales_data[[#This Row],[Order Date]],"mmm")</f>
        <v>Nov</v>
      </c>
      <c r="E1143" t="s">
        <v>20</v>
      </c>
      <c r="F1143" t="s">
        <v>25</v>
      </c>
      <c r="G1143" t="s">
        <v>32</v>
      </c>
      <c r="H1143" t="s">
        <v>41</v>
      </c>
      <c r="I1143" t="s">
        <v>46</v>
      </c>
      <c r="J1143" s="7">
        <v>208.33</v>
      </c>
      <c r="K1143" s="8">
        <v>9</v>
      </c>
      <c r="L1143" s="7">
        <v>-171.39</v>
      </c>
    </row>
    <row r="1144" spans="1:12" x14ac:dyDescent="0.2">
      <c r="A1144" s="2">
        <v>42327</v>
      </c>
      <c r="B1144" s="8">
        <f>YEAR(Sales_data[[#This Row],[Order Date]])</f>
        <v>2015</v>
      </c>
      <c r="C1144" s="8">
        <f>MONTH(Sales_data[[#This Row],[Order Date]])</f>
        <v>11</v>
      </c>
      <c r="D1144" s="8" t="str">
        <f>TEXT(Sales_data[[#This Row],[Order Date]],"mmm")</f>
        <v>Nov</v>
      </c>
      <c r="E1144" t="s">
        <v>14</v>
      </c>
      <c r="F1144" t="s">
        <v>26</v>
      </c>
      <c r="G1144" t="s">
        <v>32</v>
      </c>
      <c r="H1144" t="s">
        <v>36</v>
      </c>
      <c r="I1144" t="s">
        <v>46</v>
      </c>
      <c r="J1144" s="7">
        <v>1411.8</v>
      </c>
      <c r="K1144" s="8">
        <v>6</v>
      </c>
      <c r="L1144" s="7">
        <v>-62.6</v>
      </c>
    </row>
    <row r="1145" spans="1:12" x14ac:dyDescent="0.2">
      <c r="A1145" s="2">
        <v>42331</v>
      </c>
      <c r="B1145" s="8">
        <f>YEAR(Sales_data[[#This Row],[Order Date]])</f>
        <v>2015</v>
      </c>
      <c r="C1145" s="8">
        <f>MONTH(Sales_data[[#This Row],[Order Date]])</f>
        <v>11</v>
      </c>
      <c r="D1145" s="8" t="str">
        <f>TEXT(Sales_data[[#This Row],[Order Date]],"mmm")</f>
        <v>Nov</v>
      </c>
      <c r="E1145" t="s">
        <v>20</v>
      </c>
      <c r="F1145" t="s">
        <v>30</v>
      </c>
      <c r="G1145" t="s">
        <v>33</v>
      </c>
      <c r="H1145" t="s">
        <v>38</v>
      </c>
      <c r="I1145" t="s">
        <v>51</v>
      </c>
      <c r="J1145" s="7">
        <v>531.6</v>
      </c>
      <c r="K1145" s="8">
        <v>3</v>
      </c>
      <c r="L1145" s="7">
        <v>34.53</v>
      </c>
    </row>
    <row r="1146" spans="1:12" x14ac:dyDescent="0.2">
      <c r="A1146" s="2">
        <v>42331</v>
      </c>
      <c r="B1146" s="8">
        <f>YEAR(Sales_data[[#This Row],[Order Date]])</f>
        <v>2015</v>
      </c>
      <c r="C1146" s="8">
        <f>MONTH(Sales_data[[#This Row],[Order Date]])</f>
        <v>11</v>
      </c>
      <c r="D1146" s="8" t="str">
        <f>TEXT(Sales_data[[#This Row],[Order Date]],"mmm")</f>
        <v>Nov</v>
      </c>
      <c r="E1146" t="s">
        <v>18</v>
      </c>
      <c r="F1146" t="s">
        <v>25</v>
      </c>
      <c r="G1146" t="s">
        <v>32</v>
      </c>
      <c r="H1146" t="s">
        <v>42</v>
      </c>
      <c r="I1146" t="s">
        <v>47</v>
      </c>
      <c r="J1146" s="7">
        <v>1774.31</v>
      </c>
      <c r="K1146" s="8">
        <v>7</v>
      </c>
      <c r="L1146" s="7">
        <v>175.21</v>
      </c>
    </row>
    <row r="1147" spans="1:12" x14ac:dyDescent="0.2">
      <c r="A1147" s="2">
        <v>42334</v>
      </c>
      <c r="B1147" s="8">
        <f>YEAR(Sales_data[[#This Row],[Order Date]])</f>
        <v>2015</v>
      </c>
      <c r="C1147" s="8">
        <f>MONTH(Sales_data[[#This Row],[Order Date]])</f>
        <v>11</v>
      </c>
      <c r="D1147" s="8" t="str">
        <f>TEXT(Sales_data[[#This Row],[Order Date]],"mmm")</f>
        <v>Nov</v>
      </c>
      <c r="E1147" t="s">
        <v>21</v>
      </c>
      <c r="F1147" t="s">
        <v>30</v>
      </c>
      <c r="G1147" t="s">
        <v>32</v>
      </c>
      <c r="H1147" t="s">
        <v>37</v>
      </c>
      <c r="I1147" t="s">
        <v>48</v>
      </c>
      <c r="J1147" s="7">
        <v>233.88</v>
      </c>
      <c r="K1147" s="8">
        <v>8</v>
      </c>
      <c r="L1147" s="7">
        <v>-29.41</v>
      </c>
    </row>
    <row r="1148" spans="1:12" x14ac:dyDescent="0.2">
      <c r="A1148" s="2">
        <v>42335</v>
      </c>
      <c r="B1148" s="8">
        <f>YEAR(Sales_data[[#This Row],[Order Date]])</f>
        <v>2015</v>
      </c>
      <c r="C1148" s="8">
        <f>MONTH(Sales_data[[#This Row],[Order Date]])</f>
        <v>11</v>
      </c>
      <c r="D1148" s="8" t="str">
        <f>TEXT(Sales_data[[#This Row],[Order Date]],"mmm")</f>
        <v>Nov</v>
      </c>
      <c r="E1148" t="s">
        <v>14</v>
      </c>
      <c r="F1148" t="s">
        <v>23</v>
      </c>
      <c r="G1148" t="s">
        <v>34</v>
      </c>
      <c r="H1148" t="s">
        <v>38</v>
      </c>
      <c r="I1148" t="s">
        <v>45</v>
      </c>
      <c r="J1148" s="7">
        <v>1744.38</v>
      </c>
      <c r="K1148" s="8">
        <v>9</v>
      </c>
      <c r="L1148" s="7">
        <v>-189.01</v>
      </c>
    </row>
    <row r="1149" spans="1:12" x14ac:dyDescent="0.2">
      <c r="A1149" s="2">
        <v>42335</v>
      </c>
      <c r="B1149" s="8">
        <f>YEAR(Sales_data[[#This Row],[Order Date]])</f>
        <v>2015</v>
      </c>
      <c r="C1149" s="8">
        <f>MONTH(Sales_data[[#This Row],[Order Date]])</f>
        <v>11</v>
      </c>
      <c r="D1149" s="8" t="str">
        <f>TEXT(Sales_data[[#This Row],[Order Date]],"mmm")</f>
        <v>Nov</v>
      </c>
      <c r="E1149" t="s">
        <v>15</v>
      </c>
      <c r="F1149" t="s">
        <v>31</v>
      </c>
      <c r="G1149" t="s">
        <v>33</v>
      </c>
      <c r="H1149" t="s">
        <v>41</v>
      </c>
      <c r="I1149" t="s">
        <v>50</v>
      </c>
      <c r="J1149" s="7">
        <v>658.52</v>
      </c>
      <c r="K1149" s="8">
        <v>6</v>
      </c>
      <c r="L1149" s="7">
        <v>344.36</v>
      </c>
    </row>
    <row r="1150" spans="1:12" x14ac:dyDescent="0.2">
      <c r="A1150" s="2">
        <v>42337</v>
      </c>
      <c r="B1150" s="8">
        <f>YEAR(Sales_data[[#This Row],[Order Date]])</f>
        <v>2015</v>
      </c>
      <c r="C1150" s="8">
        <f>MONTH(Sales_data[[#This Row],[Order Date]])</f>
        <v>11</v>
      </c>
      <c r="D1150" s="8" t="str">
        <f>TEXT(Sales_data[[#This Row],[Order Date]],"mmm")</f>
        <v>Nov</v>
      </c>
      <c r="E1150" t="s">
        <v>18</v>
      </c>
      <c r="F1150" t="s">
        <v>30</v>
      </c>
      <c r="G1150" t="s">
        <v>33</v>
      </c>
      <c r="H1150" t="s">
        <v>42</v>
      </c>
      <c r="I1150" t="s">
        <v>52</v>
      </c>
      <c r="J1150" s="7">
        <v>261.01</v>
      </c>
      <c r="K1150" s="8">
        <v>7</v>
      </c>
      <c r="L1150" s="7">
        <v>119.3</v>
      </c>
    </row>
    <row r="1151" spans="1:12" x14ac:dyDescent="0.2">
      <c r="A1151" s="2">
        <v>42337</v>
      </c>
      <c r="B1151" s="8">
        <f>YEAR(Sales_data[[#This Row],[Order Date]])</f>
        <v>2015</v>
      </c>
      <c r="C1151" s="8">
        <f>MONTH(Sales_data[[#This Row],[Order Date]])</f>
        <v>11</v>
      </c>
      <c r="D1151" s="8" t="str">
        <f>TEXT(Sales_data[[#This Row],[Order Date]],"mmm")</f>
        <v>Nov</v>
      </c>
      <c r="E1151" t="s">
        <v>10</v>
      </c>
      <c r="F1151" t="s">
        <v>28</v>
      </c>
      <c r="G1151" t="s">
        <v>32</v>
      </c>
      <c r="H1151" t="s">
        <v>41</v>
      </c>
      <c r="I1151" t="s">
        <v>53</v>
      </c>
      <c r="J1151" s="7">
        <v>1647.55</v>
      </c>
      <c r="K1151" s="8">
        <v>7</v>
      </c>
      <c r="L1151" s="7">
        <v>38.159999999999997</v>
      </c>
    </row>
    <row r="1152" spans="1:12" x14ac:dyDescent="0.2">
      <c r="A1152" s="2">
        <v>42337</v>
      </c>
      <c r="B1152" s="8">
        <f>YEAR(Sales_data[[#This Row],[Order Date]])</f>
        <v>2015</v>
      </c>
      <c r="C1152" s="8">
        <f>MONTH(Sales_data[[#This Row],[Order Date]])</f>
        <v>11</v>
      </c>
      <c r="D1152" s="8" t="str">
        <f>TEXT(Sales_data[[#This Row],[Order Date]],"mmm")</f>
        <v>Nov</v>
      </c>
      <c r="E1152" t="s">
        <v>10</v>
      </c>
      <c r="F1152" t="s">
        <v>22</v>
      </c>
      <c r="G1152" t="s">
        <v>34</v>
      </c>
      <c r="H1152" t="s">
        <v>42</v>
      </c>
      <c r="I1152" t="s">
        <v>51</v>
      </c>
      <c r="J1152" s="7">
        <v>956.65</v>
      </c>
      <c r="K1152" s="8">
        <v>1</v>
      </c>
      <c r="L1152" s="7">
        <v>-182.84</v>
      </c>
    </row>
    <row r="1153" spans="1:12" x14ac:dyDescent="0.2">
      <c r="A1153" s="2">
        <v>42337</v>
      </c>
      <c r="B1153" s="8">
        <f>YEAR(Sales_data[[#This Row],[Order Date]])</f>
        <v>2015</v>
      </c>
      <c r="C1153" s="8">
        <f>MONTH(Sales_data[[#This Row],[Order Date]])</f>
        <v>11</v>
      </c>
      <c r="D1153" s="8" t="str">
        <f>TEXT(Sales_data[[#This Row],[Order Date]],"mmm")</f>
        <v>Nov</v>
      </c>
      <c r="E1153" t="s">
        <v>14</v>
      </c>
      <c r="F1153" t="s">
        <v>25</v>
      </c>
      <c r="G1153" t="s">
        <v>32</v>
      </c>
      <c r="H1153" t="s">
        <v>38</v>
      </c>
      <c r="I1153" t="s">
        <v>50</v>
      </c>
      <c r="J1153" s="7">
        <v>1011.39</v>
      </c>
      <c r="K1153" s="8">
        <v>4</v>
      </c>
      <c r="L1153" s="7">
        <v>-135.59</v>
      </c>
    </row>
    <row r="1154" spans="1:12" x14ac:dyDescent="0.2">
      <c r="A1154" s="2">
        <v>42337</v>
      </c>
      <c r="B1154" s="8">
        <f>YEAR(Sales_data[[#This Row],[Order Date]])</f>
        <v>2015</v>
      </c>
      <c r="C1154" s="8">
        <f>MONTH(Sales_data[[#This Row],[Order Date]])</f>
        <v>11</v>
      </c>
      <c r="D1154" s="8" t="str">
        <f>TEXT(Sales_data[[#This Row],[Order Date]],"mmm")</f>
        <v>Nov</v>
      </c>
      <c r="E1154" t="s">
        <v>9</v>
      </c>
      <c r="F1154" t="s">
        <v>26</v>
      </c>
      <c r="G1154" t="s">
        <v>34</v>
      </c>
      <c r="H1154" t="s">
        <v>43</v>
      </c>
      <c r="I1154" t="s">
        <v>47</v>
      </c>
      <c r="J1154" s="7">
        <v>1707.44</v>
      </c>
      <c r="K1154" s="8">
        <v>9</v>
      </c>
      <c r="L1154" s="7">
        <v>13.2</v>
      </c>
    </row>
    <row r="1155" spans="1:12" x14ac:dyDescent="0.2">
      <c r="A1155" s="2">
        <v>42337</v>
      </c>
      <c r="B1155" s="8">
        <f>YEAR(Sales_data[[#This Row],[Order Date]])</f>
        <v>2015</v>
      </c>
      <c r="C1155" s="8">
        <f>MONTH(Sales_data[[#This Row],[Order Date]])</f>
        <v>11</v>
      </c>
      <c r="D1155" s="8" t="str">
        <f>TEXT(Sales_data[[#This Row],[Order Date]],"mmm")</f>
        <v>Nov</v>
      </c>
      <c r="E1155" t="s">
        <v>18</v>
      </c>
      <c r="F1155" t="s">
        <v>31</v>
      </c>
      <c r="G1155" t="s">
        <v>32</v>
      </c>
      <c r="H1155" t="s">
        <v>42</v>
      </c>
      <c r="I1155" t="s">
        <v>46</v>
      </c>
      <c r="J1155" s="7">
        <v>1916.92</v>
      </c>
      <c r="K1155" s="8">
        <v>7</v>
      </c>
      <c r="L1155" s="7">
        <v>304.72000000000003</v>
      </c>
    </row>
    <row r="1156" spans="1:12" x14ac:dyDescent="0.2">
      <c r="A1156" s="2">
        <v>42338</v>
      </c>
      <c r="B1156" s="8">
        <f>YEAR(Sales_data[[#This Row],[Order Date]])</f>
        <v>2015</v>
      </c>
      <c r="C1156" s="8">
        <f>MONTH(Sales_data[[#This Row],[Order Date]])</f>
        <v>11</v>
      </c>
      <c r="D1156" s="8" t="str">
        <f>TEXT(Sales_data[[#This Row],[Order Date]],"mmm")</f>
        <v>Nov</v>
      </c>
      <c r="E1156" t="s">
        <v>15</v>
      </c>
      <c r="F1156" t="s">
        <v>22</v>
      </c>
      <c r="G1156" t="s">
        <v>34</v>
      </c>
      <c r="H1156" t="s">
        <v>42</v>
      </c>
      <c r="I1156" t="s">
        <v>48</v>
      </c>
      <c r="J1156" s="7">
        <v>376.24</v>
      </c>
      <c r="K1156" s="8">
        <v>3</v>
      </c>
      <c r="L1156" s="7">
        <v>-113.5</v>
      </c>
    </row>
    <row r="1157" spans="1:12" x14ac:dyDescent="0.2">
      <c r="A1157" s="2">
        <v>42339</v>
      </c>
      <c r="B1157" s="8">
        <f>YEAR(Sales_data[[#This Row],[Order Date]])</f>
        <v>2015</v>
      </c>
      <c r="C1157" s="8">
        <f>MONTH(Sales_data[[#This Row],[Order Date]])</f>
        <v>12</v>
      </c>
      <c r="D1157" s="8" t="str">
        <f>TEXT(Sales_data[[#This Row],[Order Date]],"mmm")</f>
        <v>Dec</v>
      </c>
      <c r="E1157" t="s">
        <v>12</v>
      </c>
      <c r="F1157" t="s">
        <v>24</v>
      </c>
      <c r="G1157" t="s">
        <v>34</v>
      </c>
      <c r="H1157" t="s">
        <v>36</v>
      </c>
      <c r="I1157" t="s">
        <v>44</v>
      </c>
      <c r="J1157" s="7">
        <v>523.95000000000005</v>
      </c>
      <c r="K1157" s="8">
        <v>5</v>
      </c>
      <c r="L1157" s="7">
        <v>270.57</v>
      </c>
    </row>
    <row r="1158" spans="1:12" x14ac:dyDescent="0.2">
      <c r="A1158" s="2">
        <v>42340</v>
      </c>
      <c r="B1158" s="8">
        <f>YEAR(Sales_data[[#This Row],[Order Date]])</f>
        <v>2015</v>
      </c>
      <c r="C1158" s="8">
        <f>MONTH(Sales_data[[#This Row],[Order Date]])</f>
        <v>12</v>
      </c>
      <c r="D1158" s="8" t="str">
        <f>TEXT(Sales_data[[#This Row],[Order Date]],"mmm")</f>
        <v>Dec</v>
      </c>
      <c r="E1158" t="s">
        <v>21</v>
      </c>
      <c r="F1158" t="s">
        <v>29</v>
      </c>
      <c r="G1158" t="s">
        <v>34</v>
      </c>
      <c r="H1158" t="s">
        <v>38</v>
      </c>
      <c r="I1158" t="s">
        <v>45</v>
      </c>
      <c r="J1158" s="7">
        <v>588.38</v>
      </c>
      <c r="K1158" s="8">
        <v>6</v>
      </c>
      <c r="L1158" s="7">
        <v>-10.1</v>
      </c>
    </row>
    <row r="1159" spans="1:12" x14ac:dyDescent="0.2">
      <c r="A1159" s="2">
        <v>42340</v>
      </c>
      <c r="B1159" s="8">
        <f>YEAR(Sales_data[[#This Row],[Order Date]])</f>
        <v>2015</v>
      </c>
      <c r="C1159" s="8">
        <f>MONTH(Sales_data[[#This Row],[Order Date]])</f>
        <v>12</v>
      </c>
      <c r="D1159" s="8" t="str">
        <f>TEXT(Sales_data[[#This Row],[Order Date]],"mmm")</f>
        <v>Dec</v>
      </c>
      <c r="E1159" t="s">
        <v>21</v>
      </c>
      <c r="F1159" t="s">
        <v>30</v>
      </c>
      <c r="G1159" t="s">
        <v>34</v>
      </c>
      <c r="H1159" t="s">
        <v>40</v>
      </c>
      <c r="I1159" t="s">
        <v>51</v>
      </c>
      <c r="J1159" s="7">
        <v>657.01</v>
      </c>
      <c r="K1159" s="8">
        <v>1</v>
      </c>
      <c r="L1159" s="7">
        <v>-9.08</v>
      </c>
    </row>
    <row r="1160" spans="1:12" x14ac:dyDescent="0.2">
      <c r="A1160" s="2">
        <v>42341</v>
      </c>
      <c r="B1160" s="8">
        <f>YEAR(Sales_data[[#This Row],[Order Date]])</f>
        <v>2015</v>
      </c>
      <c r="C1160" s="8">
        <f>MONTH(Sales_data[[#This Row],[Order Date]])</f>
        <v>12</v>
      </c>
      <c r="D1160" s="8" t="str">
        <f>TEXT(Sales_data[[#This Row],[Order Date]],"mmm")</f>
        <v>Dec</v>
      </c>
      <c r="E1160" t="s">
        <v>11</v>
      </c>
      <c r="F1160" t="s">
        <v>23</v>
      </c>
      <c r="G1160" t="s">
        <v>33</v>
      </c>
      <c r="H1160" t="s">
        <v>39</v>
      </c>
      <c r="I1160" t="s">
        <v>51</v>
      </c>
      <c r="J1160" s="7">
        <v>1533.91</v>
      </c>
      <c r="K1160" s="8">
        <v>7</v>
      </c>
      <c r="L1160" s="7">
        <v>285.88</v>
      </c>
    </row>
    <row r="1161" spans="1:12" x14ac:dyDescent="0.2">
      <c r="A1161" s="2">
        <v>42342</v>
      </c>
      <c r="B1161" s="8">
        <f>YEAR(Sales_data[[#This Row],[Order Date]])</f>
        <v>2015</v>
      </c>
      <c r="C1161" s="8">
        <f>MONTH(Sales_data[[#This Row],[Order Date]])</f>
        <v>12</v>
      </c>
      <c r="D1161" s="8" t="str">
        <f>TEXT(Sales_data[[#This Row],[Order Date]],"mmm")</f>
        <v>Dec</v>
      </c>
      <c r="E1161" t="s">
        <v>14</v>
      </c>
      <c r="F1161" t="s">
        <v>25</v>
      </c>
      <c r="G1161" t="s">
        <v>34</v>
      </c>
      <c r="H1161" t="s">
        <v>39</v>
      </c>
      <c r="I1161" t="s">
        <v>45</v>
      </c>
      <c r="J1161" s="7">
        <v>923.73</v>
      </c>
      <c r="K1161" s="8">
        <v>1</v>
      </c>
      <c r="L1161" s="7">
        <v>177.18</v>
      </c>
    </row>
    <row r="1162" spans="1:12" x14ac:dyDescent="0.2">
      <c r="A1162" s="2">
        <v>42344</v>
      </c>
      <c r="B1162" s="8">
        <f>YEAR(Sales_data[[#This Row],[Order Date]])</f>
        <v>2015</v>
      </c>
      <c r="C1162" s="8">
        <f>MONTH(Sales_data[[#This Row],[Order Date]])</f>
        <v>12</v>
      </c>
      <c r="D1162" s="8" t="str">
        <f>TEXT(Sales_data[[#This Row],[Order Date]],"mmm")</f>
        <v>Dec</v>
      </c>
      <c r="E1162" t="s">
        <v>17</v>
      </c>
      <c r="F1162" t="s">
        <v>24</v>
      </c>
      <c r="G1162" t="s">
        <v>34</v>
      </c>
      <c r="H1162" t="s">
        <v>36</v>
      </c>
      <c r="I1162" t="s">
        <v>49</v>
      </c>
      <c r="J1162" s="7">
        <v>1437.63</v>
      </c>
      <c r="K1162" s="8">
        <v>2</v>
      </c>
      <c r="L1162" s="7">
        <v>134.09</v>
      </c>
    </row>
    <row r="1163" spans="1:12" x14ac:dyDescent="0.2">
      <c r="A1163" s="2">
        <v>42344</v>
      </c>
      <c r="B1163" s="8">
        <f>YEAR(Sales_data[[#This Row],[Order Date]])</f>
        <v>2015</v>
      </c>
      <c r="C1163" s="8">
        <f>MONTH(Sales_data[[#This Row],[Order Date]])</f>
        <v>12</v>
      </c>
      <c r="D1163" s="8" t="str">
        <f>TEXT(Sales_data[[#This Row],[Order Date]],"mmm")</f>
        <v>Dec</v>
      </c>
      <c r="E1163" t="s">
        <v>15</v>
      </c>
      <c r="F1163" t="s">
        <v>29</v>
      </c>
      <c r="G1163" t="s">
        <v>34</v>
      </c>
      <c r="H1163" t="s">
        <v>35</v>
      </c>
      <c r="I1163" t="s">
        <v>48</v>
      </c>
      <c r="J1163" s="7">
        <v>1271.77</v>
      </c>
      <c r="K1163" s="8">
        <v>3</v>
      </c>
      <c r="L1163" s="7">
        <v>-9.36</v>
      </c>
    </row>
    <row r="1164" spans="1:12" x14ac:dyDescent="0.2">
      <c r="A1164" s="2">
        <v>42345</v>
      </c>
      <c r="B1164" s="8">
        <f>YEAR(Sales_data[[#This Row],[Order Date]])</f>
        <v>2015</v>
      </c>
      <c r="C1164" s="8">
        <f>MONTH(Sales_data[[#This Row],[Order Date]])</f>
        <v>12</v>
      </c>
      <c r="D1164" s="8" t="str">
        <f>TEXT(Sales_data[[#This Row],[Order Date]],"mmm")</f>
        <v>Dec</v>
      </c>
      <c r="E1164" t="s">
        <v>17</v>
      </c>
      <c r="F1164" t="s">
        <v>30</v>
      </c>
      <c r="G1164" t="s">
        <v>33</v>
      </c>
      <c r="H1164" t="s">
        <v>42</v>
      </c>
      <c r="I1164" t="s">
        <v>47</v>
      </c>
      <c r="J1164" s="7">
        <v>768.39</v>
      </c>
      <c r="K1164" s="8">
        <v>1</v>
      </c>
      <c r="L1164" s="7">
        <v>251.68</v>
      </c>
    </row>
    <row r="1165" spans="1:12" x14ac:dyDescent="0.2">
      <c r="A1165" s="2">
        <v>42345</v>
      </c>
      <c r="B1165" s="8">
        <f>YEAR(Sales_data[[#This Row],[Order Date]])</f>
        <v>2015</v>
      </c>
      <c r="C1165" s="8">
        <f>MONTH(Sales_data[[#This Row],[Order Date]])</f>
        <v>12</v>
      </c>
      <c r="D1165" s="8" t="str">
        <f>TEXT(Sales_data[[#This Row],[Order Date]],"mmm")</f>
        <v>Dec</v>
      </c>
      <c r="E1165" t="s">
        <v>14</v>
      </c>
      <c r="F1165" t="s">
        <v>27</v>
      </c>
      <c r="G1165" t="s">
        <v>34</v>
      </c>
      <c r="H1165" t="s">
        <v>39</v>
      </c>
      <c r="I1165" t="s">
        <v>45</v>
      </c>
      <c r="J1165" s="7">
        <v>1148.02</v>
      </c>
      <c r="K1165" s="8">
        <v>5</v>
      </c>
      <c r="L1165" s="7">
        <v>156.11000000000001</v>
      </c>
    </row>
    <row r="1166" spans="1:12" x14ac:dyDescent="0.2">
      <c r="A1166" s="2">
        <v>42346</v>
      </c>
      <c r="B1166" s="8">
        <f>YEAR(Sales_data[[#This Row],[Order Date]])</f>
        <v>2015</v>
      </c>
      <c r="C1166" s="8">
        <f>MONTH(Sales_data[[#This Row],[Order Date]])</f>
        <v>12</v>
      </c>
      <c r="D1166" s="8" t="str">
        <f>TEXT(Sales_data[[#This Row],[Order Date]],"mmm")</f>
        <v>Dec</v>
      </c>
      <c r="E1166" t="s">
        <v>13</v>
      </c>
      <c r="F1166" t="s">
        <v>29</v>
      </c>
      <c r="G1166" t="s">
        <v>33</v>
      </c>
      <c r="H1166" t="s">
        <v>42</v>
      </c>
      <c r="I1166" t="s">
        <v>52</v>
      </c>
      <c r="J1166" s="7">
        <v>692.66</v>
      </c>
      <c r="K1166" s="8">
        <v>5</v>
      </c>
      <c r="L1166" s="7">
        <v>-146.18</v>
      </c>
    </row>
    <row r="1167" spans="1:12" x14ac:dyDescent="0.2">
      <c r="A1167" s="2">
        <v>42347</v>
      </c>
      <c r="B1167" s="8">
        <f>YEAR(Sales_data[[#This Row],[Order Date]])</f>
        <v>2015</v>
      </c>
      <c r="C1167" s="8">
        <f>MONTH(Sales_data[[#This Row],[Order Date]])</f>
        <v>12</v>
      </c>
      <c r="D1167" s="8" t="str">
        <f>TEXT(Sales_data[[#This Row],[Order Date]],"mmm")</f>
        <v>Dec</v>
      </c>
      <c r="E1167" t="s">
        <v>11</v>
      </c>
      <c r="F1167" t="s">
        <v>29</v>
      </c>
      <c r="G1167" t="s">
        <v>32</v>
      </c>
      <c r="H1167" t="s">
        <v>43</v>
      </c>
      <c r="I1167" t="s">
        <v>51</v>
      </c>
      <c r="J1167" s="7">
        <v>655.38</v>
      </c>
      <c r="K1167" s="8">
        <v>1</v>
      </c>
      <c r="L1167" s="7">
        <v>311.87</v>
      </c>
    </row>
    <row r="1168" spans="1:12" x14ac:dyDescent="0.2">
      <c r="A1168" s="2">
        <v>42347</v>
      </c>
      <c r="B1168" s="8">
        <f>YEAR(Sales_data[[#This Row],[Order Date]])</f>
        <v>2015</v>
      </c>
      <c r="C1168" s="8">
        <f>MONTH(Sales_data[[#This Row],[Order Date]])</f>
        <v>12</v>
      </c>
      <c r="D1168" s="8" t="str">
        <f>TEXT(Sales_data[[#This Row],[Order Date]],"mmm")</f>
        <v>Dec</v>
      </c>
      <c r="E1168" t="s">
        <v>15</v>
      </c>
      <c r="F1168" t="s">
        <v>30</v>
      </c>
      <c r="G1168" t="s">
        <v>32</v>
      </c>
      <c r="H1168" t="s">
        <v>35</v>
      </c>
      <c r="I1168" t="s">
        <v>45</v>
      </c>
      <c r="J1168" s="7">
        <v>1527.68</v>
      </c>
      <c r="K1168" s="8">
        <v>8</v>
      </c>
      <c r="L1168" s="7">
        <v>350.33</v>
      </c>
    </row>
    <row r="1169" spans="1:12" x14ac:dyDescent="0.2">
      <c r="A1169" s="2">
        <v>42349</v>
      </c>
      <c r="B1169" s="8">
        <f>YEAR(Sales_data[[#This Row],[Order Date]])</f>
        <v>2015</v>
      </c>
      <c r="C1169" s="8">
        <f>MONTH(Sales_data[[#This Row],[Order Date]])</f>
        <v>12</v>
      </c>
      <c r="D1169" s="8" t="str">
        <f>TEXT(Sales_data[[#This Row],[Order Date]],"mmm")</f>
        <v>Dec</v>
      </c>
      <c r="E1169" t="s">
        <v>14</v>
      </c>
      <c r="F1169" t="s">
        <v>24</v>
      </c>
      <c r="G1169" t="s">
        <v>34</v>
      </c>
      <c r="H1169" t="s">
        <v>35</v>
      </c>
      <c r="I1169" t="s">
        <v>47</v>
      </c>
      <c r="J1169" s="7">
        <v>221.9</v>
      </c>
      <c r="K1169" s="8">
        <v>4</v>
      </c>
      <c r="L1169" s="7">
        <v>-76.03</v>
      </c>
    </row>
    <row r="1170" spans="1:12" x14ac:dyDescent="0.2">
      <c r="A1170" s="2">
        <v>42349</v>
      </c>
      <c r="B1170" s="8">
        <f>YEAR(Sales_data[[#This Row],[Order Date]])</f>
        <v>2015</v>
      </c>
      <c r="C1170" s="8">
        <f>MONTH(Sales_data[[#This Row],[Order Date]])</f>
        <v>12</v>
      </c>
      <c r="D1170" s="8" t="str">
        <f>TEXT(Sales_data[[#This Row],[Order Date]],"mmm")</f>
        <v>Dec</v>
      </c>
      <c r="E1170" t="s">
        <v>21</v>
      </c>
      <c r="F1170" t="s">
        <v>24</v>
      </c>
      <c r="G1170" t="s">
        <v>34</v>
      </c>
      <c r="H1170" t="s">
        <v>40</v>
      </c>
      <c r="I1170" t="s">
        <v>50</v>
      </c>
      <c r="J1170" s="7">
        <v>1871.08</v>
      </c>
      <c r="K1170" s="8">
        <v>7</v>
      </c>
      <c r="L1170" s="7">
        <v>145.75</v>
      </c>
    </row>
    <row r="1171" spans="1:12" x14ac:dyDescent="0.2">
      <c r="A1171" s="2">
        <v>42351</v>
      </c>
      <c r="B1171" s="8">
        <f>YEAR(Sales_data[[#This Row],[Order Date]])</f>
        <v>2015</v>
      </c>
      <c r="C1171" s="8">
        <f>MONTH(Sales_data[[#This Row],[Order Date]])</f>
        <v>12</v>
      </c>
      <c r="D1171" s="8" t="str">
        <f>TEXT(Sales_data[[#This Row],[Order Date]],"mmm")</f>
        <v>Dec</v>
      </c>
      <c r="E1171" t="s">
        <v>9</v>
      </c>
      <c r="F1171" t="s">
        <v>31</v>
      </c>
      <c r="G1171" t="s">
        <v>32</v>
      </c>
      <c r="H1171" t="s">
        <v>42</v>
      </c>
      <c r="I1171" t="s">
        <v>51</v>
      </c>
      <c r="J1171" s="7">
        <v>880.19</v>
      </c>
      <c r="K1171" s="8">
        <v>9</v>
      </c>
      <c r="L1171" s="7">
        <v>148.74</v>
      </c>
    </row>
    <row r="1172" spans="1:12" x14ac:dyDescent="0.2">
      <c r="A1172" s="2">
        <v>42351</v>
      </c>
      <c r="B1172" s="8">
        <f>YEAR(Sales_data[[#This Row],[Order Date]])</f>
        <v>2015</v>
      </c>
      <c r="C1172" s="8">
        <f>MONTH(Sales_data[[#This Row],[Order Date]])</f>
        <v>12</v>
      </c>
      <c r="D1172" s="8" t="str">
        <f>TEXT(Sales_data[[#This Row],[Order Date]],"mmm")</f>
        <v>Dec</v>
      </c>
      <c r="E1172" t="s">
        <v>13</v>
      </c>
      <c r="F1172" t="s">
        <v>30</v>
      </c>
      <c r="G1172" t="s">
        <v>33</v>
      </c>
      <c r="H1172" t="s">
        <v>36</v>
      </c>
      <c r="I1172" t="s">
        <v>48</v>
      </c>
      <c r="J1172" s="7">
        <v>1133.99</v>
      </c>
      <c r="K1172" s="8">
        <v>2</v>
      </c>
      <c r="L1172" s="7">
        <v>267.10000000000002</v>
      </c>
    </row>
    <row r="1173" spans="1:12" x14ac:dyDescent="0.2">
      <c r="A1173" s="2">
        <v>42351</v>
      </c>
      <c r="B1173" s="8">
        <f>YEAR(Sales_data[[#This Row],[Order Date]])</f>
        <v>2015</v>
      </c>
      <c r="C1173" s="8">
        <f>MONTH(Sales_data[[#This Row],[Order Date]])</f>
        <v>12</v>
      </c>
      <c r="D1173" s="8" t="str">
        <f>TEXT(Sales_data[[#This Row],[Order Date]],"mmm")</f>
        <v>Dec</v>
      </c>
      <c r="E1173" t="s">
        <v>13</v>
      </c>
      <c r="F1173" t="s">
        <v>28</v>
      </c>
      <c r="G1173" t="s">
        <v>34</v>
      </c>
      <c r="H1173" t="s">
        <v>39</v>
      </c>
      <c r="I1173" t="s">
        <v>51</v>
      </c>
      <c r="J1173" s="7">
        <v>1866.36</v>
      </c>
      <c r="K1173" s="8">
        <v>6</v>
      </c>
      <c r="L1173" s="7">
        <v>140.66</v>
      </c>
    </row>
    <row r="1174" spans="1:12" x14ac:dyDescent="0.2">
      <c r="A1174" s="2">
        <v>42351</v>
      </c>
      <c r="B1174" s="8">
        <f>YEAR(Sales_data[[#This Row],[Order Date]])</f>
        <v>2015</v>
      </c>
      <c r="C1174" s="8">
        <f>MONTH(Sales_data[[#This Row],[Order Date]])</f>
        <v>12</v>
      </c>
      <c r="D1174" s="8" t="str">
        <f>TEXT(Sales_data[[#This Row],[Order Date]],"mmm")</f>
        <v>Dec</v>
      </c>
      <c r="E1174" t="s">
        <v>12</v>
      </c>
      <c r="F1174" t="s">
        <v>23</v>
      </c>
      <c r="G1174" t="s">
        <v>32</v>
      </c>
      <c r="H1174" t="s">
        <v>39</v>
      </c>
      <c r="I1174" t="s">
        <v>47</v>
      </c>
      <c r="J1174" s="7">
        <v>625.87</v>
      </c>
      <c r="K1174" s="8">
        <v>6</v>
      </c>
      <c r="L1174" s="7">
        <v>318.69</v>
      </c>
    </row>
    <row r="1175" spans="1:12" x14ac:dyDescent="0.2">
      <c r="A1175" s="2">
        <v>42352</v>
      </c>
      <c r="B1175" s="8">
        <f>YEAR(Sales_data[[#This Row],[Order Date]])</f>
        <v>2015</v>
      </c>
      <c r="C1175" s="8">
        <f>MONTH(Sales_data[[#This Row],[Order Date]])</f>
        <v>12</v>
      </c>
      <c r="D1175" s="8" t="str">
        <f>TEXT(Sales_data[[#This Row],[Order Date]],"mmm")</f>
        <v>Dec</v>
      </c>
      <c r="E1175" t="s">
        <v>21</v>
      </c>
      <c r="F1175" t="s">
        <v>22</v>
      </c>
      <c r="G1175" t="s">
        <v>34</v>
      </c>
      <c r="H1175" t="s">
        <v>35</v>
      </c>
      <c r="I1175" t="s">
        <v>48</v>
      </c>
      <c r="J1175" s="7">
        <v>1360.31</v>
      </c>
      <c r="K1175" s="8">
        <v>5</v>
      </c>
      <c r="L1175" s="7">
        <v>385.93</v>
      </c>
    </row>
    <row r="1176" spans="1:12" x14ac:dyDescent="0.2">
      <c r="A1176" s="2">
        <v>42352</v>
      </c>
      <c r="B1176" s="8">
        <f>YEAR(Sales_data[[#This Row],[Order Date]])</f>
        <v>2015</v>
      </c>
      <c r="C1176" s="8">
        <f>MONTH(Sales_data[[#This Row],[Order Date]])</f>
        <v>12</v>
      </c>
      <c r="D1176" s="8" t="str">
        <f>TEXT(Sales_data[[#This Row],[Order Date]],"mmm")</f>
        <v>Dec</v>
      </c>
      <c r="E1176" t="s">
        <v>21</v>
      </c>
      <c r="F1176" t="s">
        <v>22</v>
      </c>
      <c r="G1176" t="s">
        <v>34</v>
      </c>
      <c r="H1176" t="s">
        <v>36</v>
      </c>
      <c r="I1176" t="s">
        <v>44</v>
      </c>
      <c r="J1176" s="7">
        <v>1567.48</v>
      </c>
      <c r="K1176" s="8">
        <v>5</v>
      </c>
      <c r="L1176" s="7">
        <v>341.7</v>
      </c>
    </row>
    <row r="1177" spans="1:12" x14ac:dyDescent="0.2">
      <c r="A1177" s="2">
        <v>42352</v>
      </c>
      <c r="B1177" s="8">
        <f>YEAR(Sales_data[[#This Row],[Order Date]])</f>
        <v>2015</v>
      </c>
      <c r="C1177" s="8">
        <f>MONTH(Sales_data[[#This Row],[Order Date]])</f>
        <v>12</v>
      </c>
      <c r="D1177" s="8" t="str">
        <f>TEXT(Sales_data[[#This Row],[Order Date]],"mmm")</f>
        <v>Dec</v>
      </c>
      <c r="E1177" t="s">
        <v>20</v>
      </c>
      <c r="F1177" t="s">
        <v>29</v>
      </c>
      <c r="G1177" t="s">
        <v>33</v>
      </c>
      <c r="H1177" t="s">
        <v>43</v>
      </c>
      <c r="I1177" t="s">
        <v>53</v>
      </c>
      <c r="J1177" s="7">
        <v>49.6</v>
      </c>
      <c r="K1177" s="8">
        <v>9</v>
      </c>
      <c r="L1177" s="7">
        <v>242.15</v>
      </c>
    </row>
    <row r="1178" spans="1:12" x14ac:dyDescent="0.2">
      <c r="A1178" s="2">
        <v>42354</v>
      </c>
      <c r="B1178" s="8">
        <f>YEAR(Sales_data[[#This Row],[Order Date]])</f>
        <v>2015</v>
      </c>
      <c r="C1178" s="8">
        <f>MONTH(Sales_data[[#This Row],[Order Date]])</f>
        <v>12</v>
      </c>
      <c r="D1178" s="8" t="str">
        <f>TEXT(Sales_data[[#This Row],[Order Date]],"mmm")</f>
        <v>Dec</v>
      </c>
      <c r="E1178" t="s">
        <v>18</v>
      </c>
      <c r="F1178" t="s">
        <v>27</v>
      </c>
      <c r="G1178" t="s">
        <v>33</v>
      </c>
      <c r="H1178" t="s">
        <v>36</v>
      </c>
      <c r="I1178" t="s">
        <v>46</v>
      </c>
      <c r="J1178" s="7">
        <v>1990.37</v>
      </c>
      <c r="K1178" s="8">
        <v>2</v>
      </c>
      <c r="L1178" s="7">
        <v>-173.17</v>
      </c>
    </row>
    <row r="1179" spans="1:12" x14ac:dyDescent="0.2">
      <c r="A1179" s="2">
        <v>42356</v>
      </c>
      <c r="B1179" s="8">
        <f>YEAR(Sales_data[[#This Row],[Order Date]])</f>
        <v>2015</v>
      </c>
      <c r="C1179" s="8">
        <f>MONTH(Sales_data[[#This Row],[Order Date]])</f>
        <v>12</v>
      </c>
      <c r="D1179" s="8" t="str">
        <f>TEXT(Sales_data[[#This Row],[Order Date]],"mmm")</f>
        <v>Dec</v>
      </c>
      <c r="E1179" t="s">
        <v>13</v>
      </c>
      <c r="F1179" t="s">
        <v>26</v>
      </c>
      <c r="G1179" t="s">
        <v>32</v>
      </c>
      <c r="H1179" t="s">
        <v>38</v>
      </c>
      <c r="I1179" t="s">
        <v>50</v>
      </c>
      <c r="J1179" s="7">
        <v>1856.59</v>
      </c>
      <c r="K1179" s="8">
        <v>9</v>
      </c>
      <c r="L1179" s="7">
        <v>360.95</v>
      </c>
    </row>
    <row r="1180" spans="1:12" x14ac:dyDescent="0.2">
      <c r="A1180" s="2">
        <v>42356</v>
      </c>
      <c r="B1180" s="8">
        <f>YEAR(Sales_data[[#This Row],[Order Date]])</f>
        <v>2015</v>
      </c>
      <c r="C1180" s="8">
        <f>MONTH(Sales_data[[#This Row],[Order Date]])</f>
        <v>12</v>
      </c>
      <c r="D1180" s="8" t="str">
        <f>TEXT(Sales_data[[#This Row],[Order Date]],"mmm")</f>
        <v>Dec</v>
      </c>
      <c r="E1180" t="s">
        <v>10</v>
      </c>
      <c r="F1180" t="s">
        <v>24</v>
      </c>
      <c r="G1180" t="s">
        <v>34</v>
      </c>
      <c r="H1180" t="s">
        <v>40</v>
      </c>
      <c r="I1180" t="s">
        <v>53</v>
      </c>
      <c r="J1180" s="7">
        <v>1400.28</v>
      </c>
      <c r="K1180" s="8">
        <v>7</v>
      </c>
      <c r="L1180" s="7">
        <v>-58.02</v>
      </c>
    </row>
    <row r="1181" spans="1:12" x14ac:dyDescent="0.2">
      <c r="A1181" s="2">
        <v>42356</v>
      </c>
      <c r="B1181" s="8">
        <f>YEAR(Sales_data[[#This Row],[Order Date]])</f>
        <v>2015</v>
      </c>
      <c r="C1181" s="8">
        <f>MONTH(Sales_data[[#This Row],[Order Date]])</f>
        <v>12</v>
      </c>
      <c r="D1181" s="8" t="str">
        <f>TEXT(Sales_data[[#This Row],[Order Date]],"mmm")</f>
        <v>Dec</v>
      </c>
      <c r="E1181" t="s">
        <v>9</v>
      </c>
      <c r="F1181" t="s">
        <v>26</v>
      </c>
      <c r="G1181" t="s">
        <v>33</v>
      </c>
      <c r="H1181" t="s">
        <v>43</v>
      </c>
      <c r="I1181" t="s">
        <v>47</v>
      </c>
      <c r="J1181" s="7">
        <v>437.32</v>
      </c>
      <c r="K1181" s="8">
        <v>3</v>
      </c>
      <c r="L1181" s="7">
        <v>-83.22</v>
      </c>
    </row>
    <row r="1182" spans="1:12" x14ac:dyDescent="0.2">
      <c r="A1182" s="2">
        <v>42357</v>
      </c>
      <c r="B1182" s="8">
        <f>YEAR(Sales_data[[#This Row],[Order Date]])</f>
        <v>2015</v>
      </c>
      <c r="C1182" s="8">
        <f>MONTH(Sales_data[[#This Row],[Order Date]])</f>
        <v>12</v>
      </c>
      <c r="D1182" s="8" t="str">
        <f>TEXT(Sales_data[[#This Row],[Order Date]],"mmm")</f>
        <v>Dec</v>
      </c>
      <c r="E1182" t="s">
        <v>9</v>
      </c>
      <c r="F1182" t="s">
        <v>25</v>
      </c>
      <c r="G1182" t="s">
        <v>32</v>
      </c>
      <c r="H1182" t="s">
        <v>38</v>
      </c>
      <c r="I1182" t="s">
        <v>52</v>
      </c>
      <c r="J1182" s="7">
        <v>633.37</v>
      </c>
      <c r="K1182" s="8">
        <v>2</v>
      </c>
      <c r="L1182" s="7">
        <v>-190.57</v>
      </c>
    </row>
    <row r="1183" spans="1:12" x14ac:dyDescent="0.2">
      <c r="A1183" s="2">
        <v>42360</v>
      </c>
      <c r="B1183" s="8">
        <f>YEAR(Sales_data[[#This Row],[Order Date]])</f>
        <v>2015</v>
      </c>
      <c r="C1183" s="8">
        <f>MONTH(Sales_data[[#This Row],[Order Date]])</f>
        <v>12</v>
      </c>
      <c r="D1183" s="8" t="str">
        <f>TEXT(Sales_data[[#This Row],[Order Date]],"mmm")</f>
        <v>Dec</v>
      </c>
      <c r="E1183" t="s">
        <v>11</v>
      </c>
      <c r="F1183" t="s">
        <v>30</v>
      </c>
      <c r="G1183" t="s">
        <v>34</v>
      </c>
      <c r="H1183" t="s">
        <v>43</v>
      </c>
      <c r="I1183" t="s">
        <v>53</v>
      </c>
      <c r="J1183" s="7">
        <v>288.73</v>
      </c>
      <c r="K1183" s="8">
        <v>2</v>
      </c>
      <c r="L1183" s="7">
        <v>1.1299999999999999</v>
      </c>
    </row>
    <row r="1184" spans="1:12" x14ac:dyDescent="0.2">
      <c r="A1184" s="2">
        <v>42361</v>
      </c>
      <c r="B1184" s="8">
        <f>YEAR(Sales_data[[#This Row],[Order Date]])</f>
        <v>2015</v>
      </c>
      <c r="C1184" s="8">
        <f>MONTH(Sales_data[[#This Row],[Order Date]])</f>
        <v>12</v>
      </c>
      <c r="D1184" s="8" t="str">
        <f>TEXT(Sales_data[[#This Row],[Order Date]],"mmm")</f>
        <v>Dec</v>
      </c>
      <c r="E1184" t="s">
        <v>15</v>
      </c>
      <c r="F1184" t="s">
        <v>23</v>
      </c>
      <c r="G1184" t="s">
        <v>33</v>
      </c>
      <c r="H1184" t="s">
        <v>43</v>
      </c>
      <c r="I1184" t="s">
        <v>48</v>
      </c>
      <c r="J1184" s="7">
        <v>414.11</v>
      </c>
      <c r="K1184" s="8">
        <v>6</v>
      </c>
      <c r="L1184" s="7">
        <v>-13.45</v>
      </c>
    </row>
    <row r="1185" spans="1:12" x14ac:dyDescent="0.2">
      <c r="A1185" s="2">
        <v>42361</v>
      </c>
      <c r="B1185" s="8">
        <f>YEAR(Sales_data[[#This Row],[Order Date]])</f>
        <v>2015</v>
      </c>
      <c r="C1185" s="8">
        <f>MONTH(Sales_data[[#This Row],[Order Date]])</f>
        <v>12</v>
      </c>
      <c r="D1185" s="8" t="str">
        <f>TEXT(Sales_data[[#This Row],[Order Date]],"mmm")</f>
        <v>Dec</v>
      </c>
      <c r="E1185" t="s">
        <v>12</v>
      </c>
      <c r="F1185" t="s">
        <v>29</v>
      </c>
      <c r="G1185" t="s">
        <v>33</v>
      </c>
      <c r="H1185" t="s">
        <v>41</v>
      </c>
      <c r="I1185" t="s">
        <v>46</v>
      </c>
      <c r="J1185" s="7">
        <v>1699.77</v>
      </c>
      <c r="K1185" s="8">
        <v>7</v>
      </c>
      <c r="L1185" s="7">
        <v>-86.13</v>
      </c>
    </row>
    <row r="1186" spans="1:12" x14ac:dyDescent="0.2">
      <c r="A1186" s="2">
        <v>42363</v>
      </c>
      <c r="B1186" s="8">
        <f>YEAR(Sales_data[[#This Row],[Order Date]])</f>
        <v>2015</v>
      </c>
      <c r="C1186" s="8">
        <f>MONTH(Sales_data[[#This Row],[Order Date]])</f>
        <v>12</v>
      </c>
      <c r="D1186" s="8" t="str">
        <f>TEXT(Sales_data[[#This Row],[Order Date]],"mmm")</f>
        <v>Dec</v>
      </c>
      <c r="E1186" t="s">
        <v>17</v>
      </c>
      <c r="F1186" t="s">
        <v>28</v>
      </c>
      <c r="G1186" t="s">
        <v>34</v>
      </c>
      <c r="H1186" t="s">
        <v>35</v>
      </c>
      <c r="I1186" t="s">
        <v>44</v>
      </c>
      <c r="J1186" s="7">
        <v>418.68</v>
      </c>
      <c r="K1186" s="8">
        <v>5</v>
      </c>
      <c r="L1186" s="7">
        <v>122.32</v>
      </c>
    </row>
    <row r="1187" spans="1:12" x14ac:dyDescent="0.2">
      <c r="A1187" s="2">
        <v>42367</v>
      </c>
      <c r="B1187" s="8">
        <f>YEAR(Sales_data[[#This Row],[Order Date]])</f>
        <v>2015</v>
      </c>
      <c r="C1187" s="8">
        <f>MONTH(Sales_data[[#This Row],[Order Date]])</f>
        <v>12</v>
      </c>
      <c r="D1187" s="8" t="str">
        <f>TEXT(Sales_data[[#This Row],[Order Date]],"mmm")</f>
        <v>Dec</v>
      </c>
      <c r="E1187" t="s">
        <v>14</v>
      </c>
      <c r="F1187" t="s">
        <v>24</v>
      </c>
      <c r="G1187" t="s">
        <v>33</v>
      </c>
      <c r="H1187" t="s">
        <v>39</v>
      </c>
      <c r="I1187" t="s">
        <v>53</v>
      </c>
      <c r="J1187" s="7">
        <v>1330.77</v>
      </c>
      <c r="K1187" s="8">
        <v>1</v>
      </c>
      <c r="L1187" s="7">
        <v>-43.76</v>
      </c>
    </row>
    <row r="1188" spans="1:12" x14ac:dyDescent="0.2">
      <c r="A1188" s="2">
        <v>42367</v>
      </c>
      <c r="B1188" s="8">
        <f>YEAR(Sales_data[[#This Row],[Order Date]])</f>
        <v>2015</v>
      </c>
      <c r="C1188" s="8">
        <f>MONTH(Sales_data[[#This Row],[Order Date]])</f>
        <v>12</v>
      </c>
      <c r="D1188" s="8" t="str">
        <f>TEXT(Sales_data[[#This Row],[Order Date]],"mmm")</f>
        <v>Dec</v>
      </c>
      <c r="E1188" t="s">
        <v>18</v>
      </c>
      <c r="F1188" t="s">
        <v>30</v>
      </c>
      <c r="G1188" t="s">
        <v>33</v>
      </c>
      <c r="H1188" t="s">
        <v>35</v>
      </c>
      <c r="I1188" t="s">
        <v>48</v>
      </c>
      <c r="J1188" s="7">
        <v>1059.97</v>
      </c>
      <c r="K1188" s="8">
        <v>9</v>
      </c>
      <c r="L1188" s="7">
        <v>10.77</v>
      </c>
    </row>
    <row r="1189" spans="1:12" x14ac:dyDescent="0.2">
      <c r="A1189" s="2">
        <v>42368</v>
      </c>
      <c r="B1189" s="8">
        <f>YEAR(Sales_data[[#This Row],[Order Date]])</f>
        <v>2015</v>
      </c>
      <c r="C1189" s="8">
        <f>MONTH(Sales_data[[#This Row],[Order Date]])</f>
        <v>12</v>
      </c>
      <c r="D1189" s="8" t="str">
        <f>TEXT(Sales_data[[#This Row],[Order Date]],"mmm")</f>
        <v>Dec</v>
      </c>
      <c r="E1189" t="s">
        <v>13</v>
      </c>
      <c r="F1189" t="s">
        <v>22</v>
      </c>
      <c r="G1189" t="s">
        <v>32</v>
      </c>
      <c r="H1189" t="s">
        <v>38</v>
      </c>
      <c r="I1189" t="s">
        <v>46</v>
      </c>
      <c r="J1189" s="7">
        <v>233.36</v>
      </c>
      <c r="K1189" s="8">
        <v>4</v>
      </c>
      <c r="L1189" s="7">
        <v>3.08</v>
      </c>
    </row>
    <row r="1190" spans="1:12" x14ac:dyDescent="0.2">
      <c r="A1190" s="2">
        <v>42370</v>
      </c>
      <c r="B1190" s="8">
        <f>YEAR(Sales_data[[#This Row],[Order Date]])</f>
        <v>2016</v>
      </c>
      <c r="C1190" s="8">
        <f>MONTH(Sales_data[[#This Row],[Order Date]])</f>
        <v>1</v>
      </c>
      <c r="D1190" s="8" t="str">
        <f>TEXT(Sales_data[[#This Row],[Order Date]],"mmm")</f>
        <v>Jan</v>
      </c>
      <c r="E1190" t="s">
        <v>13</v>
      </c>
      <c r="F1190" t="s">
        <v>25</v>
      </c>
      <c r="G1190" t="s">
        <v>32</v>
      </c>
      <c r="H1190" t="s">
        <v>36</v>
      </c>
      <c r="I1190" t="s">
        <v>46</v>
      </c>
      <c r="J1190" s="7">
        <v>1175.1199999999999</v>
      </c>
      <c r="K1190" s="8">
        <v>1</v>
      </c>
      <c r="L1190" s="7">
        <v>-174.49</v>
      </c>
    </row>
    <row r="1191" spans="1:12" x14ac:dyDescent="0.2">
      <c r="A1191" s="2">
        <v>42370</v>
      </c>
      <c r="B1191" s="8">
        <f>YEAR(Sales_data[[#This Row],[Order Date]])</f>
        <v>2016</v>
      </c>
      <c r="C1191" s="8">
        <f>MONTH(Sales_data[[#This Row],[Order Date]])</f>
        <v>1</v>
      </c>
      <c r="D1191" s="8" t="str">
        <f>TEXT(Sales_data[[#This Row],[Order Date]],"mmm")</f>
        <v>Jan</v>
      </c>
      <c r="E1191" t="s">
        <v>19</v>
      </c>
      <c r="F1191" t="s">
        <v>27</v>
      </c>
      <c r="G1191" t="s">
        <v>33</v>
      </c>
      <c r="H1191" t="s">
        <v>39</v>
      </c>
      <c r="I1191" t="s">
        <v>46</v>
      </c>
      <c r="J1191" s="7">
        <v>1636.35</v>
      </c>
      <c r="K1191" s="8">
        <v>5</v>
      </c>
      <c r="L1191" s="7">
        <v>238.32</v>
      </c>
    </row>
    <row r="1192" spans="1:12" x14ac:dyDescent="0.2">
      <c r="A1192" s="2">
        <v>42371</v>
      </c>
      <c r="B1192" s="8">
        <f>YEAR(Sales_data[[#This Row],[Order Date]])</f>
        <v>2016</v>
      </c>
      <c r="C1192" s="8">
        <f>MONTH(Sales_data[[#This Row],[Order Date]])</f>
        <v>1</v>
      </c>
      <c r="D1192" s="8" t="str">
        <f>TEXT(Sales_data[[#This Row],[Order Date]],"mmm")</f>
        <v>Jan</v>
      </c>
      <c r="E1192" t="s">
        <v>14</v>
      </c>
      <c r="F1192" t="s">
        <v>23</v>
      </c>
      <c r="G1192" t="s">
        <v>32</v>
      </c>
      <c r="H1192" t="s">
        <v>35</v>
      </c>
      <c r="I1192" t="s">
        <v>53</v>
      </c>
      <c r="J1192" s="7">
        <v>1534.39</v>
      </c>
      <c r="K1192" s="8">
        <v>3</v>
      </c>
      <c r="L1192" s="7">
        <v>381.58</v>
      </c>
    </row>
    <row r="1193" spans="1:12" x14ac:dyDescent="0.2">
      <c r="A1193" s="2">
        <v>42372</v>
      </c>
      <c r="B1193" s="8">
        <f>YEAR(Sales_data[[#This Row],[Order Date]])</f>
        <v>2016</v>
      </c>
      <c r="C1193" s="8">
        <f>MONTH(Sales_data[[#This Row],[Order Date]])</f>
        <v>1</v>
      </c>
      <c r="D1193" s="8" t="str">
        <f>TEXT(Sales_data[[#This Row],[Order Date]],"mmm")</f>
        <v>Jan</v>
      </c>
      <c r="E1193" t="s">
        <v>20</v>
      </c>
      <c r="F1193" t="s">
        <v>31</v>
      </c>
      <c r="G1193" t="s">
        <v>32</v>
      </c>
      <c r="H1193" t="s">
        <v>39</v>
      </c>
      <c r="I1193" t="s">
        <v>48</v>
      </c>
      <c r="J1193" s="7">
        <v>653.16</v>
      </c>
      <c r="K1193" s="8">
        <v>4</v>
      </c>
      <c r="L1193" s="7">
        <v>-70.03</v>
      </c>
    </row>
    <row r="1194" spans="1:12" x14ac:dyDescent="0.2">
      <c r="A1194" s="2">
        <v>42373</v>
      </c>
      <c r="B1194" s="8">
        <f>YEAR(Sales_data[[#This Row],[Order Date]])</f>
        <v>2016</v>
      </c>
      <c r="C1194" s="8">
        <f>MONTH(Sales_data[[#This Row],[Order Date]])</f>
        <v>1</v>
      </c>
      <c r="D1194" s="8" t="str">
        <f>TEXT(Sales_data[[#This Row],[Order Date]],"mmm")</f>
        <v>Jan</v>
      </c>
      <c r="E1194" t="s">
        <v>16</v>
      </c>
      <c r="F1194" t="s">
        <v>29</v>
      </c>
      <c r="G1194" t="s">
        <v>33</v>
      </c>
      <c r="H1194" t="s">
        <v>37</v>
      </c>
      <c r="I1194" t="s">
        <v>53</v>
      </c>
      <c r="J1194" s="7">
        <v>1710.15</v>
      </c>
      <c r="K1194" s="8">
        <v>9</v>
      </c>
      <c r="L1194" s="7">
        <v>-111.92</v>
      </c>
    </row>
    <row r="1195" spans="1:12" x14ac:dyDescent="0.2">
      <c r="A1195" s="2">
        <v>42374</v>
      </c>
      <c r="B1195" s="8">
        <f>YEAR(Sales_data[[#This Row],[Order Date]])</f>
        <v>2016</v>
      </c>
      <c r="C1195" s="8">
        <f>MONTH(Sales_data[[#This Row],[Order Date]])</f>
        <v>1</v>
      </c>
      <c r="D1195" s="8" t="str">
        <f>TEXT(Sales_data[[#This Row],[Order Date]],"mmm")</f>
        <v>Jan</v>
      </c>
      <c r="E1195" t="s">
        <v>21</v>
      </c>
      <c r="F1195" t="s">
        <v>25</v>
      </c>
      <c r="G1195" t="s">
        <v>32</v>
      </c>
      <c r="H1195" t="s">
        <v>39</v>
      </c>
      <c r="I1195" t="s">
        <v>47</v>
      </c>
      <c r="J1195" s="7">
        <v>1270.23</v>
      </c>
      <c r="K1195" s="8">
        <v>9</v>
      </c>
      <c r="L1195" s="7">
        <v>59.54</v>
      </c>
    </row>
    <row r="1196" spans="1:12" x14ac:dyDescent="0.2">
      <c r="A1196" s="2">
        <v>42376</v>
      </c>
      <c r="B1196" s="8">
        <f>YEAR(Sales_data[[#This Row],[Order Date]])</f>
        <v>2016</v>
      </c>
      <c r="C1196" s="8">
        <f>MONTH(Sales_data[[#This Row],[Order Date]])</f>
        <v>1</v>
      </c>
      <c r="D1196" s="8" t="str">
        <f>TEXT(Sales_data[[#This Row],[Order Date]],"mmm")</f>
        <v>Jan</v>
      </c>
      <c r="E1196" t="s">
        <v>16</v>
      </c>
      <c r="F1196" t="s">
        <v>28</v>
      </c>
      <c r="G1196" t="s">
        <v>33</v>
      </c>
      <c r="H1196" t="s">
        <v>40</v>
      </c>
      <c r="I1196" t="s">
        <v>47</v>
      </c>
      <c r="J1196" s="7">
        <v>759.01</v>
      </c>
      <c r="K1196" s="8">
        <v>6</v>
      </c>
      <c r="L1196" s="7">
        <v>260.63</v>
      </c>
    </row>
    <row r="1197" spans="1:12" x14ac:dyDescent="0.2">
      <c r="A1197" s="2">
        <v>42376</v>
      </c>
      <c r="B1197" s="8">
        <f>YEAR(Sales_data[[#This Row],[Order Date]])</f>
        <v>2016</v>
      </c>
      <c r="C1197" s="8">
        <f>MONTH(Sales_data[[#This Row],[Order Date]])</f>
        <v>1</v>
      </c>
      <c r="D1197" s="8" t="str">
        <f>TEXT(Sales_data[[#This Row],[Order Date]],"mmm")</f>
        <v>Jan</v>
      </c>
      <c r="E1197" t="s">
        <v>18</v>
      </c>
      <c r="F1197" t="s">
        <v>25</v>
      </c>
      <c r="G1197" t="s">
        <v>34</v>
      </c>
      <c r="H1197" t="s">
        <v>40</v>
      </c>
      <c r="I1197" t="s">
        <v>44</v>
      </c>
      <c r="J1197" s="7">
        <v>1972.2</v>
      </c>
      <c r="K1197" s="8">
        <v>4</v>
      </c>
      <c r="L1197" s="7">
        <v>53.4</v>
      </c>
    </row>
    <row r="1198" spans="1:12" x14ac:dyDescent="0.2">
      <c r="A1198" s="2">
        <v>42376</v>
      </c>
      <c r="B1198" s="8">
        <f>YEAR(Sales_data[[#This Row],[Order Date]])</f>
        <v>2016</v>
      </c>
      <c r="C1198" s="8">
        <f>MONTH(Sales_data[[#This Row],[Order Date]])</f>
        <v>1</v>
      </c>
      <c r="D1198" s="8" t="str">
        <f>TEXT(Sales_data[[#This Row],[Order Date]],"mmm")</f>
        <v>Jan</v>
      </c>
      <c r="E1198" t="s">
        <v>12</v>
      </c>
      <c r="F1198" t="s">
        <v>28</v>
      </c>
      <c r="G1198" t="s">
        <v>32</v>
      </c>
      <c r="H1198" t="s">
        <v>37</v>
      </c>
      <c r="I1198" t="s">
        <v>52</v>
      </c>
      <c r="J1198" s="7">
        <v>1341.47</v>
      </c>
      <c r="K1198" s="8">
        <v>4</v>
      </c>
      <c r="L1198" s="7">
        <v>96.34</v>
      </c>
    </row>
    <row r="1199" spans="1:12" x14ac:dyDescent="0.2">
      <c r="A1199" s="2">
        <v>42379</v>
      </c>
      <c r="B1199" s="8">
        <f>YEAR(Sales_data[[#This Row],[Order Date]])</f>
        <v>2016</v>
      </c>
      <c r="C1199" s="8">
        <f>MONTH(Sales_data[[#This Row],[Order Date]])</f>
        <v>1</v>
      </c>
      <c r="D1199" s="8" t="str">
        <f>TEXT(Sales_data[[#This Row],[Order Date]],"mmm")</f>
        <v>Jan</v>
      </c>
      <c r="E1199" t="s">
        <v>9</v>
      </c>
      <c r="F1199" t="s">
        <v>29</v>
      </c>
      <c r="G1199" t="s">
        <v>33</v>
      </c>
      <c r="H1199" t="s">
        <v>43</v>
      </c>
      <c r="I1199" t="s">
        <v>53</v>
      </c>
      <c r="J1199" s="7">
        <v>1051.08</v>
      </c>
      <c r="K1199" s="8">
        <v>4</v>
      </c>
      <c r="L1199" s="7">
        <v>349.3</v>
      </c>
    </row>
    <row r="1200" spans="1:12" x14ac:dyDescent="0.2">
      <c r="A1200" s="2">
        <v>42379</v>
      </c>
      <c r="B1200" s="8">
        <f>YEAR(Sales_data[[#This Row],[Order Date]])</f>
        <v>2016</v>
      </c>
      <c r="C1200" s="8">
        <f>MONTH(Sales_data[[#This Row],[Order Date]])</f>
        <v>1</v>
      </c>
      <c r="D1200" s="8" t="str">
        <f>TEXT(Sales_data[[#This Row],[Order Date]],"mmm")</f>
        <v>Jan</v>
      </c>
      <c r="E1200" t="s">
        <v>10</v>
      </c>
      <c r="F1200" t="s">
        <v>31</v>
      </c>
      <c r="G1200" t="s">
        <v>33</v>
      </c>
      <c r="H1200" t="s">
        <v>42</v>
      </c>
      <c r="I1200" t="s">
        <v>47</v>
      </c>
      <c r="J1200" s="7">
        <v>633.61</v>
      </c>
      <c r="K1200" s="8">
        <v>4</v>
      </c>
      <c r="L1200" s="7">
        <v>251.24</v>
      </c>
    </row>
    <row r="1201" spans="1:12" x14ac:dyDescent="0.2">
      <c r="A1201" s="2">
        <v>42379</v>
      </c>
      <c r="B1201" s="8">
        <f>YEAR(Sales_data[[#This Row],[Order Date]])</f>
        <v>2016</v>
      </c>
      <c r="C1201" s="8">
        <f>MONTH(Sales_data[[#This Row],[Order Date]])</f>
        <v>1</v>
      </c>
      <c r="D1201" s="8" t="str">
        <f>TEXT(Sales_data[[#This Row],[Order Date]],"mmm")</f>
        <v>Jan</v>
      </c>
      <c r="E1201" t="s">
        <v>11</v>
      </c>
      <c r="F1201" t="s">
        <v>29</v>
      </c>
      <c r="G1201" t="s">
        <v>34</v>
      </c>
      <c r="H1201" t="s">
        <v>35</v>
      </c>
      <c r="I1201" t="s">
        <v>48</v>
      </c>
      <c r="J1201" s="7">
        <v>1052.83</v>
      </c>
      <c r="K1201" s="8">
        <v>4</v>
      </c>
      <c r="L1201" s="7">
        <v>156.47999999999999</v>
      </c>
    </row>
    <row r="1202" spans="1:12" x14ac:dyDescent="0.2">
      <c r="A1202" s="2">
        <v>42382</v>
      </c>
      <c r="B1202" s="8">
        <f>YEAR(Sales_data[[#This Row],[Order Date]])</f>
        <v>2016</v>
      </c>
      <c r="C1202" s="8">
        <f>MONTH(Sales_data[[#This Row],[Order Date]])</f>
        <v>1</v>
      </c>
      <c r="D1202" s="8" t="str">
        <f>TEXT(Sales_data[[#This Row],[Order Date]],"mmm")</f>
        <v>Jan</v>
      </c>
      <c r="E1202" t="s">
        <v>18</v>
      </c>
      <c r="F1202" t="s">
        <v>31</v>
      </c>
      <c r="G1202" t="s">
        <v>34</v>
      </c>
      <c r="H1202" t="s">
        <v>36</v>
      </c>
      <c r="I1202" t="s">
        <v>49</v>
      </c>
      <c r="J1202" s="7">
        <v>1457.91</v>
      </c>
      <c r="K1202" s="8">
        <v>6</v>
      </c>
      <c r="L1202" s="7">
        <v>369.28</v>
      </c>
    </row>
    <row r="1203" spans="1:12" x14ac:dyDescent="0.2">
      <c r="A1203" s="2">
        <v>42383</v>
      </c>
      <c r="B1203" s="8">
        <f>YEAR(Sales_data[[#This Row],[Order Date]])</f>
        <v>2016</v>
      </c>
      <c r="C1203" s="8">
        <f>MONTH(Sales_data[[#This Row],[Order Date]])</f>
        <v>1</v>
      </c>
      <c r="D1203" s="8" t="str">
        <f>TEXT(Sales_data[[#This Row],[Order Date]],"mmm")</f>
        <v>Jan</v>
      </c>
      <c r="E1203" t="s">
        <v>13</v>
      </c>
      <c r="F1203" t="s">
        <v>23</v>
      </c>
      <c r="G1203" t="s">
        <v>34</v>
      </c>
      <c r="H1203" t="s">
        <v>38</v>
      </c>
      <c r="I1203" t="s">
        <v>52</v>
      </c>
      <c r="J1203" s="7">
        <v>273</v>
      </c>
      <c r="K1203" s="8">
        <v>4</v>
      </c>
      <c r="L1203" s="7">
        <v>216.44</v>
      </c>
    </row>
    <row r="1204" spans="1:12" x14ac:dyDescent="0.2">
      <c r="A1204" s="2">
        <v>42383</v>
      </c>
      <c r="B1204" s="8">
        <f>YEAR(Sales_data[[#This Row],[Order Date]])</f>
        <v>2016</v>
      </c>
      <c r="C1204" s="8">
        <f>MONTH(Sales_data[[#This Row],[Order Date]])</f>
        <v>1</v>
      </c>
      <c r="D1204" s="8" t="str">
        <f>TEXT(Sales_data[[#This Row],[Order Date]],"mmm")</f>
        <v>Jan</v>
      </c>
      <c r="E1204" t="s">
        <v>20</v>
      </c>
      <c r="F1204" t="s">
        <v>26</v>
      </c>
      <c r="G1204" t="s">
        <v>34</v>
      </c>
      <c r="H1204" t="s">
        <v>41</v>
      </c>
      <c r="I1204" t="s">
        <v>46</v>
      </c>
      <c r="J1204" s="7">
        <v>755.71</v>
      </c>
      <c r="K1204" s="8">
        <v>6</v>
      </c>
      <c r="L1204" s="7">
        <v>281.42</v>
      </c>
    </row>
    <row r="1205" spans="1:12" x14ac:dyDescent="0.2">
      <c r="A1205" s="2">
        <v>42384</v>
      </c>
      <c r="B1205" s="8">
        <f>YEAR(Sales_data[[#This Row],[Order Date]])</f>
        <v>2016</v>
      </c>
      <c r="C1205" s="8">
        <f>MONTH(Sales_data[[#This Row],[Order Date]])</f>
        <v>1</v>
      </c>
      <c r="D1205" s="8" t="str">
        <f>TEXT(Sales_data[[#This Row],[Order Date]],"mmm")</f>
        <v>Jan</v>
      </c>
      <c r="E1205" t="s">
        <v>9</v>
      </c>
      <c r="F1205" t="s">
        <v>31</v>
      </c>
      <c r="G1205" t="s">
        <v>33</v>
      </c>
      <c r="H1205" t="s">
        <v>43</v>
      </c>
      <c r="I1205" t="s">
        <v>48</v>
      </c>
      <c r="J1205" s="7">
        <v>1174.3900000000001</v>
      </c>
      <c r="K1205" s="8">
        <v>4</v>
      </c>
      <c r="L1205" s="7">
        <v>-104.98</v>
      </c>
    </row>
    <row r="1206" spans="1:12" x14ac:dyDescent="0.2">
      <c r="A1206" s="2">
        <v>42384</v>
      </c>
      <c r="B1206" s="8">
        <f>YEAR(Sales_data[[#This Row],[Order Date]])</f>
        <v>2016</v>
      </c>
      <c r="C1206" s="8">
        <f>MONTH(Sales_data[[#This Row],[Order Date]])</f>
        <v>1</v>
      </c>
      <c r="D1206" s="8" t="str">
        <f>TEXT(Sales_data[[#This Row],[Order Date]],"mmm")</f>
        <v>Jan</v>
      </c>
      <c r="E1206" t="s">
        <v>16</v>
      </c>
      <c r="F1206" t="s">
        <v>29</v>
      </c>
      <c r="G1206" t="s">
        <v>34</v>
      </c>
      <c r="H1206" t="s">
        <v>36</v>
      </c>
      <c r="I1206" t="s">
        <v>44</v>
      </c>
      <c r="J1206" s="7">
        <v>300.57</v>
      </c>
      <c r="K1206" s="8">
        <v>2</v>
      </c>
      <c r="L1206" s="7">
        <v>-43.83</v>
      </c>
    </row>
    <row r="1207" spans="1:12" x14ac:dyDescent="0.2">
      <c r="A1207" s="2">
        <v>42384</v>
      </c>
      <c r="B1207" s="8">
        <f>YEAR(Sales_data[[#This Row],[Order Date]])</f>
        <v>2016</v>
      </c>
      <c r="C1207" s="8">
        <f>MONTH(Sales_data[[#This Row],[Order Date]])</f>
        <v>1</v>
      </c>
      <c r="D1207" s="8" t="str">
        <f>TEXT(Sales_data[[#This Row],[Order Date]],"mmm")</f>
        <v>Jan</v>
      </c>
      <c r="E1207" t="s">
        <v>17</v>
      </c>
      <c r="F1207" t="s">
        <v>28</v>
      </c>
      <c r="G1207" t="s">
        <v>33</v>
      </c>
      <c r="H1207" t="s">
        <v>41</v>
      </c>
      <c r="I1207" t="s">
        <v>50</v>
      </c>
      <c r="J1207" s="7">
        <v>478.59</v>
      </c>
      <c r="K1207" s="8">
        <v>3</v>
      </c>
      <c r="L1207" s="7">
        <v>-20.18</v>
      </c>
    </row>
    <row r="1208" spans="1:12" x14ac:dyDescent="0.2">
      <c r="A1208" s="2">
        <v>42386</v>
      </c>
      <c r="B1208" s="8">
        <f>YEAR(Sales_data[[#This Row],[Order Date]])</f>
        <v>2016</v>
      </c>
      <c r="C1208" s="8">
        <f>MONTH(Sales_data[[#This Row],[Order Date]])</f>
        <v>1</v>
      </c>
      <c r="D1208" s="8" t="str">
        <f>TEXT(Sales_data[[#This Row],[Order Date]],"mmm")</f>
        <v>Jan</v>
      </c>
      <c r="E1208" t="s">
        <v>19</v>
      </c>
      <c r="F1208" t="s">
        <v>31</v>
      </c>
      <c r="G1208" t="s">
        <v>33</v>
      </c>
      <c r="H1208" t="s">
        <v>42</v>
      </c>
      <c r="I1208" t="s">
        <v>46</v>
      </c>
      <c r="J1208" s="7">
        <v>1363.42</v>
      </c>
      <c r="K1208" s="8">
        <v>1</v>
      </c>
      <c r="L1208" s="7">
        <v>124.07</v>
      </c>
    </row>
    <row r="1209" spans="1:12" x14ac:dyDescent="0.2">
      <c r="A1209" s="2">
        <v>42387</v>
      </c>
      <c r="B1209" s="8">
        <f>YEAR(Sales_data[[#This Row],[Order Date]])</f>
        <v>2016</v>
      </c>
      <c r="C1209" s="8">
        <f>MONTH(Sales_data[[#This Row],[Order Date]])</f>
        <v>1</v>
      </c>
      <c r="D1209" s="8" t="str">
        <f>TEXT(Sales_data[[#This Row],[Order Date]],"mmm")</f>
        <v>Jan</v>
      </c>
      <c r="E1209" t="s">
        <v>10</v>
      </c>
      <c r="F1209" t="s">
        <v>30</v>
      </c>
      <c r="G1209" t="s">
        <v>33</v>
      </c>
      <c r="H1209" t="s">
        <v>37</v>
      </c>
      <c r="I1209" t="s">
        <v>49</v>
      </c>
      <c r="J1209" s="7">
        <v>979.63</v>
      </c>
      <c r="K1209" s="8">
        <v>6</v>
      </c>
      <c r="L1209" s="7">
        <v>-74.66</v>
      </c>
    </row>
    <row r="1210" spans="1:12" x14ac:dyDescent="0.2">
      <c r="A1210" s="2">
        <v>42387</v>
      </c>
      <c r="B1210" s="8">
        <f>YEAR(Sales_data[[#This Row],[Order Date]])</f>
        <v>2016</v>
      </c>
      <c r="C1210" s="8">
        <f>MONTH(Sales_data[[#This Row],[Order Date]])</f>
        <v>1</v>
      </c>
      <c r="D1210" s="8" t="str">
        <f>TEXT(Sales_data[[#This Row],[Order Date]],"mmm")</f>
        <v>Jan</v>
      </c>
      <c r="E1210" t="s">
        <v>18</v>
      </c>
      <c r="F1210" t="s">
        <v>23</v>
      </c>
      <c r="G1210" t="s">
        <v>34</v>
      </c>
      <c r="H1210" t="s">
        <v>43</v>
      </c>
      <c r="I1210" t="s">
        <v>52</v>
      </c>
      <c r="J1210" s="7">
        <v>105.46</v>
      </c>
      <c r="K1210" s="8">
        <v>1</v>
      </c>
      <c r="L1210" s="7">
        <v>179.97</v>
      </c>
    </row>
    <row r="1211" spans="1:12" x14ac:dyDescent="0.2">
      <c r="A1211" s="2">
        <v>42390</v>
      </c>
      <c r="B1211" s="8">
        <f>YEAR(Sales_data[[#This Row],[Order Date]])</f>
        <v>2016</v>
      </c>
      <c r="C1211" s="8">
        <f>MONTH(Sales_data[[#This Row],[Order Date]])</f>
        <v>1</v>
      </c>
      <c r="D1211" s="8" t="str">
        <f>TEXT(Sales_data[[#This Row],[Order Date]],"mmm")</f>
        <v>Jan</v>
      </c>
      <c r="E1211" t="s">
        <v>17</v>
      </c>
      <c r="F1211" t="s">
        <v>31</v>
      </c>
      <c r="G1211" t="s">
        <v>33</v>
      </c>
      <c r="H1211" t="s">
        <v>43</v>
      </c>
      <c r="I1211" t="s">
        <v>50</v>
      </c>
      <c r="J1211" s="7">
        <v>1597.91</v>
      </c>
      <c r="K1211" s="8">
        <v>5</v>
      </c>
      <c r="L1211" s="7">
        <v>340.88</v>
      </c>
    </row>
    <row r="1212" spans="1:12" x14ac:dyDescent="0.2">
      <c r="A1212" s="2">
        <v>42393</v>
      </c>
      <c r="B1212" s="8">
        <f>YEAR(Sales_data[[#This Row],[Order Date]])</f>
        <v>2016</v>
      </c>
      <c r="C1212" s="8">
        <f>MONTH(Sales_data[[#This Row],[Order Date]])</f>
        <v>1</v>
      </c>
      <c r="D1212" s="8" t="str">
        <f>TEXT(Sales_data[[#This Row],[Order Date]],"mmm")</f>
        <v>Jan</v>
      </c>
      <c r="E1212" t="s">
        <v>12</v>
      </c>
      <c r="F1212" t="s">
        <v>31</v>
      </c>
      <c r="G1212" t="s">
        <v>32</v>
      </c>
      <c r="H1212" t="s">
        <v>39</v>
      </c>
      <c r="I1212" t="s">
        <v>52</v>
      </c>
      <c r="J1212" s="7">
        <v>1337.14</v>
      </c>
      <c r="K1212" s="8">
        <v>7</v>
      </c>
      <c r="L1212" s="7">
        <v>-114.28</v>
      </c>
    </row>
    <row r="1213" spans="1:12" x14ac:dyDescent="0.2">
      <c r="A1213" s="2">
        <v>42394</v>
      </c>
      <c r="B1213" s="8">
        <f>YEAR(Sales_data[[#This Row],[Order Date]])</f>
        <v>2016</v>
      </c>
      <c r="C1213" s="8">
        <f>MONTH(Sales_data[[#This Row],[Order Date]])</f>
        <v>1</v>
      </c>
      <c r="D1213" s="8" t="str">
        <f>TEXT(Sales_data[[#This Row],[Order Date]],"mmm")</f>
        <v>Jan</v>
      </c>
      <c r="E1213" t="s">
        <v>15</v>
      </c>
      <c r="F1213" t="s">
        <v>31</v>
      </c>
      <c r="G1213" t="s">
        <v>34</v>
      </c>
      <c r="H1213" t="s">
        <v>35</v>
      </c>
      <c r="I1213" t="s">
        <v>44</v>
      </c>
      <c r="J1213" s="7">
        <v>906.03</v>
      </c>
      <c r="K1213" s="8">
        <v>1</v>
      </c>
      <c r="L1213" s="7">
        <v>241.11</v>
      </c>
    </row>
    <row r="1214" spans="1:12" x14ac:dyDescent="0.2">
      <c r="A1214" s="2">
        <v>42395</v>
      </c>
      <c r="B1214" s="8">
        <f>YEAR(Sales_data[[#This Row],[Order Date]])</f>
        <v>2016</v>
      </c>
      <c r="C1214" s="8">
        <f>MONTH(Sales_data[[#This Row],[Order Date]])</f>
        <v>1</v>
      </c>
      <c r="D1214" s="8" t="str">
        <f>TEXT(Sales_data[[#This Row],[Order Date]],"mmm")</f>
        <v>Jan</v>
      </c>
      <c r="E1214" t="s">
        <v>14</v>
      </c>
      <c r="F1214" t="s">
        <v>23</v>
      </c>
      <c r="G1214" t="s">
        <v>32</v>
      </c>
      <c r="H1214" t="s">
        <v>36</v>
      </c>
      <c r="I1214" t="s">
        <v>51</v>
      </c>
      <c r="J1214" s="7">
        <v>1321.9</v>
      </c>
      <c r="K1214" s="8">
        <v>4</v>
      </c>
      <c r="L1214" s="7">
        <v>-42.49</v>
      </c>
    </row>
    <row r="1215" spans="1:12" x14ac:dyDescent="0.2">
      <c r="A1215" s="2">
        <v>42396</v>
      </c>
      <c r="B1215" s="8">
        <f>YEAR(Sales_data[[#This Row],[Order Date]])</f>
        <v>2016</v>
      </c>
      <c r="C1215" s="8">
        <f>MONTH(Sales_data[[#This Row],[Order Date]])</f>
        <v>1</v>
      </c>
      <c r="D1215" s="8" t="str">
        <f>TEXT(Sales_data[[#This Row],[Order Date]],"mmm")</f>
        <v>Jan</v>
      </c>
      <c r="E1215" t="s">
        <v>17</v>
      </c>
      <c r="F1215" t="s">
        <v>29</v>
      </c>
      <c r="G1215" t="s">
        <v>33</v>
      </c>
      <c r="H1215" t="s">
        <v>36</v>
      </c>
      <c r="I1215" t="s">
        <v>49</v>
      </c>
      <c r="J1215" s="7">
        <v>870.22</v>
      </c>
      <c r="K1215" s="8">
        <v>6</v>
      </c>
      <c r="L1215" s="7">
        <v>122.73</v>
      </c>
    </row>
    <row r="1216" spans="1:12" x14ac:dyDescent="0.2">
      <c r="A1216" s="2">
        <v>42397</v>
      </c>
      <c r="B1216" s="8">
        <f>YEAR(Sales_data[[#This Row],[Order Date]])</f>
        <v>2016</v>
      </c>
      <c r="C1216" s="8">
        <f>MONTH(Sales_data[[#This Row],[Order Date]])</f>
        <v>1</v>
      </c>
      <c r="D1216" s="8" t="str">
        <f>TEXT(Sales_data[[#This Row],[Order Date]],"mmm")</f>
        <v>Jan</v>
      </c>
      <c r="E1216" t="s">
        <v>17</v>
      </c>
      <c r="F1216" t="s">
        <v>23</v>
      </c>
      <c r="G1216" t="s">
        <v>33</v>
      </c>
      <c r="H1216" t="s">
        <v>41</v>
      </c>
      <c r="I1216" t="s">
        <v>50</v>
      </c>
      <c r="J1216" s="7">
        <v>1132.96</v>
      </c>
      <c r="K1216" s="8">
        <v>8</v>
      </c>
      <c r="L1216" s="7">
        <v>214.64</v>
      </c>
    </row>
    <row r="1217" spans="1:12" x14ac:dyDescent="0.2">
      <c r="A1217" s="2">
        <v>42397</v>
      </c>
      <c r="B1217" s="8">
        <f>YEAR(Sales_data[[#This Row],[Order Date]])</f>
        <v>2016</v>
      </c>
      <c r="C1217" s="8">
        <f>MONTH(Sales_data[[#This Row],[Order Date]])</f>
        <v>1</v>
      </c>
      <c r="D1217" s="8" t="str">
        <f>TEXT(Sales_data[[#This Row],[Order Date]],"mmm")</f>
        <v>Jan</v>
      </c>
      <c r="E1217" t="s">
        <v>11</v>
      </c>
      <c r="F1217" t="s">
        <v>24</v>
      </c>
      <c r="G1217" t="s">
        <v>32</v>
      </c>
      <c r="H1217" t="s">
        <v>42</v>
      </c>
      <c r="I1217" t="s">
        <v>46</v>
      </c>
      <c r="J1217" s="7">
        <v>941.02</v>
      </c>
      <c r="K1217" s="8">
        <v>2</v>
      </c>
      <c r="L1217" s="7">
        <v>377.64</v>
      </c>
    </row>
    <row r="1218" spans="1:12" x14ac:dyDescent="0.2">
      <c r="A1218" s="2">
        <v>42397</v>
      </c>
      <c r="B1218" s="8">
        <f>YEAR(Sales_data[[#This Row],[Order Date]])</f>
        <v>2016</v>
      </c>
      <c r="C1218" s="8">
        <f>MONTH(Sales_data[[#This Row],[Order Date]])</f>
        <v>1</v>
      </c>
      <c r="D1218" s="8" t="str">
        <f>TEXT(Sales_data[[#This Row],[Order Date]],"mmm")</f>
        <v>Jan</v>
      </c>
      <c r="E1218" t="s">
        <v>21</v>
      </c>
      <c r="F1218" t="s">
        <v>27</v>
      </c>
      <c r="G1218" t="s">
        <v>33</v>
      </c>
      <c r="H1218" t="s">
        <v>42</v>
      </c>
      <c r="I1218" t="s">
        <v>50</v>
      </c>
      <c r="J1218" s="7">
        <v>1748.53</v>
      </c>
      <c r="K1218" s="8">
        <v>9</v>
      </c>
      <c r="L1218" s="7">
        <v>206.75</v>
      </c>
    </row>
    <row r="1219" spans="1:12" x14ac:dyDescent="0.2">
      <c r="A1219" s="2">
        <v>42397</v>
      </c>
      <c r="B1219" s="8">
        <f>YEAR(Sales_data[[#This Row],[Order Date]])</f>
        <v>2016</v>
      </c>
      <c r="C1219" s="8">
        <f>MONTH(Sales_data[[#This Row],[Order Date]])</f>
        <v>1</v>
      </c>
      <c r="D1219" s="8" t="str">
        <f>TEXT(Sales_data[[#This Row],[Order Date]],"mmm")</f>
        <v>Jan</v>
      </c>
      <c r="E1219" t="s">
        <v>15</v>
      </c>
      <c r="F1219" t="s">
        <v>31</v>
      </c>
      <c r="G1219" t="s">
        <v>34</v>
      </c>
      <c r="H1219" t="s">
        <v>41</v>
      </c>
      <c r="I1219" t="s">
        <v>47</v>
      </c>
      <c r="J1219" s="7">
        <v>1039.75</v>
      </c>
      <c r="K1219" s="8">
        <v>5</v>
      </c>
      <c r="L1219" s="7">
        <v>143.65</v>
      </c>
    </row>
    <row r="1220" spans="1:12" x14ac:dyDescent="0.2">
      <c r="A1220" s="2">
        <v>42397</v>
      </c>
      <c r="B1220" s="8">
        <f>YEAR(Sales_data[[#This Row],[Order Date]])</f>
        <v>2016</v>
      </c>
      <c r="C1220" s="8">
        <f>MONTH(Sales_data[[#This Row],[Order Date]])</f>
        <v>1</v>
      </c>
      <c r="D1220" s="8" t="str">
        <f>TEXT(Sales_data[[#This Row],[Order Date]],"mmm")</f>
        <v>Jan</v>
      </c>
      <c r="E1220" t="s">
        <v>17</v>
      </c>
      <c r="F1220" t="s">
        <v>31</v>
      </c>
      <c r="G1220" t="s">
        <v>33</v>
      </c>
      <c r="H1220" t="s">
        <v>37</v>
      </c>
      <c r="I1220" t="s">
        <v>46</v>
      </c>
      <c r="J1220" s="7">
        <v>779.02</v>
      </c>
      <c r="K1220" s="8">
        <v>2</v>
      </c>
      <c r="L1220" s="7">
        <v>326.01</v>
      </c>
    </row>
    <row r="1221" spans="1:12" x14ac:dyDescent="0.2">
      <c r="A1221" s="2">
        <v>42397</v>
      </c>
      <c r="B1221" s="8">
        <f>YEAR(Sales_data[[#This Row],[Order Date]])</f>
        <v>2016</v>
      </c>
      <c r="C1221" s="8">
        <f>MONTH(Sales_data[[#This Row],[Order Date]])</f>
        <v>1</v>
      </c>
      <c r="D1221" s="8" t="str">
        <f>TEXT(Sales_data[[#This Row],[Order Date]],"mmm")</f>
        <v>Jan</v>
      </c>
      <c r="E1221" t="s">
        <v>16</v>
      </c>
      <c r="F1221" t="s">
        <v>28</v>
      </c>
      <c r="G1221" t="s">
        <v>34</v>
      </c>
      <c r="H1221" t="s">
        <v>35</v>
      </c>
      <c r="I1221" t="s">
        <v>53</v>
      </c>
      <c r="J1221" s="7">
        <v>436.77</v>
      </c>
      <c r="K1221" s="8">
        <v>4</v>
      </c>
      <c r="L1221" s="7">
        <v>-126.77</v>
      </c>
    </row>
    <row r="1222" spans="1:12" x14ac:dyDescent="0.2">
      <c r="A1222" s="2">
        <v>42398</v>
      </c>
      <c r="B1222" s="8">
        <f>YEAR(Sales_data[[#This Row],[Order Date]])</f>
        <v>2016</v>
      </c>
      <c r="C1222" s="8">
        <f>MONTH(Sales_data[[#This Row],[Order Date]])</f>
        <v>1</v>
      </c>
      <c r="D1222" s="8" t="str">
        <f>TEXT(Sales_data[[#This Row],[Order Date]],"mmm")</f>
        <v>Jan</v>
      </c>
      <c r="E1222" t="s">
        <v>14</v>
      </c>
      <c r="F1222" t="s">
        <v>30</v>
      </c>
      <c r="G1222" t="s">
        <v>33</v>
      </c>
      <c r="H1222" t="s">
        <v>43</v>
      </c>
      <c r="I1222" t="s">
        <v>46</v>
      </c>
      <c r="J1222" s="7">
        <v>1926.11</v>
      </c>
      <c r="K1222" s="8">
        <v>7</v>
      </c>
      <c r="L1222" s="7">
        <v>322.68</v>
      </c>
    </row>
    <row r="1223" spans="1:12" x14ac:dyDescent="0.2">
      <c r="A1223" s="2">
        <v>42398</v>
      </c>
      <c r="B1223" s="8">
        <f>YEAR(Sales_data[[#This Row],[Order Date]])</f>
        <v>2016</v>
      </c>
      <c r="C1223" s="8">
        <f>MONTH(Sales_data[[#This Row],[Order Date]])</f>
        <v>1</v>
      </c>
      <c r="D1223" s="8" t="str">
        <f>TEXT(Sales_data[[#This Row],[Order Date]],"mmm")</f>
        <v>Jan</v>
      </c>
      <c r="E1223" t="s">
        <v>17</v>
      </c>
      <c r="F1223" t="s">
        <v>29</v>
      </c>
      <c r="G1223" t="s">
        <v>33</v>
      </c>
      <c r="H1223" t="s">
        <v>41</v>
      </c>
      <c r="I1223" t="s">
        <v>53</v>
      </c>
      <c r="J1223" s="7">
        <v>1752.68</v>
      </c>
      <c r="K1223" s="8">
        <v>3</v>
      </c>
      <c r="L1223" s="7">
        <v>146.44999999999999</v>
      </c>
    </row>
    <row r="1224" spans="1:12" x14ac:dyDescent="0.2">
      <c r="A1224" s="2">
        <v>42401</v>
      </c>
      <c r="B1224" s="8">
        <f>YEAR(Sales_data[[#This Row],[Order Date]])</f>
        <v>2016</v>
      </c>
      <c r="C1224" s="8">
        <f>MONTH(Sales_data[[#This Row],[Order Date]])</f>
        <v>2</v>
      </c>
      <c r="D1224" s="8" t="str">
        <f>TEXT(Sales_data[[#This Row],[Order Date]],"mmm")</f>
        <v>Feb</v>
      </c>
      <c r="E1224" t="s">
        <v>9</v>
      </c>
      <c r="F1224" t="s">
        <v>22</v>
      </c>
      <c r="G1224" t="s">
        <v>32</v>
      </c>
      <c r="H1224" t="s">
        <v>35</v>
      </c>
      <c r="I1224" t="s">
        <v>44</v>
      </c>
      <c r="J1224" s="7">
        <v>28.39</v>
      </c>
      <c r="K1224" s="8">
        <v>9</v>
      </c>
      <c r="L1224" s="7">
        <v>-107.8</v>
      </c>
    </row>
    <row r="1225" spans="1:12" x14ac:dyDescent="0.2">
      <c r="A1225" s="2">
        <v>42401</v>
      </c>
      <c r="B1225" s="8">
        <f>YEAR(Sales_data[[#This Row],[Order Date]])</f>
        <v>2016</v>
      </c>
      <c r="C1225" s="8">
        <f>MONTH(Sales_data[[#This Row],[Order Date]])</f>
        <v>2</v>
      </c>
      <c r="D1225" s="8" t="str">
        <f>TEXT(Sales_data[[#This Row],[Order Date]],"mmm")</f>
        <v>Feb</v>
      </c>
      <c r="E1225" t="s">
        <v>12</v>
      </c>
      <c r="F1225" t="s">
        <v>22</v>
      </c>
      <c r="G1225" t="s">
        <v>34</v>
      </c>
      <c r="H1225" t="s">
        <v>39</v>
      </c>
      <c r="I1225" t="s">
        <v>50</v>
      </c>
      <c r="J1225" s="7">
        <v>1170.21</v>
      </c>
      <c r="K1225" s="8">
        <v>2</v>
      </c>
      <c r="L1225" s="7">
        <v>320.89</v>
      </c>
    </row>
    <row r="1226" spans="1:12" x14ac:dyDescent="0.2">
      <c r="A1226" s="2">
        <v>42402</v>
      </c>
      <c r="B1226" s="8">
        <f>YEAR(Sales_data[[#This Row],[Order Date]])</f>
        <v>2016</v>
      </c>
      <c r="C1226" s="8">
        <f>MONTH(Sales_data[[#This Row],[Order Date]])</f>
        <v>2</v>
      </c>
      <c r="D1226" s="8" t="str">
        <f>TEXT(Sales_data[[#This Row],[Order Date]],"mmm")</f>
        <v>Feb</v>
      </c>
      <c r="E1226" t="s">
        <v>11</v>
      </c>
      <c r="F1226" t="s">
        <v>30</v>
      </c>
      <c r="G1226" t="s">
        <v>33</v>
      </c>
      <c r="H1226" t="s">
        <v>41</v>
      </c>
      <c r="I1226" t="s">
        <v>44</v>
      </c>
      <c r="J1226" s="7">
        <v>999.34</v>
      </c>
      <c r="K1226" s="8">
        <v>4</v>
      </c>
      <c r="L1226" s="7">
        <v>258.8</v>
      </c>
    </row>
    <row r="1227" spans="1:12" x14ac:dyDescent="0.2">
      <c r="A1227" s="2">
        <v>42404</v>
      </c>
      <c r="B1227" s="8">
        <f>YEAR(Sales_data[[#This Row],[Order Date]])</f>
        <v>2016</v>
      </c>
      <c r="C1227" s="8">
        <f>MONTH(Sales_data[[#This Row],[Order Date]])</f>
        <v>2</v>
      </c>
      <c r="D1227" s="8" t="str">
        <f>TEXT(Sales_data[[#This Row],[Order Date]],"mmm")</f>
        <v>Feb</v>
      </c>
      <c r="E1227" t="s">
        <v>19</v>
      </c>
      <c r="F1227" t="s">
        <v>24</v>
      </c>
      <c r="G1227" t="s">
        <v>33</v>
      </c>
      <c r="H1227" t="s">
        <v>43</v>
      </c>
      <c r="I1227" t="s">
        <v>47</v>
      </c>
      <c r="J1227" s="7">
        <v>348.6</v>
      </c>
      <c r="K1227" s="8">
        <v>1</v>
      </c>
      <c r="L1227" s="7">
        <v>-0.16</v>
      </c>
    </row>
    <row r="1228" spans="1:12" x14ac:dyDescent="0.2">
      <c r="A1228" s="2">
        <v>42404</v>
      </c>
      <c r="B1228" s="8">
        <f>YEAR(Sales_data[[#This Row],[Order Date]])</f>
        <v>2016</v>
      </c>
      <c r="C1228" s="8">
        <f>MONTH(Sales_data[[#This Row],[Order Date]])</f>
        <v>2</v>
      </c>
      <c r="D1228" s="8" t="str">
        <f>TEXT(Sales_data[[#This Row],[Order Date]],"mmm")</f>
        <v>Feb</v>
      </c>
      <c r="E1228" t="s">
        <v>18</v>
      </c>
      <c r="F1228" t="s">
        <v>31</v>
      </c>
      <c r="G1228" t="s">
        <v>32</v>
      </c>
      <c r="H1228" t="s">
        <v>41</v>
      </c>
      <c r="I1228" t="s">
        <v>49</v>
      </c>
      <c r="J1228" s="7">
        <v>1799.91</v>
      </c>
      <c r="K1228" s="8">
        <v>1</v>
      </c>
      <c r="L1228" s="7">
        <v>339.86</v>
      </c>
    </row>
    <row r="1229" spans="1:12" x14ac:dyDescent="0.2">
      <c r="A1229" s="2">
        <v>42404</v>
      </c>
      <c r="B1229" s="8">
        <f>YEAR(Sales_data[[#This Row],[Order Date]])</f>
        <v>2016</v>
      </c>
      <c r="C1229" s="8">
        <f>MONTH(Sales_data[[#This Row],[Order Date]])</f>
        <v>2</v>
      </c>
      <c r="D1229" s="8" t="str">
        <f>TEXT(Sales_data[[#This Row],[Order Date]],"mmm")</f>
        <v>Feb</v>
      </c>
      <c r="E1229" t="s">
        <v>16</v>
      </c>
      <c r="F1229" t="s">
        <v>28</v>
      </c>
      <c r="G1229" t="s">
        <v>33</v>
      </c>
      <c r="H1229" t="s">
        <v>40</v>
      </c>
      <c r="I1229" t="s">
        <v>45</v>
      </c>
      <c r="J1229" s="7">
        <v>711.34</v>
      </c>
      <c r="K1229" s="8">
        <v>5</v>
      </c>
      <c r="L1229" s="7">
        <v>79.38</v>
      </c>
    </row>
    <row r="1230" spans="1:12" x14ac:dyDescent="0.2">
      <c r="A1230" s="2">
        <v>42404</v>
      </c>
      <c r="B1230" s="8">
        <f>YEAR(Sales_data[[#This Row],[Order Date]])</f>
        <v>2016</v>
      </c>
      <c r="C1230" s="8">
        <f>MONTH(Sales_data[[#This Row],[Order Date]])</f>
        <v>2</v>
      </c>
      <c r="D1230" s="8" t="str">
        <f>TEXT(Sales_data[[#This Row],[Order Date]],"mmm")</f>
        <v>Feb</v>
      </c>
      <c r="E1230" t="s">
        <v>14</v>
      </c>
      <c r="F1230" t="s">
        <v>28</v>
      </c>
      <c r="G1230" t="s">
        <v>32</v>
      </c>
      <c r="H1230" t="s">
        <v>41</v>
      </c>
      <c r="I1230" t="s">
        <v>47</v>
      </c>
      <c r="J1230" s="7">
        <v>452.98</v>
      </c>
      <c r="K1230" s="8">
        <v>2</v>
      </c>
      <c r="L1230" s="7">
        <v>342.34</v>
      </c>
    </row>
    <row r="1231" spans="1:12" x14ac:dyDescent="0.2">
      <c r="A1231" s="2">
        <v>42405</v>
      </c>
      <c r="B1231" s="8">
        <f>YEAR(Sales_data[[#This Row],[Order Date]])</f>
        <v>2016</v>
      </c>
      <c r="C1231" s="8">
        <f>MONTH(Sales_data[[#This Row],[Order Date]])</f>
        <v>2</v>
      </c>
      <c r="D1231" s="8" t="str">
        <f>TEXT(Sales_data[[#This Row],[Order Date]],"mmm")</f>
        <v>Feb</v>
      </c>
      <c r="E1231" t="s">
        <v>12</v>
      </c>
      <c r="F1231" t="s">
        <v>23</v>
      </c>
      <c r="G1231" t="s">
        <v>34</v>
      </c>
      <c r="H1231" t="s">
        <v>39</v>
      </c>
      <c r="I1231" t="s">
        <v>48</v>
      </c>
      <c r="J1231" s="7">
        <v>680.47</v>
      </c>
      <c r="K1231" s="8">
        <v>6</v>
      </c>
      <c r="L1231" s="7">
        <v>295.76</v>
      </c>
    </row>
    <row r="1232" spans="1:12" x14ac:dyDescent="0.2">
      <c r="A1232" s="2">
        <v>42405</v>
      </c>
      <c r="B1232" s="8">
        <f>YEAR(Sales_data[[#This Row],[Order Date]])</f>
        <v>2016</v>
      </c>
      <c r="C1232" s="8">
        <f>MONTH(Sales_data[[#This Row],[Order Date]])</f>
        <v>2</v>
      </c>
      <c r="D1232" s="8" t="str">
        <f>TEXT(Sales_data[[#This Row],[Order Date]],"mmm")</f>
        <v>Feb</v>
      </c>
      <c r="E1232" t="s">
        <v>17</v>
      </c>
      <c r="F1232" t="s">
        <v>28</v>
      </c>
      <c r="G1232" t="s">
        <v>34</v>
      </c>
      <c r="H1232" t="s">
        <v>38</v>
      </c>
      <c r="I1232" t="s">
        <v>50</v>
      </c>
      <c r="J1232" s="7">
        <v>424.57</v>
      </c>
      <c r="K1232" s="8">
        <v>1</v>
      </c>
      <c r="L1232" s="7">
        <v>285.29000000000002</v>
      </c>
    </row>
    <row r="1233" spans="1:12" x14ac:dyDescent="0.2">
      <c r="A1233" s="2">
        <v>42406</v>
      </c>
      <c r="B1233" s="8">
        <f>YEAR(Sales_data[[#This Row],[Order Date]])</f>
        <v>2016</v>
      </c>
      <c r="C1233" s="8">
        <f>MONTH(Sales_data[[#This Row],[Order Date]])</f>
        <v>2</v>
      </c>
      <c r="D1233" s="8" t="str">
        <f>TEXT(Sales_data[[#This Row],[Order Date]],"mmm")</f>
        <v>Feb</v>
      </c>
      <c r="E1233" t="s">
        <v>21</v>
      </c>
      <c r="F1233" t="s">
        <v>27</v>
      </c>
      <c r="G1233" t="s">
        <v>32</v>
      </c>
      <c r="H1233" t="s">
        <v>41</v>
      </c>
      <c r="I1233" t="s">
        <v>51</v>
      </c>
      <c r="J1233" s="7">
        <v>824.85</v>
      </c>
      <c r="K1233" s="8">
        <v>1</v>
      </c>
      <c r="L1233" s="7">
        <v>182.03</v>
      </c>
    </row>
    <row r="1234" spans="1:12" x14ac:dyDescent="0.2">
      <c r="A1234" s="2">
        <v>42407</v>
      </c>
      <c r="B1234" s="8">
        <f>YEAR(Sales_data[[#This Row],[Order Date]])</f>
        <v>2016</v>
      </c>
      <c r="C1234" s="8">
        <f>MONTH(Sales_data[[#This Row],[Order Date]])</f>
        <v>2</v>
      </c>
      <c r="D1234" s="8" t="str">
        <f>TEXT(Sales_data[[#This Row],[Order Date]],"mmm")</f>
        <v>Feb</v>
      </c>
      <c r="E1234" t="s">
        <v>13</v>
      </c>
      <c r="F1234" t="s">
        <v>30</v>
      </c>
      <c r="G1234" t="s">
        <v>32</v>
      </c>
      <c r="H1234" t="s">
        <v>35</v>
      </c>
      <c r="I1234" t="s">
        <v>50</v>
      </c>
      <c r="J1234" s="7">
        <v>292.7</v>
      </c>
      <c r="K1234" s="8">
        <v>2</v>
      </c>
      <c r="L1234" s="7">
        <v>234.98</v>
      </c>
    </row>
    <row r="1235" spans="1:12" x14ac:dyDescent="0.2">
      <c r="A1235" s="2">
        <v>42410</v>
      </c>
      <c r="B1235" s="8">
        <f>YEAR(Sales_data[[#This Row],[Order Date]])</f>
        <v>2016</v>
      </c>
      <c r="C1235" s="8">
        <f>MONTH(Sales_data[[#This Row],[Order Date]])</f>
        <v>2</v>
      </c>
      <c r="D1235" s="8" t="str">
        <f>TEXT(Sales_data[[#This Row],[Order Date]],"mmm")</f>
        <v>Feb</v>
      </c>
      <c r="E1235" t="s">
        <v>13</v>
      </c>
      <c r="F1235" t="s">
        <v>28</v>
      </c>
      <c r="G1235" t="s">
        <v>33</v>
      </c>
      <c r="H1235" t="s">
        <v>38</v>
      </c>
      <c r="I1235" t="s">
        <v>52</v>
      </c>
      <c r="J1235" s="7">
        <v>917.69</v>
      </c>
      <c r="K1235" s="8">
        <v>3</v>
      </c>
      <c r="L1235" s="7">
        <v>337.72</v>
      </c>
    </row>
    <row r="1236" spans="1:12" x14ac:dyDescent="0.2">
      <c r="A1236" s="2">
        <v>42411</v>
      </c>
      <c r="B1236" s="8">
        <f>YEAR(Sales_data[[#This Row],[Order Date]])</f>
        <v>2016</v>
      </c>
      <c r="C1236" s="8">
        <f>MONTH(Sales_data[[#This Row],[Order Date]])</f>
        <v>2</v>
      </c>
      <c r="D1236" s="8" t="str">
        <f>TEXT(Sales_data[[#This Row],[Order Date]],"mmm")</f>
        <v>Feb</v>
      </c>
      <c r="E1236" t="s">
        <v>15</v>
      </c>
      <c r="F1236" t="s">
        <v>26</v>
      </c>
      <c r="G1236" t="s">
        <v>32</v>
      </c>
      <c r="H1236" t="s">
        <v>39</v>
      </c>
      <c r="I1236" t="s">
        <v>50</v>
      </c>
      <c r="J1236" s="7">
        <v>336.73</v>
      </c>
      <c r="K1236" s="8">
        <v>2</v>
      </c>
      <c r="L1236" s="7">
        <v>229.89</v>
      </c>
    </row>
    <row r="1237" spans="1:12" x14ac:dyDescent="0.2">
      <c r="A1237" s="2">
        <v>42411</v>
      </c>
      <c r="B1237" s="8">
        <f>YEAR(Sales_data[[#This Row],[Order Date]])</f>
        <v>2016</v>
      </c>
      <c r="C1237" s="8">
        <f>MONTH(Sales_data[[#This Row],[Order Date]])</f>
        <v>2</v>
      </c>
      <c r="D1237" s="8" t="str">
        <f>TEXT(Sales_data[[#This Row],[Order Date]],"mmm")</f>
        <v>Feb</v>
      </c>
      <c r="E1237" t="s">
        <v>18</v>
      </c>
      <c r="F1237" t="s">
        <v>23</v>
      </c>
      <c r="G1237" t="s">
        <v>34</v>
      </c>
      <c r="H1237" t="s">
        <v>40</v>
      </c>
      <c r="I1237" t="s">
        <v>47</v>
      </c>
      <c r="J1237" s="7">
        <v>1290.67</v>
      </c>
      <c r="K1237" s="8">
        <v>4</v>
      </c>
      <c r="L1237" s="7">
        <v>34.1</v>
      </c>
    </row>
    <row r="1238" spans="1:12" x14ac:dyDescent="0.2">
      <c r="A1238" s="2">
        <v>42411</v>
      </c>
      <c r="B1238" s="8">
        <f>YEAR(Sales_data[[#This Row],[Order Date]])</f>
        <v>2016</v>
      </c>
      <c r="C1238" s="8">
        <f>MONTH(Sales_data[[#This Row],[Order Date]])</f>
        <v>2</v>
      </c>
      <c r="D1238" s="8" t="str">
        <f>TEXT(Sales_data[[#This Row],[Order Date]],"mmm")</f>
        <v>Feb</v>
      </c>
      <c r="E1238" t="s">
        <v>18</v>
      </c>
      <c r="F1238" t="s">
        <v>31</v>
      </c>
      <c r="G1238" t="s">
        <v>32</v>
      </c>
      <c r="H1238" t="s">
        <v>38</v>
      </c>
      <c r="I1238" t="s">
        <v>51</v>
      </c>
      <c r="J1238" s="7">
        <v>191.58</v>
      </c>
      <c r="K1238" s="8">
        <v>1</v>
      </c>
      <c r="L1238" s="7">
        <v>-137.83000000000001</v>
      </c>
    </row>
    <row r="1239" spans="1:12" x14ac:dyDescent="0.2">
      <c r="A1239" s="2">
        <v>42411</v>
      </c>
      <c r="B1239" s="8">
        <f>YEAR(Sales_data[[#This Row],[Order Date]])</f>
        <v>2016</v>
      </c>
      <c r="C1239" s="8">
        <f>MONTH(Sales_data[[#This Row],[Order Date]])</f>
        <v>2</v>
      </c>
      <c r="D1239" s="8" t="str">
        <f>TEXT(Sales_data[[#This Row],[Order Date]],"mmm")</f>
        <v>Feb</v>
      </c>
      <c r="E1239" t="s">
        <v>21</v>
      </c>
      <c r="F1239" t="s">
        <v>24</v>
      </c>
      <c r="G1239" t="s">
        <v>34</v>
      </c>
      <c r="H1239" t="s">
        <v>40</v>
      </c>
      <c r="I1239" t="s">
        <v>48</v>
      </c>
      <c r="J1239" s="7">
        <v>351.86</v>
      </c>
      <c r="K1239" s="8">
        <v>9</v>
      </c>
      <c r="L1239" s="7">
        <v>209.7</v>
      </c>
    </row>
    <row r="1240" spans="1:12" x14ac:dyDescent="0.2">
      <c r="A1240" s="2">
        <v>42413</v>
      </c>
      <c r="B1240" s="8">
        <f>YEAR(Sales_data[[#This Row],[Order Date]])</f>
        <v>2016</v>
      </c>
      <c r="C1240" s="8">
        <f>MONTH(Sales_data[[#This Row],[Order Date]])</f>
        <v>2</v>
      </c>
      <c r="D1240" s="8" t="str">
        <f>TEXT(Sales_data[[#This Row],[Order Date]],"mmm")</f>
        <v>Feb</v>
      </c>
      <c r="E1240" t="s">
        <v>11</v>
      </c>
      <c r="F1240" t="s">
        <v>29</v>
      </c>
      <c r="G1240" t="s">
        <v>34</v>
      </c>
      <c r="H1240" t="s">
        <v>36</v>
      </c>
      <c r="I1240" t="s">
        <v>46</v>
      </c>
      <c r="J1240" s="7">
        <v>492.2</v>
      </c>
      <c r="K1240" s="8">
        <v>9</v>
      </c>
      <c r="L1240" s="7">
        <v>-134.49</v>
      </c>
    </row>
    <row r="1241" spans="1:12" x14ac:dyDescent="0.2">
      <c r="A1241" s="2">
        <v>42414</v>
      </c>
      <c r="B1241" s="8">
        <f>YEAR(Sales_data[[#This Row],[Order Date]])</f>
        <v>2016</v>
      </c>
      <c r="C1241" s="8">
        <f>MONTH(Sales_data[[#This Row],[Order Date]])</f>
        <v>2</v>
      </c>
      <c r="D1241" s="8" t="str">
        <f>TEXT(Sales_data[[#This Row],[Order Date]],"mmm")</f>
        <v>Feb</v>
      </c>
      <c r="E1241" t="s">
        <v>12</v>
      </c>
      <c r="F1241" t="s">
        <v>28</v>
      </c>
      <c r="G1241" t="s">
        <v>34</v>
      </c>
      <c r="H1241" t="s">
        <v>41</v>
      </c>
      <c r="I1241" t="s">
        <v>45</v>
      </c>
      <c r="J1241" s="7">
        <v>791.97</v>
      </c>
      <c r="K1241" s="8">
        <v>4</v>
      </c>
      <c r="L1241" s="7">
        <v>-151.88</v>
      </c>
    </row>
    <row r="1242" spans="1:12" x14ac:dyDescent="0.2">
      <c r="A1242" s="2">
        <v>42415</v>
      </c>
      <c r="B1242" s="8">
        <f>YEAR(Sales_data[[#This Row],[Order Date]])</f>
        <v>2016</v>
      </c>
      <c r="C1242" s="8">
        <f>MONTH(Sales_data[[#This Row],[Order Date]])</f>
        <v>2</v>
      </c>
      <c r="D1242" s="8" t="str">
        <f>TEXT(Sales_data[[#This Row],[Order Date]],"mmm")</f>
        <v>Feb</v>
      </c>
      <c r="E1242" t="s">
        <v>17</v>
      </c>
      <c r="F1242" t="s">
        <v>22</v>
      </c>
      <c r="G1242" t="s">
        <v>33</v>
      </c>
      <c r="H1242" t="s">
        <v>36</v>
      </c>
      <c r="I1242" t="s">
        <v>50</v>
      </c>
      <c r="J1242" s="7">
        <v>1063.58</v>
      </c>
      <c r="K1242" s="8">
        <v>6</v>
      </c>
      <c r="L1242" s="7">
        <v>11.73</v>
      </c>
    </row>
    <row r="1243" spans="1:12" x14ac:dyDescent="0.2">
      <c r="A1243" s="2">
        <v>42416</v>
      </c>
      <c r="B1243" s="8">
        <f>YEAR(Sales_data[[#This Row],[Order Date]])</f>
        <v>2016</v>
      </c>
      <c r="C1243" s="8">
        <f>MONTH(Sales_data[[#This Row],[Order Date]])</f>
        <v>2</v>
      </c>
      <c r="D1243" s="8" t="str">
        <f>TEXT(Sales_data[[#This Row],[Order Date]],"mmm")</f>
        <v>Feb</v>
      </c>
      <c r="E1243" t="s">
        <v>15</v>
      </c>
      <c r="F1243" t="s">
        <v>22</v>
      </c>
      <c r="G1243" t="s">
        <v>32</v>
      </c>
      <c r="H1243" t="s">
        <v>36</v>
      </c>
      <c r="I1243" t="s">
        <v>48</v>
      </c>
      <c r="J1243" s="7">
        <v>622.23</v>
      </c>
      <c r="K1243" s="8">
        <v>4</v>
      </c>
      <c r="L1243" s="7">
        <v>307.99</v>
      </c>
    </row>
    <row r="1244" spans="1:12" x14ac:dyDescent="0.2">
      <c r="A1244" s="2">
        <v>42416</v>
      </c>
      <c r="B1244" s="8">
        <f>YEAR(Sales_data[[#This Row],[Order Date]])</f>
        <v>2016</v>
      </c>
      <c r="C1244" s="8">
        <f>MONTH(Sales_data[[#This Row],[Order Date]])</f>
        <v>2</v>
      </c>
      <c r="D1244" s="8" t="str">
        <f>TEXT(Sales_data[[#This Row],[Order Date]],"mmm")</f>
        <v>Feb</v>
      </c>
      <c r="E1244" t="s">
        <v>11</v>
      </c>
      <c r="F1244" t="s">
        <v>23</v>
      </c>
      <c r="G1244" t="s">
        <v>34</v>
      </c>
      <c r="H1244" t="s">
        <v>39</v>
      </c>
      <c r="I1244" t="s">
        <v>49</v>
      </c>
      <c r="J1244" s="7">
        <v>68.790000000000006</v>
      </c>
      <c r="K1244" s="8">
        <v>7</v>
      </c>
      <c r="L1244" s="7">
        <v>218.48</v>
      </c>
    </row>
    <row r="1245" spans="1:12" x14ac:dyDescent="0.2">
      <c r="A1245" s="2">
        <v>42416</v>
      </c>
      <c r="B1245" s="8">
        <f>YEAR(Sales_data[[#This Row],[Order Date]])</f>
        <v>2016</v>
      </c>
      <c r="C1245" s="8">
        <f>MONTH(Sales_data[[#This Row],[Order Date]])</f>
        <v>2</v>
      </c>
      <c r="D1245" s="8" t="str">
        <f>TEXT(Sales_data[[#This Row],[Order Date]],"mmm")</f>
        <v>Feb</v>
      </c>
      <c r="E1245" t="s">
        <v>10</v>
      </c>
      <c r="F1245" t="s">
        <v>24</v>
      </c>
      <c r="G1245" t="s">
        <v>34</v>
      </c>
      <c r="H1245" t="s">
        <v>42</v>
      </c>
      <c r="I1245" t="s">
        <v>51</v>
      </c>
      <c r="J1245" s="7">
        <v>11.88</v>
      </c>
      <c r="K1245" s="8">
        <v>5</v>
      </c>
      <c r="L1245" s="7">
        <v>-36.18</v>
      </c>
    </row>
    <row r="1246" spans="1:12" x14ac:dyDescent="0.2">
      <c r="A1246" s="2">
        <v>42417</v>
      </c>
      <c r="B1246" s="8">
        <f>YEAR(Sales_data[[#This Row],[Order Date]])</f>
        <v>2016</v>
      </c>
      <c r="C1246" s="8">
        <f>MONTH(Sales_data[[#This Row],[Order Date]])</f>
        <v>2</v>
      </c>
      <c r="D1246" s="8" t="str">
        <f>TEXT(Sales_data[[#This Row],[Order Date]],"mmm")</f>
        <v>Feb</v>
      </c>
      <c r="E1246" t="s">
        <v>18</v>
      </c>
      <c r="F1246" t="s">
        <v>25</v>
      </c>
      <c r="G1246" t="s">
        <v>33</v>
      </c>
      <c r="H1246" t="s">
        <v>41</v>
      </c>
      <c r="I1246" t="s">
        <v>50</v>
      </c>
      <c r="J1246" s="7">
        <v>1310.86</v>
      </c>
      <c r="K1246" s="8">
        <v>7</v>
      </c>
      <c r="L1246" s="7">
        <v>242.52</v>
      </c>
    </row>
    <row r="1247" spans="1:12" x14ac:dyDescent="0.2">
      <c r="A1247" s="2">
        <v>42417</v>
      </c>
      <c r="B1247" s="8">
        <f>YEAR(Sales_data[[#This Row],[Order Date]])</f>
        <v>2016</v>
      </c>
      <c r="C1247" s="8">
        <f>MONTH(Sales_data[[#This Row],[Order Date]])</f>
        <v>2</v>
      </c>
      <c r="D1247" s="8" t="str">
        <f>TEXT(Sales_data[[#This Row],[Order Date]],"mmm")</f>
        <v>Feb</v>
      </c>
      <c r="E1247" t="s">
        <v>11</v>
      </c>
      <c r="F1247" t="s">
        <v>24</v>
      </c>
      <c r="G1247" t="s">
        <v>34</v>
      </c>
      <c r="H1247" t="s">
        <v>35</v>
      </c>
      <c r="I1247" t="s">
        <v>50</v>
      </c>
      <c r="J1247" s="7">
        <v>1692.8</v>
      </c>
      <c r="K1247" s="8">
        <v>5</v>
      </c>
      <c r="L1247" s="7">
        <v>334.81</v>
      </c>
    </row>
    <row r="1248" spans="1:12" x14ac:dyDescent="0.2">
      <c r="A1248" s="2">
        <v>42418</v>
      </c>
      <c r="B1248" s="8">
        <f>YEAR(Sales_data[[#This Row],[Order Date]])</f>
        <v>2016</v>
      </c>
      <c r="C1248" s="8">
        <f>MONTH(Sales_data[[#This Row],[Order Date]])</f>
        <v>2</v>
      </c>
      <c r="D1248" s="8" t="str">
        <f>TEXT(Sales_data[[#This Row],[Order Date]],"mmm")</f>
        <v>Feb</v>
      </c>
      <c r="E1248" t="s">
        <v>17</v>
      </c>
      <c r="F1248" t="s">
        <v>30</v>
      </c>
      <c r="G1248" t="s">
        <v>33</v>
      </c>
      <c r="H1248" t="s">
        <v>43</v>
      </c>
      <c r="I1248" t="s">
        <v>52</v>
      </c>
      <c r="J1248" s="7">
        <v>914</v>
      </c>
      <c r="K1248" s="8">
        <v>5</v>
      </c>
      <c r="L1248" s="7">
        <v>-34.700000000000003</v>
      </c>
    </row>
    <row r="1249" spans="1:12" x14ac:dyDescent="0.2">
      <c r="A1249" s="2">
        <v>42418</v>
      </c>
      <c r="B1249" s="8">
        <f>YEAR(Sales_data[[#This Row],[Order Date]])</f>
        <v>2016</v>
      </c>
      <c r="C1249" s="8">
        <f>MONTH(Sales_data[[#This Row],[Order Date]])</f>
        <v>2</v>
      </c>
      <c r="D1249" s="8" t="str">
        <f>TEXT(Sales_data[[#This Row],[Order Date]],"mmm")</f>
        <v>Feb</v>
      </c>
      <c r="E1249" t="s">
        <v>14</v>
      </c>
      <c r="F1249" t="s">
        <v>31</v>
      </c>
      <c r="G1249" t="s">
        <v>32</v>
      </c>
      <c r="H1249" t="s">
        <v>38</v>
      </c>
      <c r="I1249" t="s">
        <v>50</v>
      </c>
      <c r="J1249" s="7">
        <v>1647.94</v>
      </c>
      <c r="K1249" s="8">
        <v>2</v>
      </c>
      <c r="L1249" s="7">
        <v>-101.61</v>
      </c>
    </row>
    <row r="1250" spans="1:12" x14ac:dyDescent="0.2">
      <c r="A1250" s="2">
        <v>42418</v>
      </c>
      <c r="B1250" s="8">
        <f>YEAR(Sales_data[[#This Row],[Order Date]])</f>
        <v>2016</v>
      </c>
      <c r="C1250" s="8">
        <f>MONTH(Sales_data[[#This Row],[Order Date]])</f>
        <v>2</v>
      </c>
      <c r="D1250" s="8" t="str">
        <f>TEXT(Sales_data[[#This Row],[Order Date]],"mmm")</f>
        <v>Feb</v>
      </c>
      <c r="E1250" t="s">
        <v>13</v>
      </c>
      <c r="F1250" t="s">
        <v>22</v>
      </c>
      <c r="G1250" t="s">
        <v>33</v>
      </c>
      <c r="H1250" t="s">
        <v>35</v>
      </c>
      <c r="I1250" t="s">
        <v>44</v>
      </c>
      <c r="J1250" s="7">
        <v>1133.99</v>
      </c>
      <c r="K1250" s="8">
        <v>1</v>
      </c>
      <c r="L1250" s="7">
        <v>-27.53</v>
      </c>
    </row>
    <row r="1251" spans="1:12" x14ac:dyDescent="0.2">
      <c r="A1251" s="2">
        <v>42419</v>
      </c>
      <c r="B1251" s="8">
        <f>YEAR(Sales_data[[#This Row],[Order Date]])</f>
        <v>2016</v>
      </c>
      <c r="C1251" s="8">
        <f>MONTH(Sales_data[[#This Row],[Order Date]])</f>
        <v>2</v>
      </c>
      <c r="D1251" s="8" t="str">
        <f>TEXT(Sales_data[[#This Row],[Order Date]],"mmm")</f>
        <v>Feb</v>
      </c>
      <c r="E1251" t="s">
        <v>19</v>
      </c>
      <c r="F1251" t="s">
        <v>25</v>
      </c>
      <c r="G1251" t="s">
        <v>33</v>
      </c>
      <c r="H1251" t="s">
        <v>42</v>
      </c>
      <c r="I1251" t="s">
        <v>47</v>
      </c>
      <c r="J1251" s="7">
        <v>1589.73</v>
      </c>
      <c r="K1251" s="8">
        <v>1</v>
      </c>
      <c r="L1251" s="7">
        <v>34.25</v>
      </c>
    </row>
    <row r="1252" spans="1:12" x14ac:dyDescent="0.2">
      <c r="A1252" s="2">
        <v>42420</v>
      </c>
      <c r="B1252" s="8">
        <f>YEAR(Sales_data[[#This Row],[Order Date]])</f>
        <v>2016</v>
      </c>
      <c r="C1252" s="8">
        <f>MONTH(Sales_data[[#This Row],[Order Date]])</f>
        <v>2</v>
      </c>
      <c r="D1252" s="8" t="str">
        <f>TEXT(Sales_data[[#This Row],[Order Date]],"mmm")</f>
        <v>Feb</v>
      </c>
      <c r="E1252" t="s">
        <v>20</v>
      </c>
      <c r="F1252" t="s">
        <v>24</v>
      </c>
      <c r="G1252" t="s">
        <v>33</v>
      </c>
      <c r="H1252" t="s">
        <v>40</v>
      </c>
      <c r="I1252" t="s">
        <v>47</v>
      </c>
      <c r="J1252" s="7">
        <v>1072.72</v>
      </c>
      <c r="K1252" s="8">
        <v>7</v>
      </c>
      <c r="L1252" s="7">
        <v>142.86000000000001</v>
      </c>
    </row>
    <row r="1253" spans="1:12" x14ac:dyDescent="0.2">
      <c r="A1253" s="2">
        <v>42422</v>
      </c>
      <c r="B1253" s="8">
        <f>YEAR(Sales_data[[#This Row],[Order Date]])</f>
        <v>2016</v>
      </c>
      <c r="C1253" s="8">
        <f>MONTH(Sales_data[[#This Row],[Order Date]])</f>
        <v>2</v>
      </c>
      <c r="D1253" s="8" t="str">
        <f>TEXT(Sales_data[[#This Row],[Order Date]],"mmm")</f>
        <v>Feb</v>
      </c>
      <c r="E1253" t="s">
        <v>12</v>
      </c>
      <c r="F1253" t="s">
        <v>28</v>
      </c>
      <c r="G1253" t="s">
        <v>32</v>
      </c>
      <c r="H1253" t="s">
        <v>36</v>
      </c>
      <c r="I1253" t="s">
        <v>47</v>
      </c>
      <c r="J1253" s="7">
        <v>1291.0999999999999</v>
      </c>
      <c r="K1253" s="8">
        <v>7</v>
      </c>
      <c r="L1253" s="7">
        <v>-182.12</v>
      </c>
    </row>
    <row r="1254" spans="1:12" x14ac:dyDescent="0.2">
      <c r="A1254" s="2">
        <v>42423</v>
      </c>
      <c r="B1254" s="8">
        <f>YEAR(Sales_data[[#This Row],[Order Date]])</f>
        <v>2016</v>
      </c>
      <c r="C1254" s="8">
        <f>MONTH(Sales_data[[#This Row],[Order Date]])</f>
        <v>2</v>
      </c>
      <c r="D1254" s="8" t="str">
        <f>TEXT(Sales_data[[#This Row],[Order Date]],"mmm")</f>
        <v>Feb</v>
      </c>
      <c r="E1254" t="s">
        <v>17</v>
      </c>
      <c r="F1254" t="s">
        <v>30</v>
      </c>
      <c r="G1254" t="s">
        <v>34</v>
      </c>
      <c r="H1254" t="s">
        <v>38</v>
      </c>
      <c r="I1254" t="s">
        <v>49</v>
      </c>
      <c r="J1254" s="7">
        <v>1908.3</v>
      </c>
      <c r="K1254" s="8">
        <v>6</v>
      </c>
      <c r="L1254" s="7">
        <v>-181.21</v>
      </c>
    </row>
    <row r="1255" spans="1:12" x14ac:dyDescent="0.2">
      <c r="A1255" s="2">
        <v>42424</v>
      </c>
      <c r="B1255" s="8">
        <f>YEAR(Sales_data[[#This Row],[Order Date]])</f>
        <v>2016</v>
      </c>
      <c r="C1255" s="8">
        <f>MONTH(Sales_data[[#This Row],[Order Date]])</f>
        <v>2</v>
      </c>
      <c r="D1255" s="8" t="str">
        <f>TEXT(Sales_data[[#This Row],[Order Date]],"mmm")</f>
        <v>Feb</v>
      </c>
      <c r="E1255" t="s">
        <v>13</v>
      </c>
      <c r="F1255" t="s">
        <v>31</v>
      </c>
      <c r="G1255" t="s">
        <v>34</v>
      </c>
      <c r="H1255" t="s">
        <v>39</v>
      </c>
      <c r="I1255" t="s">
        <v>46</v>
      </c>
      <c r="J1255" s="7">
        <v>703.47</v>
      </c>
      <c r="K1255" s="8">
        <v>1</v>
      </c>
      <c r="L1255" s="7">
        <v>337.91</v>
      </c>
    </row>
    <row r="1256" spans="1:12" x14ac:dyDescent="0.2">
      <c r="A1256" s="2">
        <v>42425</v>
      </c>
      <c r="B1256" s="8">
        <f>YEAR(Sales_data[[#This Row],[Order Date]])</f>
        <v>2016</v>
      </c>
      <c r="C1256" s="8">
        <f>MONTH(Sales_data[[#This Row],[Order Date]])</f>
        <v>2</v>
      </c>
      <c r="D1256" s="8" t="str">
        <f>TEXT(Sales_data[[#This Row],[Order Date]],"mmm")</f>
        <v>Feb</v>
      </c>
      <c r="E1256" t="s">
        <v>17</v>
      </c>
      <c r="F1256" t="s">
        <v>27</v>
      </c>
      <c r="G1256" t="s">
        <v>33</v>
      </c>
      <c r="H1256" t="s">
        <v>41</v>
      </c>
      <c r="I1256" t="s">
        <v>49</v>
      </c>
      <c r="J1256" s="7">
        <v>997.48</v>
      </c>
      <c r="K1256" s="8">
        <v>8</v>
      </c>
      <c r="L1256" s="7">
        <v>169.54</v>
      </c>
    </row>
    <row r="1257" spans="1:12" x14ac:dyDescent="0.2">
      <c r="A1257" s="2">
        <v>42427</v>
      </c>
      <c r="B1257" s="8">
        <f>YEAR(Sales_data[[#This Row],[Order Date]])</f>
        <v>2016</v>
      </c>
      <c r="C1257" s="8">
        <f>MONTH(Sales_data[[#This Row],[Order Date]])</f>
        <v>2</v>
      </c>
      <c r="D1257" s="8" t="str">
        <f>TEXT(Sales_data[[#This Row],[Order Date]],"mmm")</f>
        <v>Feb</v>
      </c>
      <c r="E1257" t="s">
        <v>17</v>
      </c>
      <c r="F1257" t="s">
        <v>29</v>
      </c>
      <c r="G1257" t="s">
        <v>33</v>
      </c>
      <c r="H1257" t="s">
        <v>39</v>
      </c>
      <c r="I1257" t="s">
        <v>45</v>
      </c>
      <c r="J1257" s="7">
        <v>1538.04</v>
      </c>
      <c r="K1257" s="8">
        <v>7</v>
      </c>
      <c r="L1257" s="7">
        <v>195.72</v>
      </c>
    </row>
    <row r="1258" spans="1:12" x14ac:dyDescent="0.2">
      <c r="A1258" s="2">
        <v>42428</v>
      </c>
      <c r="B1258" s="8">
        <f>YEAR(Sales_data[[#This Row],[Order Date]])</f>
        <v>2016</v>
      </c>
      <c r="C1258" s="8">
        <f>MONTH(Sales_data[[#This Row],[Order Date]])</f>
        <v>2</v>
      </c>
      <c r="D1258" s="8" t="str">
        <f>TEXT(Sales_data[[#This Row],[Order Date]],"mmm")</f>
        <v>Feb</v>
      </c>
      <c r="E1258" t="s">
        <v>13</v>
      </c>
      <c r="F1258" t="s">
        <v>27</v>
      </c>
      <c r="G1258" t="s">
        <v>34</v>
      </c>
      <c r="H1258" t="s">
        <v>41</v>
      </c>
      <c r="I1258" t="s">
        <v>50</v>
      </c>
      <c r="J1258" s="7">
        <v>20.6</v>
      </c>
      <c r="K1258" s="8">
        <v>7</v>
      </c>
      <c r="L1258" s="7">
        <v>349.57</v>
      </c>
    </row>
    <row r="1259" spans="1:12" x14ac:dyDescent="0.2">
      <c r="A1259" s="2">
        <v>42429</v>
      </c>
      <c r="B1259" s="8">
        <f>YEAR(Sales_data[[#This Row],[Order Date]])</f>
        <v>2016</v>
      </c>
      <c r="C1259" s="8">
        <f>MONTH(Sales_data[[#This Row],[Order Date]])</f>
        <v>2</v>
      </c>
      <c r="D1259" s="8" t="str">
        <f>TEXT(Sales_data[[#This Row],[Order Date]],"mmm")</f>
        <v>Feb</v>
      </c>
      <c r="E1259" t="s">
        <v>21</v>
      </c>
      <c r="F1259" t="s">
        <v>30</v>
      </c>
      <c r="G1259" t="s">
        <v>32</v>
      </c>
      <c r="H1259" t="s">
        <v>40</v>
      </c>
      <c r="I1259" t="s">
        <v>49</v>
      </c>
      <c r="J1259" s="7">
        <v>788.27</v>
      </c>
      <c r="K1259" s="8">
        <v>7</v>
      </c>
      <c r="L1259" s="7">
        <v>107.08</v>
      </c>
    </row>
    <row r="1260" spans="1:12" x14ac:dyDescent="0.2">
      <c r="A1260" s="2">
        <v>42429</v>
      </c>
      <c r="B1260" s="8">
        <f>YEAR(Sales_data[[#This Row],[Order Date]])</f>
        <v>2016</v>
      </c>
      <c r="C1260" s="8">
        <f>MONTH(Sales_data[[#This Row],[Order Date]])</f>
        <v>2</v>
      </c>
      <c r="D1260" s="8" t="str">
        <f>TEXT(Sales_data[[#This Row],[Order Date]],"mmm")</f>
        <v>Feb</v>
      </c>
      <c r="E1260" t="s">
        <v>14</v>
      </c>
      <c r="F1260" t="s">
        <v>27</v>
      </c>
      <c r="G1260" t="s">
        <v>33</v>
      </c>
      <c r="H1260" t="s">
        <v>43</v>
      </c>
      <c r="I1260" t="s">
        <v>45</v>
      </c>
      <c r="J1260" s="7">
        <v>702.98</v>
      </c>
      <c r="K1260" s="8">
        <v>9</v>
      </c>
      <c r="L1260" s="7">
        <v>160.4</v>
      </c>
    </row>
    <row r="1261" spans="1:12" x14ac:dyDescent="0.2">
      <c r="A1261" s="2">
        <v>42430</v>
      </c>
      <c r="B1261" s="8">
        <f>YEAR(Sales_data[[#This Row],[Order Date]])</f>
        <v>2016</v>
      </c>
      <c r="C1261" s="8">
        <f>MONTH(Sales_data[[#This Row],[Order Date]])</f>
        <v>3</v>
      </c>
      <c r="D1261" s="8" t="str">
        <f>TEXT(Sales_data[[#This Row],[Order Date]],"mmm")</f>
        <v>Mar</v>
      </c>
      <c r="E1261" t="s">
        <v>9</v>
      </c>
      <c r="F1261" t="s">
        <v>31</v>
      </c>
      <c r="G1261" t="s">
        <v>34</v>
      </c>
      <c r="H1261" t="s">
        <v>36</v>
      </c>
      <c r="I1261" t="s">
        <v>49</v>
      </c>
      <c r="J1261" s="7">
        <v>220.85</v>
      </c>
      <c r="K1261" s="8">
        <v>6</v>
      </c>
      <c r="L1261" s="7">
        <v>-194.02</v>
      </c>
    </row>
    <row r="1262" spans="1:12" x14ac:dyDescent="0.2">
      <c r="A1262" s="2">
        <v>42431</v>
      </c>
      <c r="B1262" s="8">
        <f>YEAR(Sales_data[[#This Row],[Order Date]])</f>
        <v>2016</v>
      </c>
      <c r="C1262" s="8">
        <f>MONTH(Sales_data[[#This Row],[Order Date]])</f>
        <v>3</v>
      </c>
      <c r="D1262" s="8" t="str">
        <f>TEXT(Sales_data[[#This Row],[Order Date]],"mmm")</f>
        <v>Mar</v>
      </c>
      <c r="E1262" t="s">
        <v>17</v>
      </c>
      <c r="F1262" t="s">
        <v>23</v>
      </c>
      <c r="G1262" t="s">
        <v>33</v>
      </c>
      <c r="H1262" t="s">
        <v>35</v>
      </c>
      <c r="I1262" t="s">
        <v>51</v>
      </c>
      <c r="J1262" s="7">
        <v>1433.32</v>
      </c>
      <c r="K1262" s="8">
        <v>5</v>
      </c>
      <c r="L1262" s="7">
        <v>-140.27000000000001</v>
      </c>
    </row>
    <row r="1263" spans="1:12" x14ac:dyDescent="0.2">
      <c r="A1263" s="2">
        <v>42431</v>
      </c>
      <c r="B1263" s="8">
        <f>YEAR(Sales_data[[#This Row],[Order Date]])</f>
        <v>2016</v>
      </c>
      <c r="C1263" s="8">
        <f>MONTH(Sales_data[[#This Row],[Order Date]])</f>
        <v>3</v>
      </c>
      <c r="D1263" s="8" t="str">
        <f>TEXT(Sales_data[[#This Row],[Order Date]],"mmm")</f>
        <v>Mar</v>
      </c>
      <c r="E1263" t="s">
        <v>20</v>
      </c>
      <c r="F1263" t="s">
        <v>24</v>
      </c>
      <c r="G1263" t="s">
        <v>34</v>
      </c>
      <c r="H1263" t="s">
        <v>35</v>
      </c>
      <c r="I1263" t="s">
        <v>44</v>
      </c>
      <c r="J1263" s="7">
        <v>1963.02</v>
      </c>
      <c r="K1263" s="8">
        <v>5</v>
      </c>
      <c r="L1263" s="7">
        <v>-1.22</v>
      </c>
    </row>
    <row r="1264" spans="1:12" x14ac:dyDescent="0.2">
      <c r="A1264" s="2">
        <v>42432</v>
      </c>
      <c r="B1264" s="8">
        <f>YEAR(Sales_data[[#This Row],[Order Date]])</f>
        <v>2016</v>
      </c>
      <c r="C1264" s="8">
        <f>MONTH(Sales_data[[#This Row],[Order Date]])</f>
        <v>3</v>
      </c>
      <c r="D1264" s="8" t="str">
        <f>TEXT(Sales_data[[#This Row],[Order Date]],"mmm")</f>
        <v>Mar</v>
      </c>
      <c r="E1264" t="s">
        <v>16</v>
      </c>
      <c r="F1264" t="s">
        <v>22</v>
      </c>
      <c r="G1264" t="s">
        <v>32</v>
      </c>
      <c r="H1264" t="s">
        <v>43</v>
      </c>
      <c r="I1264" t="s">
        <v>44</v>
      </c>
      <c r="J1264" s="7">
        <v>123.11</v>
      </c>
      <c r="K1264" s="8">
        <v>9</v>
      </c>
      <c r="L1264" s="7">
        <v>387.77</v>
      </c>
    </row>
    <row r="1265" spans="1:12" x14ac:dyDescent="0.2">
      <c r="A1265" s="2">
        <v>42433</v>
      </c>
      <c r="B1265" s="8">
        <f>YEAR(Sales_data[[#This Row],[Order Date]])</f>
        <v>2016</v>
      </c>
      <c r="C1265" s="8">
        <f>MONTH(Sales_data[[#This Row],[Order Date]])</f>
        <v>3</v>
      </c>
      <c r="D1265" s="8" t="str">
        <f>TEXT(Sales_data[[#This Row],[Order Date]],"mmm")</f>
        <v>Mar</v>
      </c>
      <c r="E1265" t="s">
        <v>17</v>
      </c>
      <c r="F1265" t="s">
        <v>28</v>
      </c>
      <c r="G1265" t="s">
        <v>32</v>
      </c>
      <c r="H1265" t="s">
        <v>36</v>
      </c>
      <c r="I1265" t="s">
        <v>51</v>
      </c>
      <c r="J1265" s="7">
        <v>514.26</v>
      </c>
      <c r="K1265" s="8">
        <v>1</v>
      </c>
      <c r="L1265" s="7">
        <v>160.27000000000001</v>
      </c>
    </row>
    <row r="1266" spans="1:12" x14ac:dyDescent="0.2">
      <c r="A1266" s="2">
        <v>42435</v>
      </c>
      <c r="B1266" s="8">
        <f>YEAR(Sales_data[[#This Row],[Order Date]])</f>
        <v>2016</v>
      </c>
      <c r="C1266" s="8">
        <f>MONTH(Sales_data[[#This Row],[Order Date]])</f>
        <v>3</v>
      </c>
      <c r="D1266" s="8" t="str">
        <f>TEXT(Sales_data[[#This Row],[Order Date]],"mmm")</f>
        <v>Mar</v>
      </c>
      <c r="E1266" t="s">
        <v>12</v>
      </c>
      <c r="F1266" t="s">
        <v>30</v>
      </c>
      <c r="G1266" t="s">
        <v>34</v>
      </c>
      <c r="H1266" t="s">
        <v>36</v>
      </c>
      <c r="I1266" t="s">
        <v>53</v>
      </c>
      <c r="J1266" s="7">
        <v>1872.93</v>
      </c>
      <c r="K1266" s="8">
        <v>2</v>
      </c>
      <c r="L1266" s="7">
        <v>13.19</v>
      </c>
    </row>
    <row r="1267" spans="1:12" x14ac:dyDescent="0.2">
      <c r="A1267" s="2">
        <v>42435</v>
      </c>
      <c r="B1267" s="8">
        <f>YEAR(Sales_data[[#This Row],[Order Date]])</f>
        <v>2016</v>
      </c>
      <c r="C1267" s="8">
        <f>MONTH(Sales_data[[#This Row],[Order Date]])</f>
        <v>3</v>
      </c>
      <c r="D1267" s="8" t="str">
        <f>TEXT(Sales_data[[#This Row],[Order Date]],"mmm")</f>
        <v>Mar</v>
      </c>
      <c r="E1267" t="s">
        <v>16</v>
      </c>
      <c r="F1267" t="s">
        <v>27</v>
      </c>
      <c r="G1267" t="s">
        <v>33</v>
      </c>
      <c r="H1267" t="s">
        <v>40</v>
      </c>
      <c r="I1267" t="s">
        <v>49</v>
      </c>
      <c r="J1267" s="7">
        <v>1135.26</v>
      </c>
      <c r="K1267" s="8">
        <v>5</v>
      </c>
      <c r="L1267" s="7">
        <v>232.45</v>
      </c>
    </row>
    <row r="1268" spans="1:12" x14ac:dyDescent="0.2">
      <c r="A1268" s="2">
        <v>42435</v>
      </c>
      <c r="B1268" s="8">
        <f>YEAR(Sales_data[[#This Row],[Order Date]])</f>
        <v>2016</v>
      </c>
      <c r="C1268" s="8">
        <f>MONTH(Sales_data[[#This Row],[Order Date]])</f>
        <v>3</v>
      </c>
      <c r="D1268" s="8" t="str">
        <f>TEXT(Sales_data[[#This Row],[Order Date]],"mmm")</f>
        <v>Mar</v>
      </c>
      <c r="E1268" t="s">
        <v>15</v>
      </c>
      <c r="F1268" t="s">
        <v>22</v>
      </c>
      <c r="G1268" t="s">
        <v>33</v>
      </c>
      <c r="H1268" t="s">
        <v>42</v>
      </c>
      <c r="I1268" t="s">
        <v>46</v>
      </c>
      <c r="J1268" s="7">
        <v>1301.69</v>
      </c>
      <c r="K1268" s="8">
        <v>6</v>
      </c>
      <c r="L1268" s="7">
        <v>-103.95</v>
      </c>
    </row>
    <row r="1269" spans="1:12" x14ac:dyDescent="0.2">
      <c r="A1269" s="2">
        <v>42437</v>
      </c>
      <c r="B1269" s="8">
        <f>YEAR(Sales_data[[#This Row],[Order Date]])</f>
        <v>2016</v>
      </c>
      <c r="C1269" s="8">
        <f>MONTH(Sales_data[[#This Row],[Order Date]])</f>
        <v>3</v>
      </c>
      <c r="D1269" s="8" t="str">
        <f>TEXT(Sales_data[[#This Row],[Order Date]],"mmm")</f>
        <v>Mar</v>
      </c>
      <c r="E1269" t="s">
        <v>19</v>
      </c>
      <c r="F1269" t="s">
        <v>31</v>
      </c>
      <c r="G1269" t="s">
        <v>34</v>
      </c>
      <c r="H1269" t="s">
        <v>36</v>
      </c>
      <c r="I1269" t="s">
        <v>51</v>
      </c>
      <c r="J1269" s="7">
        <v>809.88</v>
      </c>
      <c r="K1269" s="8">
        <v>5</v>
      </c>
      <c r="L1269" s="7">
        <v>102.24</v>
      </c>
    </row>
    <row r="1270" spans="1:12" x14ac:dyDescent="0.2">
      <c r="A1270" s="2">
        <v>42438</v>
      </c>
      <c r="B1270" s="8">
        <f>YEAR(Sales_data[[#This Row],[Order Date]])</f>
        <v>2016</v>
      </c>
      <c r="C1270" s="8">
        <f>MONTH(Sales_data[[#This Row],[Order Date]])</f>
        <v>3</v>
      </c>
      <c r="D1270" s="8" t="str">
        <f>TEXT(Sales_data[[#This Row],[Order Date]],"mmm")</f>
        <v>Mar</v>
      </c>
      <c r="E1270" t="s">
        <v>18</v>
      </c>
      <c r="F1270" t="s">
        <v>28</v>
      </c>
      <c r="G1270" t="s">
        <v>33</v>
      </c>
      <c r="H1270" t="s">
        <v>39</v>
      </c>
      <c r="I1270" t="s">
        <v>45</v>
      </c>
      <c r="J1270" s="7">
        <v>395.46</v>
      </c>
      <c r="K1270" s="8">
        <v>4</v>
      </c>
      <c r="L1270" s="7">
        <v>114.31</v>
      </c>
    </row>
    <row r="1271" spans="1:12" x14ac:dyDescent="0.2">
      <c r="A1271" s="2">
        <v>42439</v>
      </c>
      <c r="B1271" s="8">
        <f>YEAR(Sales_data[[#This Row],[Order Date]])</f>
        <v>2016</v>
      </c>
      <c r="C1271" s="8">
        <f>MONTH(Sales_data[[#This Row],[Order Date]])</f>
        <v>3</v>
      </c>
      <c r="D1271" s="8" t="str">
        <f>TEXT(Sales_data[[#This Row],[Order Date]],"mmm")</f>
        <v>Mar</v>
      </c>
      <c r="E1271" t="s">
        <v>15</v>
      </c>
      <c r="F1271" t="s">
        <v>23</v>
      </c>
      <c r="G1271" t="s">
        <v>32</v>
      </c>
      <c r="H1271" t="s">
        <v>37</v>
      </c>
      <c r="I1271" t="s">
        <v>47</v>
      </c>
      <c r="J1271" s="7">
        <v>1778.4</v>
      </c>
      <c r="K1271" s="8">
        <v>8</v>
      </c>
      <c r="L1271" s="7">
        <v>350.31</v>
      </c>
    </row>
    <row r="1272" spans="1:12" x14ac:dyDescent="0.2">
      <c r="A1272" s="2">
        <v>42439</v>
      </c>
      <c r="B1272" s="8">
        <f>YEAR(Sales_data[[#This Row],[Order Date]])</f>
        <v>2016</v>
      </c>
      <c r="C1272" s="8">
        <f>MONTH(Sales_data[[#This Row],[Order Date]])</f>
        <v>3</v>
      </c>
      <c r="D1272" s="8" t="str">
        <f>TEXT(Sales_data[[#This Row],[Order Date]],"mmm")</f>
        <v>Mar</v>
      </c>
      <c r="E1272" t="s">
        <v>9</v>
      </c>
      <c r="F1272" t="s">
        <v>30</v>
      </c>
      <c r="G1272" t="s">
        <v>33</v>
      </c>
      <c r="H1272" t="s">
        <v>41</v>
      </c>
      <c r="I1272" t="s">
        <v>45</v>
      </c>
      <c r="J1272" s="7">
        <v>218.6</v>
      </c>
      <c r="K1272" s="8">
        <v>7</v>
      </c>
      <c r="L1272" s="7">
        <v>-177.92</v>
      </c>
    </row>
    <row r="1273" spans="1:12" x14ac:dyDescent="0.2">
      <c r="A1273" s="2">
        <v>42440</v>
      </c>
      <c r="B1273" s="8">
        <f>YEAR(Sales_data[[#This Row],[Order Date]])</f>
        <v>2016</v>
      </c>
      <c r="C1273" s="8">
        <f>MONTH(Sales_data[[#This Row],[Order Date]])</f>
        <v>3</v>
      </c>
      <c r="D1273" s="8" t="str">
        <f>TEXT(Sales_data[[#This Row],[Order Date]],"mmm")</f>
        <v>Mar</v>
      </c>
      <c r="E1273" t="s">
        <v>9</v>
      </c>
      <c r="F1273" t="s">
        <v>26</v>
      </c>
      <c r="G1273" t="s">
        <v>33</v>
      </c>
      <c r="H1273" t="s">
        <v>43</v>
      </c>
      <c r="I1273" t="s">
        <v>48</v>
      </c>
      <c r="J1273" s="7">
        <v>650.26</v>
      </c>
      <c r="K1273" s="8">
        <v>9</v>
      </c>
      <c r="L1273" s="7">
        <v>53.14</v>
      </c>
    </row>
    <row r="1274" spans="1:12" x14ac:dyDescent="0.2">
      <c r="A1274" s="2">
        <v>42441</v>
      </c>
      <c r="B1274" s="8">
        <f>YEAR(Sales_data[[#This Row],[Order Date]])</f>
        <v>2016</v>
      </c>
      <c r="C1274" s="8">
        <f>MONTH(Sales_data[[#This Row],[Order Date]])</f>
        <v>3</v>
      </c>
      <c r="D1274" s="8" t="str">
        <f>TEXT(Sales_data[[#This Row],[Order Date]],"mmm")</f>
        <v>Mar</v>
      </c>
      <c r="E1274" t="s">
        <v>13</v>
      </c>
      <c r="F1274" t="s">
        <v>26</v>
      </c>
      <c r="G1274" t="s">
        <v>34</v>
      </c>
      <c r="H1274" t="s">
        <v>43</v>
      </c>
      <c r="I1274" t="s">
        <v>47</v>
      </c>
      <c r="J1274" s="7">
        <v>471.4</v>
      </c>
      <c r="K1274" s="8">
        <v>3</v>
      </c>
      <c r="L1274" s="7">
        <v>118.12</v>
      </c>
    </row>
    <row r="1275" spans="1:12" x14ac:dyDescent="0.2">
      <c r="A1275" s="2">
        <v>42441</v>
      </c>
      <c r="B1275" s="8">
        <f>YEAR(Sales_data[[#This Row],[Order Date]])</f>
        <v>2016</v>
      </c>
      <c r="C1275" s="8">
        <f>MONTH(Sales_data[[#This Row],[Order Date]])</f>
        <v>3</v>
      </c>
      <c r="D1275" s="8" t="str">
        <f>TEXT(Sales_data[[#This Row],[Order Date]],"mmm")</f>
        <v>Mar</v>
      </c>
      <c r="E1275" t="s">
        <v>13</v>
      </c>
      <c r="F1275" t="s">
        <v>28</v>
      </c>
      <c r="G1275" t="s">
        <v>34</v>
      </c>
      <c r="H1275" t="s">
        <v>42</v>
      </c>
      <c r="I1275" t="s">
        <v>44</v>
      </c>
      <c r="J1275" s="7">
        <v>943.43</v>
      </c>
      <c r="K1275" s="8">
        <v>8</v>
      </c>
      <c r="L1275" s="7">
        <v>222.42</v>
      </c>
    </row>
    <row r="1276" spans="1:12" x14ac:dyDescent="0.2">
      <c r="A1276" s="2">
        <v>42442</v>
      </c>
      <c r="B1276" s="8">
        <f>YEAR(Sales_data[[#This Row],[Order Date]])</f>
        <v>2016</v>
      </c>
      <c r="C1276" s="8">
        <f>MONTH(Sales_data[[#This Row],[Order Date]])</f>
        <v>3</v>
      </c>
      <c r="D1276" s="8" t="str">
        <f>TEXT(Sales_data[[#This Row],[Order Date]],"mmm")</f>
        <v>Mar</v>
      </c>
      <c r="E1276" t="s">
        <v>17</v>
      </c>
      <c r="F1276" t="s">
        <v>26</v>
      </c>
      <c r="G1276" t="s">
        <v>34</v>
      </c>
      <c r="H1276" t="s">
        <v>39</v>
      </c>
      <c r="I1276" t="s">
        <v>50</v>
      </c>
      <c r="J1276" s="7">
        <v>870.47</v>
      </c>
      <c r="K1276" s="8">
        <v>7</v>
      </c>
      <c r="L1276" s="7">
        <v>-16.57</v>
      </c>
    </row>
    <row r="1277" spans="1:12" x14ac:dyDescent="0.2">
      <c r="A1277" s="2">
        <v>42442</v>
      </c>
      <c r="B1277" s="8">
        <f>YEAR(Sales_data[[#This Row],[Order Date]])</f>
        <v>2016</v>
      </c>
      <c r="C1277" s="8">
        <f>MONTH(Sales_data[[#This Row],[Order Date]])</f>
        <v>3</v>
      </c>
      <c r="D1277" s="8" t="str">
        <f>TEXT(Sales_data[[#This Row],[Order Date]],"mmm")</f>
        <v>Mar</v>
      </c>
      <c r="E1277" t="s">
        <v>17</v>
      </c>
      <c r="F1277" t="s">
        <v>25</v>
      </c>
      <c r="G1277" t="s">
        <v>34</v>
      </c>
      <c r="H1277" t="s">
        <v>36</v>
      </c>
      <c r="I1277" t="s">
        <v>50</v>
      </c>
      <c r="J1277" s="7">
        <v>342.72</v>
      </c>
      <c r="K1277" s="8">
        <v>2</v>
      </c>
      <c r="L1277" s="7">
        <v>-183.81</v>
      </c>
    </row>
    <row r="1278" spans="1:12" x14ac:dyDescent="0.2">
      <c r="A1278" s="2">
        <v>42443</v>
      </c>
      <c r="B1278" s="8">
        <f>YEAR(Sales_data[[#This Row],[Order Date]])</f>
        <v>2016</v>
      </c>
      <c r="C1278" s="8">
        <f>MONTH(Sales_data[[#This Row],[Order Date]])</f>
        <v>3</v>
      </c>
      <c r="D1278" s="8" t="str">
        <f>TEXT(Sales_data[[#This Row],[Order Date]],"mmm")</f>
        <v>Mar</v>
      </c>
      <c r="E1278" t="s">
        <v>13</v>
      </c>
      <c r="F1278" t="s">
        <v>22</v>
      </c>
      <c r="G1278" t="s">
        <v>34</v>
      </c>
      <c r="H1278" t="s">
        <v>41</v>
      </c>
      <c r="I1278" t="s">
        <v>48</v>
      </c>
      <c r="J1278" s="7">
        <v>450.04</v>
      </c>
      <c r="K1278" s="8">
        <v>9</v>
      </c>
      <c r="L1278" s="7">
        <v>-166.79</v>
      </c>
    </row>
    <row r="1279" spans="1:12" x14ac:dyDescent="0.2">
      <c r="A1279" s="2">
        <v>42443</v>
      </c>
      <c r="B1279" s="8">
        <f>YEAR(Sales_data[[#This Row],[Order Date]])</f>
        <v>2016</v>
      </c>
      <c r="C1279" s="8">
        <f>MONTH(Sales_data[[#This Row],[Order Date]])</f>
        <v>3</v>
      </c>
      <c r="D1279" s="8" t="str">
        <f>TEXT(Sales_data[[#This Row],[Order Date]],"mmm")</f>
        <v>Mar</v>
      </c>
      <c r="E1279" t="s">
        <v>19</v>
      </c>
      <c r="F1279" t="s">
        <v>22</v>
      </c>
      <c r="G1279" t="s">
        <v>33</v>
      </c>
      <c r="H1279" t="s">
        <v>36</v>
      </c>
      <c r="I1279" t="s">
        <v>50</v>
      </c>
      <c r="J1279" s="7">
        <v>650.11</v>
      </c>
      <c r="K1279" s="8">
        <v>3</v>
      </c>
      <c r="L1279" s="7">
        <v>139.30000000000001</v>
      </c>
    </row>
    <row r="1280" spans="1:12" x14ac:dyDescent="0.2">
      <c r="A1280" s="2">
        <v>42443</v>
      </c>
      <c r="B1280" s="8">
        <f>YEAR(Sales_data[[#This Row],[Order Date]])</f>
        <v>2016</v>
      </c>
      <c r="C1280" s="8">
        <f>MONTH(Sales_data[[#This Row],[Order Date]])</f>
        <v>3</v>
      </c>
      <c r="D1280" s="8" t="str">
        <f>TEXT(Sales_data[[#This Row],[Order Date]],"mmm")</f>
        <v>Mar</v>
      </c>
      <c r="E1280" t="s">
        <v>17</v>
      </c>
      <c r="F1280" t="s">
        <v>24</v>
      </c>
      <c r="G1280" t="s">
        <v>32</v>
      </c>
      <c r="H1280" t="s">
        <v>35</v>
      </c>
      <c r="I1280" t="s">
        <v>52</v>
      </c>
      <c r="J1280" s="7">
        <v>1142.5899999999999</v>
      </c>
      <c r="K1280" s="8">
        <v>2</v>
      </c>
      <c r="L1280" s="7">
        <v>126.88</v>
      </c>
    </row>
    <row r="1281" spans="1:12" x14ac:dyDescent="0.2">
      <c r="A1281" s="2">
        <v>42444</v>
      </c>
      <c r="B1281" s="8">
        <f>YEAR(Sales_data[[#This Row],[Order Date]])</f>
        <v>2016</v>
      </c>
      <c r="C1281" s="8">
        <f>MONTH(Sales_data[[#This Row],[Order Date]])</f>
        <v>3</v>
      </c>
      <c r="D1281" s="8" t="str">
        <f>TEXT(Sales_data[[#This Row],[Order Date]],"mmm")</f>
        <v>Mar</v>
      </c>
      <c r="E1281" t="s">
        <v>13</v>
      </c>
      <c r="F1281" t="s">
        <v>24</v>
      </c>
      <c r="G1281" t="s">
        <v>33</v>
      </c>
      <c r="H1281" t="s">
        <v>38</v>
      </c>
      <c r="I1281" t="s">
        <v>48</v>
      </c>
      <c r="J1281" s="7">
        <v>1423.38</v>
      </c>
      <c r="K1281" s="8">
        <v>2</v>
      </c>
      <c r="L1281" s="7">
        <v>331.05</v>
      </c>
    </row>
    <row r="1282" spans="1:12" x14ac:dyDescent="0.2">
      <c r="A1282" s="2">
        <v>42444</v>
      </c>
      <c r="B1282" s="8">
        <f>YEAR(Sales_data[[#This Row],[Order Date]])</f>
        <v>2016</v>
      </c>
      <c r="C1282" s="8">
        <f>MONTH(Sales_data[[#This Row],[Order Date]])</f>
        <v>3</v>
      </c>
      <c r="D1282" s="8" t="str">
        <f>TEXT(Sales_data[[#This Row],[Order Date]],"mmm")</f>
        <v>Mar</v>
      </c>
      <c r="E1282" t="s">
        <v>12</v>
      </c>
      <c r="F1282" t="s">
        <v>23</v>
      </c>
      <c r="G1282" t="s">
        <v>34</v>
      </c>
      <c r="H1282" t="s">
        <v>42</v>
      </c>
      <c r="I1282" t="s">
        <v>46</v>
      </c>
      <c r="J1282" s="7">
        <v>1046.77</v>
      </c>
      <c r="K1282" s="8">
        <v>5</v>
      </c>
      <c r="L1282" s="7">
        <v>91.63</v>
      </c>
    </row>
    <row r="1283" spans="1:12" x14ac:dyDescent="0.2">
      <c r="A1283" s="2">
        <v>42446</v>
      </c>
      <c r="B1283" s="8">
        <f>YEAR(Sales_data[[#This Row],[Order Date]])</f>
        <v>2016</v>
      </c>
      <c r="C1283" s="8">
        <f>MONTH(Sales_data[[#This Row],[Order Date]])</f>
        <v>3</v>
      </c>
      <c r="D1283" s="8" t="str">
        <f>TEXT(Sales_data[[#This Row],[Order Date]],"mmm")</f>
        <v>Mar</v>
      </c>
      <c r="E1283" t="s">
        <v>15</v>
      </c>
      <c r="F1283" t="s">
        <v>22</v>
      </c>
      <c r="G1283" t="s">
        <v>34</v>
      </c>
      <c r="H1283" t="s">
        <v>42</v>
      </c>
      <c r="I1283" t="s">
        <v>48</v>
      </c>
      <c r="J1283" s="7">
        <v>415.4</v>
      </c>
      <c r="K1283" s="8">
        <v>2</v>
      </c>
      <c r="L1283" s="7">
        <v>236.09</v>
      </c>
    </row>
    <row r="1284" spans="1:12" x14ac:dyDescent="0.2">
      <c r="A1284" s="2">
        <v>42446</v>
      </c>
      <c r="B1284" s="8">
        <f>YEAR(Sales_data[[#This Row],[Order Date]])</f>
        <v>2016</v>
      </c>
      <c r="C1284" s="8">
        <f>MONTH(Sales_data[[#This Row],[Order Date]])</f>
        <v>3</v>
      </c>
      <c r="D1284" s="8" t="str">
        <f>TEXT(Sales_data[[#This Row],[Order Date]],"mmm")</f>
        <v>Mar</v>
      </c>
      <c r="E1284" t="s">
        <v>19</v>
      </c>
      <c r="F1284" t="s">
        <v>28</v>
      </c>
      <c r="G1284" t="s">
        <v>33</v>
      </c>
      <c r="H1284" t="s">
        <v>35</v>
      </c>
      <c r="I1284" t="s">
        <v>46</v>
      </c>
      <c r="J1284" s="7">
        <v>842.35</v>
      </c>
      <c r="K1284" s="8">
        <v>1</v>
      </c>
      <c r="L1284" s="7">
        <v>161.35</v>
      </c>
    </row>
    <row r="1285" spans="1:12" x14ac:dyDescent="0.2">
      <c r="A1285" s="2">
        <v>42447</v>
      </c>
      <c r="B1285" s="8">
        <f>YEAR(Sales_data[[#This Row],[Order Date]])</f>
        <v>2016</v>
      </c>
      <c r="C1285" s="8">
        <f>MONTH(Sales_data[[#This Row],[Order Date]])</f>
        <v>3</v>
      </c>
      <c r="D1285" s="8" t="str">
        <f>TEXT(Sales_data[[#This Row],[Order Date]],"mmm")</f>
        <v>Mar</v>
      </c>
      <c r="E1285" t="s">
        <v>9</v>
      </c>
      <c r="F1285" t="s">
        <v>25</v>
      </c>
      <c r="G1285" t="s">
        <v>32</v>
      </c>
      <c r="H1285" t="s">
        <v>40</v>
      </c>
      <c r="I1285" t="s">
        <v>48</v>
      </c>
      <c r="J1285" s="7">
        <v>1782.74</v>
      </c>
      <c r="K1285" s="8">
        <v>2</v>
      </c>
      <c r="L1285" s="7">
        <v>248.5</v>
      </c>
    </row>
    <row r="1286" spans="1:12" x14ac:dyDescent="0.2">
      <c r="A1286" s="2">
        <v>42449</v>
      </c>
      <c r="B1286" s="8">
        <f>YEAR(Sales_data[[#This Row],[Order Date]])</f>
        <v>2016</v>
      </c>
      <c r="C1286" s="8">
        <f>MONTH(Sales_data[[#This Row],[Order Date]])</f>
        <v>3</v>
      </c>
      <c r="D1286" s="8" t="str">
        <f>TEXT(Sales_data[[#This Row],[Order Date]],"mmm")</f>
        <v>Mar</v>
      </c>
      <c r="E1286" t="s">
        <v>17</v>
      </c>
      <c r="F1286" t="s">
        <v>25</v>
      </c>
      <c r="G1286" t="s">
        <v>32</v>
      </c>
      <c r="H1286" t="s">
        <v>37</v>
      </c>
      <c r="I1286" t="s">
        <v>50</v>
      </c>
      <c r="J1286" s="7">
        <v>1689.98</v>
      </c>
      <c r="K1286" s="8">
        <v>7</v>
      </c>
      <c r="L1286" s="7">
        <v>58.64</v>
      </c>
    </row>
    <row r="1287" spans="1:12" x14ac:dyDescent="0.2">
      <c r="A1287" s="2">
        <v>42450</v>
      </c>
      <c r="B1287" s="8">
        <f>YEAR(Sales_data[[#This Row],[Order Date]])</f>
        <v>2016</v>
      </c>
      <c r="C1287" s="8">
        <f>MONTH(Sales_data[[#This Row],[Order Date]])</f>
        <v>3</v>
      </c>
      <c r="D1287" s="8" t="str">
        <f>TEXT(Sales_data[[#This Row],[Order Date]],"mmm")</f>
        <v>Mar</v>
      </c>
      <c r="E1287" t="s">
        <v>13</v>
      </c>
      <c r="F1287" t="s">
        <v>23</v>
      </c>
      <c r="G1287" t="s">
        <v>34</v>
      </c>
      <c r="H1287" t="s">
        <v>39</v>
      </c>
      <c r="I1287" t="s">
        <v>47</v>
      </c>
      <c r="J1287" s="7">
        <v>1414.81</v>
      </c>
      <c r="K1287" s="8">
        <v>5</v>
      </c>
      <c r="L1287" s="7">
        <v>-183.39</v>
      </c>
    </row>
    <row r="1288" spans="1:12" x14ac:dyDescent="0.2">
      <c r="A1288" s="2">
        <v>42451</v>
      </c>
      <c r="B1288" s="8">
        <f>YEAR(Sales_data[[#This Row],[Order Date]])</f>
        <v>2016</v>
      </c>
      <c r="C1288" s="8">
        <f>MONTH(Sales_data[[#This Row],[Order Date]])</f>
        <v>3</v>
      </c>
      <c r="D1288" s="8" t="str">
        <f>TEXT(Sales_data[[#This Row],[Order Date]],"mmm")</f>
        <v>Mar</v>
      </c>
      <c r="E1288" t="s">
        <v>19</v>
      </c>
      <c r="F1288" t="s">
        <v>27</v>
      </c>
      <c r="G1288" t="s">
        <v>32</v>
      </c>
      <c r="H1288" t="s">
        <v>41</v>
      </c>
      <c r="I1288" t="s">
        <v>47</v>
      </c>
      <c r="J1288" s="7">
        <v>760.13</v>
      </c>
      <c r="K1288" s="8">
        <v>8</v>
      </c>
      <c r="L1288" s="7">
        <v>-115.34</v>
      </c>
    </row>
    <row r="1289" spans="1:12" x14ac:dyDescent="0.2">
      <c r="A1289" s="2">
        <v>42451</v>
      </c>
      <c r="B1289" s="8">
        <f>YEAR(Sales_data[[#This Row],[Order Date]])</f>
        <v>2016</v>
      </c>
      <c r="C1289" s="8">
        <f>MONTH(Sales_data[[#This Row],[Order Date]])</f>
        <v>3</v>
      </c>
      <c r="D1289" s="8" t="str">
        <f>TEXT(Sales_data[[#This Row],[Order Date]],"mmm")</f>
        <v>Mar</v>
      </c>
      <c r="E1289" t="s">
        <v>10</v>
      </c>
      <c r="F1289" t="s">
        <v>24</v>
      </c>
      <c r="G1289" t="s">
        <v>34</v>
      </c>
      <c r="H1289" t="s">
        <v>36</v>
      </c>
      <c r="I1289" t="s">
        <v>46</v>
      </c>
      <c r="J1289" s="7">
        <v>785.2</v>
      </c>
      <c r="K1289" s="8">
        <v>8</v>
      </c>
      <c r="L1289" s="7">
        <v>271</v>
      </c>
    </row>
    <row r="1290" spans="1:12" x14ac:dyDescent="0.2">
      <c r="A1290" s="2">
        <v>42455</v>
      </c>
      <c r="B1290" s="8">
        <f>YEAR(Sales_data[[#This Row],[Order Date]])</f>
        <v>2016</v>
      </c>
      <c r="C1290" s="8">
        <f>MONTH(Sales_data[[#This Row],[Order Date]])</f>
        <v>3</v>
      </c>
      <c r="D1290" s="8" t="str">
        <f>TEXT(Sales_data[[#This Row],[Order Date]],"mmm")</f>
        <v>Mar</v>
      </c>
      <c r="E1290" t="s">
        <v>19</v>
      </c>
      <c r="F1290" t="s">
        <v>22</v>
      </c>
      <c r="G1290" t="s">
        <v>33</v>
      </c>
      <c r="H1290" t="s">
        <v>40</v>
      </c>
      <c r="I1290" t="s">
        <v>48</v>
      </c>
      <c r="J1290" s="7">
        <v>966.76</v>
      </c>
      <c r="K1290" s="8">
        <v>8</v>
      </c>
      <c r="L1290" s="7">
        <v>200.12</v>
      </c>
    </row>
    <row r="1291" spans="1:12" x14ac:dyDescent="0.2">
      <c r="A1291" s="2">
        <v>42455</v>
      </c>
      <c r="B1291" s="8">
        <f>YEAR(Sales_data[[#This Row],[Order Date]])</f>
        <v>2016</v>
      </c>
      <c r="C1291" s="8">
        <f>MONTH(Sales_data[[#This Row],[Order Date]])</f>
        <v>3</v>
      </c>
      <c r="D1291" s="8" t="str">
        <f>TEXT(Sales_data[[#This Row],[Order Date]],"mmm")</f>
        <v>Mar</v>
      </c>
      <c r="E1291" t="s">
        <v>17</v>
      </c>
      <c r="F1291" t="s">
        <v>27</v>
      </c>
      <c r="G1291" t="s">
        <v>34</v>
      </c>
      <c r="H1291" t="s">
        <v>39</v>
      </c>
      <c r="I1291" t="s">
        <v>45</v>
      </c>
      <c r="J1291" s="7">
        <v>900.77</v>
      </c>
      <c r="K1291" s="8">
        <v>9</v>
      </c>
      <c r="L1291" s="7">
        <v>370.5</v>
      </c>
    </row>
    <row r="1292" spans="1:12" x14ac:dyDescent="0.2">
      <c r="A1292" s="2">
        <v>42455</v>
      </c>
      <c r="B1292" s="8">
        <f>YEAR(Sales_data[[#This Row],[Order Date]])</f>
        <v>2016</v>
      </c>
      <c r="C1292" s="8">
        <f>MONTH(Sales_data[[#This Row],[Order Date]])</f>
        <v>3</v>
      </c>
      <c r="D1292" s="8" t="str">
        <f>TEXT(Sales_data[[#This Row],[Order Date]],"mmm")</f>
        <v>Mar</v>
      </c>
      <c r="E1292" t="s">
        <v>15</v>
      </c>
      <c r="F1292" t="s">
        <v>27</v>
      </c>
      <c r="G1292" t="s">
        <v>34</v>
      </c>
      <c r="H1292" t="s">
        <v>35</v>
      </c>
      <c r="I1292" t="s">
        <v>51</v>
      </c>
      <c r="J1292" s="7">
        <v>640.27</v>
      </c>
      <c r="K1292" s="8">
        <v>8</v>
      </c>
      <c r="L1292" s="7">
        <v>183.07</v>
      </c>
    </row>
    <row r="1293" spans="1:12" x14ac:dyDescent="0.2">
      <c r="A1293" s="2">
        <v>42456</v>
      </c>
      <c r="B1293" s="8">
        <f>YEAR(Sales_data[[#This Row],[Order Date]])</f>
        <v>2016</v>
      </c>
      <c r="C1293" s="8">
        <f>MONTH(Sales_data[[#This Row],[Order Date]])</f>
        <v>3</v>
      </c>
      <c r="D1293" s="8" t="str">
        <f>TEXT(Sales_data[[#This Row],[Order Date]],"mmm")</f>
        <v>Mar</v>
      </c>
      <c r="E1293" t="s">
        <v>20</v>
      </c>
      <c r="F1293" t="s">
        <v>30</v>
      </c>
      <c r="G1293" t="s">
        <v>33</v>
      </c>
      <c r="H1293" t="s">
        <v>41</v>
      </c>
      <c r="I1293" t="s">
        <v>45</v>
      </c>
      <c r="J1293" s="7">
        <v>1414.14</v>
      </c>
      <c r="K1293" s="8">
        <v>1</v>
      </c>
      <c r="L1293" s="7">
        <v>177.18</v>
      </c>
    </row>
    <row r="1294" spans="1:12" x14ac:dyDescent="0.2">
      <c r="A1294" s="2">
        <v>42457</v>
      </c>
      <c r="B1294" s="8">
        <f>YEAR(Sales_data[[#This Row],[Order Date]])</f>
        <v>2016</v>
      </c>
      <c r="C1294" s="8">
        <f>MONTH(Sales_data[[#This Row],[Order Date]])</f>
        <v>3</v>
      </c>
      <c r="D1294" s="8" t="str">
        <f>TEXT(Sales_data[[#This Row],[Order Date]],"mmm")</f>
        <v>Mar</v>
      </c>
      <c r="E1294" t="s">
        <v>11</v>
      </c>
      <c r="F1294" t="s">
        <v>25</v>
      </c>
      <c r="G1294" t="s">
        <v>33</v>
      </c>
      <c r="H1294" t="s">
        <v>42</v>
      </c>
      <c r="I1294" t="s">
        <v>47</v>
      </c>
      <c r="J1294" s="7">
        <v>1970.56</v>
      </c>
      <c r="K1294" s="8">
        <v>2</v>
      </c>
      <c r="L1294" s="7">
        <v>78.72</v>
      </c>
    </row>
    <row r="1295" spans="1:12" x14ac:dyDescent="0.2">
      <c r="A1295" s="2">
        <v>42457</v>
      </c>
      <c r="B1295" s="8">
        <f>YEAR(Sales_data[[#This Row],[Order Date]])</f>
        <v>2016</v>
      </c>
      <c r="C1295" s="8">
        <f>MONTH(Sales_data[[#This Row],[Order Date]])</f>
        <v>3</v>
      </c>
      <c r="D1295" s="8" t="str">
        <f>TEXT(Sales_data[[#This Row],[Order Date]],"mmm")</f>
        <v>Mar</v>
      </c>
      <c r="E1295" t="s">
        <v>18</v>
      </c>
      <c r="F1295" t="s">
        <v>25</v>
      </c>
      <c r="G1295" t="s">
        <v>33</v>
      </c>
      <c r="H1295" t="s">
        <v>36</v>
      </c>
      <c r="I1295" t="s">
        <v>46</v>
      </c>
      <c r="J1295" s="7">
        <v>1482.19</v>
      </c>
      <c r="K1295" s="8">
        <v>5</v>
      </c>
      <c r="L1295" s="7">
        <v>369.95</v>
      </c>
    </row>
    <row r="1296" spans="1:12" x14ac:dyDescent="0.2">
      <c r="A1296" s="2">
        <v>42458</v>
      </c>
      <c r="B1296" s="8">
        <f>YEAR(Sales_data[[#This Row],[Order Date]])</f>
        <v>2016</v>
      </c>
      <c r="C1296" s="8">
        <f>MONTH(Sales_data[[#This Row],[Order Date]])</f>
        <v>3</v>
      </c>
      <c r="D1296" s="8" t="str">
        <f>TEXT(Sales_data[[#This Row],[Order Date]],"mmm")</f>
        <v>Mar</v>
      </c>
      <c r="E1296" t="s">
        <v>17</v>
      </c>
      <c r="F1296" t="s">
        <v>31</v>
      </c>
      <c r="G1296" t="s">
        <v>34</v>
      </c>
      <c r="H1296" t="s">
        <v>39</v>
      </c>
      <c r="I1296" t="s">
        <v>44</v>
      </c>
      <c r="J1296" s="7">
        <v>672.69</v>
      </c>
      <c r="K1296" s="8">
        <v>5</v>
      </c>
      <c r="L1296" s="7">
        <v>140.69999999999999</v>
      </c>
    </row>
    <row r="1297" spans="1:12" x14ac:dyDescent="0.2">
      <c r="A1297" s="2">
        <v>42458</v>
      </c>
      <c r="B1297" s="8">
        <f>YEAR(Sales_data[[#This Row],[Order Date]])</f>
        <v>2016</v>
      </c>
      <c r="C1297" s="8">
        <f>MONTH(Sales_data[[#This Row],[Order Date]])</f>
        <v>3</v>
      </c>
      <c r="D1297" s="8" t="str">
        <f>TEXT(Sales_data[[#This Row],[Order Date]],"mmm")</f>
        <v>Mar</v>
      </c>
      <c r="E1297" t="s">
        <v>16</v>
      </c>
      <c r="F1297" t="s">
        <v>23</v>
      </c>
      <c r="G1297" t="s">
        <v>34</v>
      </c>
      <c r="H1297" t="s">
        <v>40</v>
      </c>
      <c r="I1297" t="s">
        <v>50</v>
      </c>
      <c r="J1297" s="7">
        <v>975.13</v>
      </c>
      <c r="K1297" s="8">
        <v>5</v>
      </c>
      <c r="L1297" s="7">
        <v>33.729999999999997</v>
      </c>
    </row>
    <row r="1298" spans="1:12" x14ac:dyDescent="0.2">
      <c r="A1298" s="2">
        <v>42459</v>
      </c>
      <c r="B1298" s="8">
        <f>YEAR(Sales_data[[#This Row],[Order Date]])</f>
        <v>2016</v>
      </c>
      <c r="C1298" s="8">
        <f>MONTH(Sales_data[[#This Row],[Order Date]])</f>
        <v>3</v>
      </c>
      <c r="D1298" s="8" t="str">
        <f>TEXT(Sales_data[[#This Row],[Order Date]],"mmm")</f>
        <v>Mar</v>
      </c>
      <c r="E1298" t="s">
        <v>13</v>
      </c>
      <c r="F1298" t="s">
        <v>25</v>
      </c>
      <c r="G1298" t="s">
        <v>34</v>
      </c>
      <c r="H1298" t="s">
        <v>41</v>
      </c>
      <c r="I1298" t="s">
        <v>51</v>
      </c>
      <c r="J1298" s="7">
        <v>586.1</v>
      </c>
      <c r="K1298" s="8">
        <v>7</v>
      </c>
      <c r="L1298" s="7">
        <v>206.66</v>
      </c>
    </row>
    <row r="1299" spans="1:12" x14ac:dyDescent="0.2">
      <c r="A1299" s="2">
        <v>42459</v>
      </c>
      <c r="B1299" s="8">
        <f>YEAR(Sales_data[[#This Row],[Order Date]])</f>
        <v>2016</v>
      </c>
      <c r="C1299" s="8">
        <f>MONTH(Sales_data[[#This Row],[Order Date]])</f>
        <v>3</v>
      </c>
      <c r="D1299" s="8" t="str">
        <f>TEXT(Sales_data[[#This Row],[Order Date]],"mmm")</f>
        <v>Mar</v>
      </c>
      <c r="E1299" t="s">
        <v>20</v>
      </c>
      <c r="F1299" t="s">
        <v>25</v>
      </c>
      <c r="G1299" t="s">
        <v>34</v>
      </c>
      <c r="H1299" t="s">
        <v>37</v>
      </c>
      <c r="I1299" t="s">
        <v>45</v>
      </c>
      <c r="J1299" s="7">
        <v>1901.68</v>
      </c>
      <c r="K1299" s="8">
        <v>8</v>
      </c>
      <c r="L1299" s="7">
        <v>46.89</v>
      </c>
    </row>
    <row r="1300" spans="1:12" x14ac:dyDescent="0.2">
      <c r="A1300" s="2">
        <v>42459</v>
      </c>
      <c r="B1300" s="8">
        <f>YEAR(Sales_data[[#This Row],[Order Date]])</f>
        <v>2016</v>
      </c>
      <c r="C1300" s="8">
        <f>MONTH(Sales_data[[#This Row],[Order Date]])</f>
        <v>3</v>
      </c>
      <c r="D1300" s="8" t="str">
        <f>TEXT(Sales_data[[#This Row],[Order Date]],"mmm")</f>
        <v>Mar</v>
      </c>
      <c r="E1300" t="s">
        <v>17</v>
      </c>
      <c r="F1300" t="s">
        <v>30</v>
      </c>
      <c r="G1300" t="s">
        <v>34</v>
      </c>
      <c r="H1300" t="s">
        <v>39</v>
      </c>
      <c r="I1300" t="s">
        <v>48</v>
      </c>
      <c r="J1300" s="7">
        <v>695.68</v>
      </c>
      <c r="K1300" s="8">
        <v>2</v>
      </c>
      <c r="L1300" s="7">
        <v>-185.58</v>
      </c>
    </row>
    <row r="1301" spans="1:12" x14ac:dyDescent="0.2">
      <c r="A1301" s="2">
        <v>42459</v>
      </c>
      <c r="B1301" s="8">
        <f>YEAR(Sales_data[[#This Row],[Order Date]])</f>
        <v>2016</v>
      </c>
      <c r="C1301" s="8">
        <f>MONTH(Sales_data[[#This Row],[Order Date]])</f>
        <v>3</v>
      </c>
      <c r="D1301" s="8" t="str">
        <f>TEXT(Sales_data[[#This Row],[Order Date]],"mmm")</f>
        <v>Mar</v>
      </c>
      <c r="E1301" t="s">
        <v>17</v>
      </c>
      <c r="F1301" t="s">
        <v>22</v>
      </c>
      <c r="G1301" t="s">
        <v>34</v>
      </c>
      <c r="H1301" t="s">
        <v>38</v>
      </c>
      <c r="I1301" t="s">
        <v>52</v>
      </c>
      <c r="J1301" s="7">
        <v>1228.8499999999999</v>
      </c>
      <c r="K1301" s="8">
        <v>7</v>
      </c>
      <c r="L1301" s="7">
        <v>60.39</v>
      </c>
    </row>
    <row r="1302" spans="1:12" x14ac:dyDescent="0.2">
      <c r="A1302" s="2">
        <v>42461</v>
      </c>
      <c r="B1302" s="8">
        <f>YEAR(Sales_data[[#This Row],[Order Date]])</f>
        <v>2016</v>
      </c>
      <c r="C1302" s="8">
        <f>MONTH(Sales_data[[#This Row],[Order Date]])</f>
        <v>4</v>
      </c>
      <c r="D1302" s="8" t="str">
        <f>TEXT(Sales_data[[#This Row],[Order Date]],"mmm")</f>
        <v>Apr</v>
      </c>
      <c r="E1302" t="s">
        <v>13</v>
      </c>
      <c r="F1302" t="s">
        <v>29</v>
      </c>
      <c r="G1302" t="s">
        <v>33</v>
      </c>
      <c r="H1302" t="s">
        <v>37</v>
      </c>
      <c r="I1302" t="s">
        <v>48</v>
      </c>
      <c r="J1302" s="7">
        <v>1155.3399999999999</v>
      </c>
      <c r="K1302" s="8">
        <v>4</v>
      </c>
      <c r="L1302" s="7">
        <v>389.45</v>
      </c>
    </row>
    <row r="1303" spans="1:12" x14ac:dyDescent="0.2">
      <c r="A1303" s="2">
        <v>42461</v>
      </c>
      <c r="B1303" s="8">
        <f>YEAR(Sales_data[[#This Row],[Order Date]])</f>
        <v>2016</v>
      </c>
      <c r="C1303" s="8">
        <f>MONTH(Sales_data[[#This Row],[Order Date]])</f>
        <v>4</v>
      </c>
      <c r="D1303" s="8" t="str">
        <f>TEXT(Sales_data[[#This Row],[Order Date]],"mmm")</f>
        <v>Apr</v>
      </c>
      <c r="E1303" t="s">
        <v>21</v>
      </c>
      <c r="F1303" t="s">
        <v>28</v>
      </c>
      <c r="G1303" t="s">
        <v>34</v>
      </c>
      <c r="H1303" t="s">
        <v>41</v>
      </c>
      <c r="I1303" t="s">
        <v>48</v>
      </c>
      <c r="J1303" s="7">
        <v>350.66</v>
      </c>
      <c r="K1303" s="8">
        <v>1</v>
      </c>
      <c r="L1303" s="7">
        <v>-16.149999999999999</v>
      </c>
    </row>
    <row r="1304" spans="1:12" x14ac:dyDescent="0.2">
      <c r="A1304" s="2">
        <v>42463</v>
      </c>
      <c r="B1304" s="8">
        <f>YEAR(Sales_data[[#This Row],[Order Date]])</f>
        <v>2016</v>
      </c>
      <c r="C1304" s="8">
        <f>MONTH(Sales_data[[#This Row],[Order Date]])</f>
        <v>4</v>
      </c>
      <c r="D1304" s="8" t="str">
        <f>TEXT(Sales_data[[#This Row],[Order Date]],"mmm")</f>
        <v>Apr</v>
      </c>
      <c r="E1304" t="s">
        <v>21</v>
      </c>
      <c r="F1304" t="s">
        <v>31</v>
      </c>
      <c r="G1304" t="s">
        <v>32</v>
      </c>
      <c r="H1304" t="s">
        <v>42</v>
      </c>
      <c r="I1304" t="s">
        <v>49</v>
      </c>
      <c r="J1304" s="7">
        <v>1852.32</v>
      </c>
      <c r="K1304" s="8">
        <v>7</v>
      </c>
      <c r="L1304" s="7">
        <v>-13.28</v>
      </c>
    </row>
    <row r="1305" spans="1:12" x14ac:dyDescent="0.2">
      <c r="A1305" s="2">
        <v>42463</v>
      </c>
      <c r="B1305" s="8">
        <f>YEAR(Sales_data[[#This Row],[Order Date]])</f>
        <v>2016</v>
      </c>
      <c r="C1305" s="8">
        <f>MONTH(Sales_data[[#This Row],[Order Date]])</f>
        <v>4</v>
      </c>
      <c r="D1305" s="8" t="str">
        <f>TEXT(Sales_data[[#This Row],[Order Date]],"mmm")</f>
        <v>Apr</v>
      </c>
      <c r="E1305" t="s">
        <v>11</v>
      </c>
      <c r="F1305" t="s">
        <v>25</v>
      </c>
      <c r="G1305" t="s">
        <v>34</v>
      </c>
      <c r="H1305" t="s">
        <v>36</v>
      </c>
      <c r="I1305" t="s">
        <v>44</v>
      </c>
      <c r="J1305" s="7">
        <v>1210.6199999999999</v>
      </c>
      <c r="K1305" s="8">
        <v>4</v>
      </c>
      <c r="L1305" s="7">
        <v>363.03</v>
      </c>
    </row>
    <row r="1306" spans="1:12" x14ac:dyDescent="0.2">
      <c r="A1306" s="2">
        <v>42466</v>
      </c>
      <c r="B1306" s="8">
        <f>YEAR(Sales_data[[#This Row],[Order Date]])</f>
        <v>2016</v>
      </c>
      <c r="C1306" s="8">
        <f>MONTH(Sales_data[[#This Row],[Order Date]])</f>
        <v>4</v>
      </c>
      <c r="D1306" s="8" t="str">
        <f>TEXT(Sales_data[[#This Row],[Order Date]],"mmm")</f>
        <v>Apr</v>
      </c>
      <c r="E1306" t="s">
        <v>20</v>
      </c>
      <c r="F1306" t="s">
        <v>30</v>
      </c>
      <c r="G1306" t="s">
        <v>32</v>
      </c>
      <c r="H1306" t="s">
        <v>43</v>
      </c>
      <c r="I1306" t="s">
        <v>48</v>
      </c>
      <c r="J1306" s="7">
        <v>1394.4</v>
      </c>
      <c r="K1306" s="8">
        <v>7</v>
      </c>
      <c r="L1306" s="7">
        <v>317.5</v>
      </c>
    </row>
    <row r="1307" spans="1:12" x14ac:dyDescent="0.2">
      <c r="A1307" s="2">
        <v>42466</v>
      </c>
      <c r="B1307" s="8">
        <f>YEAR(Sales_data[[#This Row],[Order Date]])</f>
        <v>2016</v>
      </c>
      <c r="C1307" s="8">
        <f>MONTH(Sales_data[[#This Row],[Order Date]])</f>
        <v>4</v>
      </c>
      <c r="D1307" s="8" t="str">
        <f>TEXT(Sales_data[[#This Row],[Order Date]],"mmm")</f>
        <v>Apr</v>
      </c>
      <c r="E1307" t="s">
        <v>18</v>
      </c>
      <c r="F1307" t="s">
        <v>25</v>
      </c>
      <c r="G1307" t="s">
        <v>34</v>
      </c>
      <c r="H1307" t="s">
        <v>43</v>
      </c>
      <c r="I1307" t="s">
        <v>51</v>
      </c>
      <c r="J1307" s="7">
        <v>1743.83</v>
      </c>
      <c r="K1307" s="8">
        <v>1</v>
      </c>
      <c r="L1307" s="7">
        <v>217.74</v>
      </c>
    </row>
    <row r="1308" spans="1:12" x14ac:dyDescent="0.2">
      <c r="A1308" s="2">
        <v>42466</v>
      </c>
      <c r="B1308" s="8">
        <f>YEAR(Sales_data[[#This Row],[Order Date]])</f>
        <v>2016</v>
      </c>
      <c r="C1308" s="8">
        <f>MONTH(Sales_data[[#This Row],[Order Date]])</f>
        <v>4</v>
      </c>
      <c r="D1308" s="8" t="str">
        <f>TEXT(Sales_data[[#This Row],[Order Date]],"mmm")</f>
        <v>Apr</v>
      </c>
      <c r="E1308" t="s">
        <v>20</v>
      </c>
      <c r="F1308" t="s">
        <v>24</v>
      </c>
      <c r="G1308" t="s">
        <v>33</v>
      </c>
      <c r="H1308" t="s">
        <v>38</v>
      </c>
      <c r="I1308" t="s">
        <v>46</v>
      </c>
      <c r="J1308" s="7">
        <v>514.47</v>
      </c>
      <c r="K1308" s="8">
        <v>4</v>
      </c>
      <c r="L1308" s="7">
        <v>387.53</v>
      </c>
    </row>
    <row r="1309" spans="1:12" x14ac:dyDescent="0.2">
      <c r="A1309" s="2">
        <v>42468</v>
      </c>
      <c r="B1309" s="8">
        <f>YEAR(Sales_data[[#This Row],[Order Date]])</f>
        <v>2016</v>
      </c>
      <c r="C1309" s="8">
        <f>MONTH(Sales_data[[#This Row],[Order Date]])</f>
        <v>4</v>
      </c>
      <c r="D1309" s="8" t="str">
        <f>TEXT(Sales_data[[#This Row],[Order Date]],"mmm")</f>
        <v>Apr</v>
      </c>
      <c r="E1309" t="s">
        <v>14</v>
      </c>
      <c r="F1309" t="s">
        <v>23</v>
      </c>
      <c r="G1309" t="s">
        <v>34</v>
      </c>
      <c r="H1309" t="s">
        <v>37</v>
      </c>
      <c r="I1309" t="s">
        <v>50</v>
      </c>
      <c r="J1309" s="7">
        <v>876.42</v>
      </c>
      <c r="K1309" s="8">
        <v>7</v>
      </c>
      <c r="L1309" s="7">
        <v>115.13</v>
      </c>
    </row>
    <row r="1310" spans="1:12" x14ac:dyDescent="0.2">
      <c r="A1310" s="2">
        <v>42469</v>
      </c>
      <c r="B1310" s="8">
        <f>YEAR(Sales_data[[#This Row],[Order Date]])</f>
        <v>2016</v>
      </c>
      <c r="C1310" s="8">
        <f>MONTH(Sales_data[[#This Row],[Order Date]])</f>
        <v>4</v>
      </c>
      <c r="D1310" s="8" t="str">
        <f>TEXT(Sales_data[[#This Row],[Order Date]],"mmm")</f>
        <v>Apr</v>
      </c>
      <c r="E1310" t="s">
        <v>13</v>
      </c>
      <c r="F1310" t="s">
        <v>23</v>
      </c>
      <c r="G1310" t="s">
        <v>33</v>
      </c>
      <c r="H1310" t="s">
        <v>38</v>
      </c>
      <c r="I1310" t="s">
        <v>44</v>
      </c>
      <c r="J1310" s="7">
        <v>18.68</v>
      </c>
      <c r="K1310" s="8">
        <v>9</v>
      </c>
      <c r="L1310" s="7">
        <v>-95.63</v>
      </c>
    </row>
    <row r="1311" spans="1:12" x14ac:dyDescent="0.2">
      <c r="A1311" s="2">
        <v>42469</v>
      </c>
      <c r="B1311" s="8">
        <f>YEAR(Sales_data[[#This Row],[Order Date]])</f>
        <v>2016</v>
      </c>
      <c r="C1311" s="8">
        <f>MONTH(Sales_data[[#This Row],[Order Date]])</f>
        <v>4</v>
      </c>
      <c r="D1311" s="8" t="str">
        <f>TEXT(Sales_data[[#This Row],[Order Date]],"mmm")</f>
        <v>Apr</v>
      </c>
      <c r="E1311" t="s">
        <v>14</v>
      </c>
      <c r="F1311" t="s">
        <v>25</v>
      </c>
      <c r="G1311" t="s">
        <v>33</v>
      </c>
      <c r="H1311" t="s">
        <v>43</v>
      </c>
      <c r="I1311" t="s">
        <v>50</v>
      </c>
      <c r="J1311" s="7">
        <v>1169.28</v>
      </c>
      <c r="K1311" s="8">
        <v>3</v>
      </c>
      <c r="L1311" s="7">
        <v>222.31</v>
      </c>
    </row>
    <row r="1312" spans="1:12" x14ac:dyDescent="0.2">
      <c r="A1312" s="2">
        <v>42470</v>
      </c>
      <c r="B1312" s="8">
        <f>YEAR(Sales_data[[#This Row],[Order Date]])</f>
        <v>2016</v>
      </c>
      <c r="C1312" s="8">
        <f>MONTH(Sales_data[[#This Row],[Order Date]])</f>
        <v>4</v>
      </c>
      <c r="D1312" s="8" t="str">
        <f>TEXT(Sales_data[[#This Row],[Order Date]],"mmm")</f>
        <v>Apr</v>
      </c>
      <c r="E1312" t="s">
        <v>9</v>
      </c>
      <c r="F1312" t="s">
        <v>22</v>
      </c>
      <c r="G1312" t="s">
        <v>34</v>
      </c>
      <c r="H1312" t="s">
        <v>42</v>
      </c>
      <c r="I1312" t="s">
        <v>47</v>
      </c>
      <c r="J1312" s="7">
        <v>589.66999999999996</v>
      </c>
      <c r="K1312" s="8">
        <v>6</v>
      </c>
      <c r="L1312" s="7">
        <v>118.76</v>
      </c>
    </row>
    <row r="1313" spans="1:12" x14ac:dyDescent="0.2">
      <c r="A1313" s="2">
        <v>42472</v>
      </c>
      <c r="B1313" s="8">
        <f>YEAR(Sales_data[[#This Row],[Order Date]])</f>
        <v>2016</v>
      </c>
      <c r="C1313" s="8">
        <f>MONTH(Sales_data[[#This Row],[Order Date]])</f>
        <v>4</v>
      </c>
      <c r="D1313" s="8" t="str">
        <f>TEXT(Sales_data[[#This Row],[Order Date]],"mmm")</f>
        <v>Apr</v>
      </c>
      <c r="E1313" t="s">
        <v>9</v>
      </c>
      <c r="F1313" t="s">
        <v>26</v>
      </c>
      <c r="G1313" t="s">
        <v>33</v>
      </c>
      <c r="H1313" t="s">
        <v>35</v>
      </c>
      <c r="I1313" t="s">
        <v>45</v>
      </c>
      <c r="J1313" s="7">
        <v>519.95000000000005</v>
      </c>
      <c r="K1313" s="8">
        <v>3</v>
      </c>
      <c r="L1313" s="7">
        <v>364.39</v>
      </c>
    </row>
    <row r="1314" spans="1:12" x14ac:dyDescent="0.2">
      <c r="A1314" s="2">
        <v>42473</v>
      </c>
      <c r="B1314" s="8">
        <f>YEAR(Sales_data[[#This Row],[Order Date]])</f>
        <v>2016</v>
      </c>
      <c r="C1314" s="8">
        <f>MONTH(Sales_data[[#This Row],[Order Date]])</f>
        <v>4</v>
      </c>
      <c r="D1314" s="8" t="str">
        <f>TEXT(Sales_data[[#This Row],[Order Date]],"mmm")</f>
        <v>Apr</v>
      </c>
      <c r="E1314" t="s">
        <v>14</v>
      </c>
      <c r="F1314" t="s">
        <v>27</v>
      </c>
      <c r="G1314" t="s">
        <v>32</v>
      </c>
      <c r="H1314" t="s">
        <v>42</v>
      </c>
      <c r="I1314" t="s">
        <v>50</v>
      </c>
      <c r="J1314" s="7">
        <v>1813.64</v>
      </c>
      <c r="K1314" s="8">
        <v>3</v>
      </c>
      <c r="L1314" s="7">
        <v>165.03</v>
      </c>
    </row>
    <row r="1315" spans="1:12" x14ac:dyDescent="0.2">
      <c r="A1315" s="2">
        <v>42474</v>
      </c>
      <c r="B1315" s="8">
        <f>YEAR(Sales_data[[#This Row],[Order Date]])</f>
        <v>2016</v>
      </c>
      <c r="C1315" s="8">
        <f>MONTH(Sales_data[[#This Row],[Order Date]])</f>
        <v>4</v>
      </c>
      <c r="D1315" s="8" t="str">
        <f>TEXT(Sales_data[[#This Row],[Order Date]],"mmm")</f>
        <v>Apr</v>
      </c>
      <c r="E1315" t="s">
        <v>17</v>
      </c>
      <c r="F1315" t="s">
        <v>26</v>
      </c>
      <c r="G1315" t="s">
        <v>34</v>
      </c>
      <c r="H1315" t="s">
        <v>35</v>
      </c>
      <c r="I1315" t="s">
        <v>45</v>
      </c>
      <c r="J1315" s="7">
        <v>346.52</v>
      </c>
      <c r="K1315" s="8">
        <v>6</v>
      </c>
      <c r="L1315" s="7">
        <v>25.53</v>
      </c>
    </row>
    <row r="1316" spans="1:12" x14ac:dyDescent="0.2">
      <c r="A1316" s="2">
        <v>42476</v>
      </c>
      <c r="B1316" s="8">
        <f>YEAR(Sales_data[[#This Row],[Order Date]])</f>
        <v>2016</v>
      </c>
      <c r="C1316" s="8">
        <f>MONTH(Sales_data[[#This Row],[Order Date]])</f>
        <v>4</v>
      </c>
      <c r="D1316" s="8" t="str">
        <f>TEXT(Sales_data[[#This Row],[Order Date]],"mmm")</f>
        <v>Apr</v>
      </c>
      <c r="E1316" t="s">
        <v>15</v>
      </c>
      <c r="F1316" t="s">
        <v>26</v>
      </c>
      <c r="G1316" t="s">
        <v>32</v>
      </c>
      <c r="H1316" t="s">
        <v>39</v>
      </c>
      <c r="I1316" t="s">
        <v>50</v>
      </c>
      <c r="J1316" s="7">
        <v>810.29</v>
      </c>
      <c r="K1316" s="8">
        <v>3</v>
      </c>
      <c r="L1316" s="7">
        <v>-176.8</v>
      </c>
    </row>
    <row r="1317" spans="1:12" x14ac:dyDescent="0.2">
      <c r="A1317" s="2">
        <v>42476</v>
      </c>
      <c r="B1317" s="8">
        <f>YEAR(Sales_data[[#This Row],[Order Date]])</f>
        <v>2016</v>
      </c>
      <c r="C1317" s="8">
        <f>MONTH(Sales_data[[#This Row],[Order Date]])</f>
        <v>4</v>
      </c>
      <c r="D1317" s="8" t="str">
        <f>TEXT(Sales_data[[#This Row],[Order Date]],"mmm")</f>
        <v>Apr</v>
      </c>
      <c r="E1317" t="s">
        <v>16</v>
      </c>
      <c r="F1317" t="s">
        <v>25</v>
      </c>
      <c r="G1317" t="s">
        <v>32</v>
      </c>
      <c r="H1317" t="s">
        <v>43</v>
      </c>
      <c r="I1317" t="s">
        <v>51</v>
      </c>
      <c r="J1317" s="7">
        <v>556.4</v>
      </c>
      <c r="K1317" s="8">
        <v>7</v>
      </c>
      <c r="L1317" s="7">
        <v>-38.590000000000003</v>
      </c>
    </row>
    <row r="1318" spans="1:12" x14ac:dyDescent="0.2">
      <c r="A1318" s="2">
        <v>42477</v>
      </c>
      <c r="B1318" s="8">
        <f>YEAR(Sales_data[[#This Row],[Order Date]])</f>
        <v>2016</v>
      </c>
      <c r="C1318" s="8">
        <f>MONTH(Sales_data[[#This Row],[Order Date]])</f>
        <v>4</v>
      </c>
      <c r="D1318" s="8" t="str">
        <f>TEXT(Sales_data[[#This Row],[Order Date]],"mmm")</f>
        <v>Apr</v>
      </c>
      <c r="E1318" t="s">
        <v>19</v>
      </c>
      <c r="F1318" t="s">
        <v>27</v>
      </c>
      <c r="G1318" t="s">
        <v>34</v>
      </c>
      <c r="H1318" t="s">
        <v>41</v>
      </c>
      <c r="I1318" t="s">
        <v>53</v>
      </c>
      <c r="J1318" s="7">
        <v>527.82000000000005</v>
      </c>
      <c r="K1318" s="8">
        <v>1</v>
      </c>
      <c r="L1318" s="7">
        <v>-46.61</v>
      </c>
    </row>
    <row r="1319" spans="1:12" x14ac:dyDescent="0.2">
      <c r="A1319" s="2">
        <v>42477</v>
      </c>
      <c r="B1319" s="8">
        <f>YEAR(Sales_data[[#This Row],[Order Date]])</f>
        <v>2016</v>
      </c>
      <c r="C1319" s="8">
        <f>MONTH(Sales_data[[#This Row],[Order Date]])</f>
        <v>4</v>
      </c>
      <c r="D1319" s="8" t="str">
        <f>TEXT(Sales_data[[#This Row],[Order Date]],"mmm")</f>
        <v>Apr</v>
      </c>
      <c r="E1319" t="s">
        <v>18</v>
      </c>
      <c r="F1319" t="s">
        <v>29</v>
      </c>
      <c r="G1319" t="s">
        <v>33</v>
      </c>
      <c r="H1319" t="s">
        <v>41</v>
      </c>
      <c r="I1319" t="s">
        <v>46</v>
      </c>
      <c r="J1319" s="7">
        <v>1111.53</v>
      </c>
      <c r="K1319" s="8">
        <v>9</v>
      </c>
      <c r="L1319" s="7">
        <v>247.55</v>
      </c>
    </row>
    <row r="1320" spans="1:12" x14ac:dyDescent="0.2">
      <c r="A1320" s="2">
        <v>42478</v>
      </c>
      <c r="B1320" s="8">
        <f>YEAR(Sales_data[[#This Row],[Order Date]])</f>
        <v>2016</v>
      </c>
      <c r="C1320" s="8">
        <f>MONTH(Sales_data[[#This Row],[Order Date]])</f>
        <v>4</v>
      </c>
      <c r="D1320" s="8" t="str">
        <f>TEXT(Sales_data[[#This Row],[Order Date]],"mmm")</f>
        <v>Apr</v>
      </c>
      <c r="E1320" t="s">
        <v>10</v>
      </c>
      <c r="F1320" t="s">
        <v>23</v>
      </c>
      <c r="G1320" t="s">
        <v>33</v>
      </c>
      <c r="H1320" t="s">
        <v>36</v>
      </c>
      <c r="I1320" t="s">
        <v>49</v>
      </c>
      <c r="J1320" s="7">
        <v>1887.42</v>
      </c>
      <c r="K1320" s="8">
        <v>3</v>
      </c>
      <c r="L1320" s="7">
        <v>-100.52</v>
      </c>
    </row>
    <row r="1321" spans="1:12" x14ac:dyDescent="0.2">
      <c r="A1321" s="2">
        <v>42478</v>
      </c>
      <c r="B1321" s="8">
        <f>YEAR(Sales_data[[#This Row],[Order Date]])</f>
        <v>2016</v>
      </c>
      <c r="C1321" s="8">
        <f>MONTH(Sales_data[[#This Row],[Order Date]])</f>
        <v>4</v>
      </c>
      <c r="D1321" s="8" t="str">
        <f>TEXT(Sales_data[[#This Row],[Order Date]],"mmm")</f>
        <v>Apr</v>
      </c>
      <c r="E1321" t="s">
        <v>11</v>
      </c>
      <c r="F1321" t="s">
        <v>22</v>
      </c>
      <c r="G1321" t="s">
        <v>34</v>
      </c>
      <c r="H1321" t="s">
        <v>39</v>
      </c>
      <c r="I1321" t="s">
        <v>49</v>
      </c>
      <c r="J1321" s="7">
        <v>1831.8</v>
      </c>
      <c r="K1321" s="8">
        <v>2</v>
      </c>
      <c r="L1321" s="7">
        <v>241</v>
      </c>
    </row>
    <row r="1322" spans="1:12" x14ac:dyDescent="0.2">
      <c r="A1322" s="2">
        <v>42480</v>
      </c>
      <c r="B1322" s="8">
        <f>YEAR(Sales_data[[#This Row],[Order Date]])</f>
        <v>2016</v>
      </c>
      <c r="C1322" s="8">
        <f>MONTH(Sales_data[[#This Row],[Order Date]])</f>
        <v>4</v>
      </c>
      <c r="D1322" s="8" t="str">
        <f>TEXT(Sales_data[[#This Row],[Order Date]],"mmm")</f>
        <v>Apr</v>
      </c>
      <c r="E1322" t="s">
        <v>19</v>
      </c>
      <c r="F1322" t="s">
        <v>26</v>
      </c>
      <c r="G1322" t="s">
        <v>32</v>
      </c>
      <c r="H1322" t="s">
        <v>38</v>
      </c>
      <c r="I1322" t="s">
        <v>53</v>
      </c>
      <c r="J1322" s="7">
        <v>21.21</v>
      </c>
      <c r="K1322" s="8">
        <v>9</v>
      </c>
      <c r="L1322" s="7">
        <v>-36.42</v>
      </c>
    </row>
    <row r="1323" spans="1:12" x14ac:dyDescent="0.2">
      <c r="A1323" s="2">
        <v>42480</v>
      </c>
      <c r="B1323" s="8">
        <f>YEAR(Sales_data[[#This Row],[Order Date]])</f>
        <v>2016</v>
      </c>
      <c r="C1323" s="8">
        <f>MONTH(Sales_data[[#This Row],[Order Date]])</f>
        <v>4</v>
      </c>
      <c r="D1323" s="8" t="str">
        <f>TEXT(Sales_data[[#This Row],[Order Date]],"mmm")</f>
        <v>Apr</v>
      </c>
      <c r="E1323" t="s">
        <v>20</v>
      </c>
      <c r="F1323" t="s">
        <v>27</v>
      </c>
      <c r="G1323" t="s">
        <v>34</v>
      </c>
      <c r="H1323" t="s">
        <v>40</v>
      </c>
      <c r="I1323" t="s">
        <v>45</v>
      </c>
      <c r="J1323" s="7">
        <v>991.14</v>
      </c>
      <c r="K1323" s="8">
        <v>3</v>
      </c>
      <c r="L1323" s="7">
        <v>-189.32</v>
      </c>
    </row>
    <row r="1324" spans="1:12" x14ac:dyDescent="0.2">
      <c r="A1324" s="2">
        <v>42480</v>
      </c>
      <c r="B1324" s="8">
        <f>YEAR(Sales_data[[#This Row],[Order Date]])</f>
        <v>2016</v>
      </c>
      <c r="C1324" s="8">
        <f>MONTH(Sales_data[[#This Row],[Order Date]])</f>
        <v>4</v>
      </c>
      <c r="D1324" s="8" t="str">
        <f>TEXT(Sales_data[[#This Row],[Order Date]],"mmm")</f>
        <v>Apr</v>
      </c>
      <c r="E1324" t="s">
        <v>19</v>
      </c>
      <c r="F1324" t="s">
        <v>24</v>
      </c>
      <c r="G1324" t="s">
        <v>33</v>
      </c>
      <c r="H1324" t="s">
        <v>43</v>
      </c>
      <c r="I1324" t="s">
        <v>51</v>
      </c>
      <c r="J1324" s="7">
        <v>1236.06</v>
      </c>
      <c r="K1324" s="8">
        <v>1</v>
      </c>
      <c r="L1324" s="7">
        <v>175.65</v>
      </c>
    </row>
    <row r="1325" spans="1:12" x14ac:dyDescent="0.2">
      <c r="A1325" s="2">
        <v>42481</v>
      </c>
      <c r="B1325" s="8">
        <f>YEAR(Sales_data[[#This Row],[Order Date]])</f>
        <v>2016</v>
      </c>
      <c r="C1325" s="8">
        <f>MONTH(Sales_data[[#This Row],[Order Date]])</f>
        <v>4</v>
      </c>
      <c r="D1325" s="8" t="str">
        <f>TEXT(Sales_data[[#This Row],[Order Date]],"mmm")</f>
        <v>Apr</v>
      </c>
      <c r="E1325" t="s">
        <v>10</v>
      </c>
      <c r="F1325" t="s">
        <v>24</v>
      </c>
      <c r="G1325" t="s">
        <v>33</v>
      </c>
      <c r="H1325" t="s">
        <v>41</v>
      </c>
      <c r="I1325" t="s">
        <v>46</v>
      </c>
      <c r="J1325" s="7">
        <v>1495.05</v>
      </c>
      <c r="K1325" s="8">
        <v>2</v>
      </c>
      <c r="L1325" s="7">
        <v>270.83999999999997</v>
      </c>
    </row>
    <row r="1326" spans="1:12" x14ac:dyDescent="0.2">
      <c r="A1326" s="2">
        <v>42482</v>
      </c>
      <c r="B1326" s="8">
        <f>YEAR(Sales_data[[#This Row],[Order Date]])</f>
        <v>2016</v>
      </c>
      <c r="C1326" s="8">
        <f>MONTH(Sales_data[[#This Row],[Order Date]])</f>
        <v>4</v>
      </c>
      <c r="D1326" s="8" t="str">
        <f>TEXT(Sales_data[[#This Row],[Order Date]],"mmm")</f>
        <v>Apr</v>
      </c>
      <c r="E1326" t="s">
        <v>15</v>
      </c>
      <c r="F1326" t="s">
        <v>29</v>
      </c>
      <c r="G1326" t="s">
        <v>33</v>
      </c>
      <c r="H1326" t="s">
        <v>43</v>
      </c>
      <c r="I1326" t="s">
        <v>45</v>
      </c>
      <c r="J1326" s="7">
        <v>33.17</v>
      </c>
      <c r="K1326" s="8">
        <v>3</v>
      </c>
      <c r="L1326" s="7">
        <v>240.62</v>
      </c>
    </row>
    <row r="1327" spans="1:12" x14ac:dyDescent="0.2">
      <c r="A1327" s="2">
        <v>42484</v>
      </c>
      <c r="B1327" s="8">
        <f>YEAR(Sales_data[[#This Row],[Order Date]])</f>
        <v>2016</v>
      </c>
      <c r="C1327" s="8">
        <f>MONTH(Sales_data[[#This Row],[Order Date]])</f>
        <v>4</v>
      </c>
      <c r="D1327" s="8" t="str">
        <f>TEXT(Sales_data[[#This Row],[Order Date]],"mmm")</f>
        <v>Apr</v>
      </c>
      <c r="E1327" t="s">
        <v>11</v>
      </c>
      <c r="F1327" t="s">
        <v>29</v>
      </c>
      <c r="G1327" t="s">
        <v>33</v>
      </c>
      <c r="H1327" t="s">
        <v>40</v>
      </c>
      <c r="I1327" t="s">
        <v>50</v>
      </c>
      <c r="J1327" s="7">
        <v>602.01</v>
      </c>
      <c r="K1327" s="8">
        <v>3</v>
      </c>
      <c r="L1327" s="7">
        <v>379.79</v>
      </c>
    </row>
    <row r="1328" spans="1:12" x14ac:dyDescent="0.2">
      <c r="A1328" s="2">
        <v>42487</v>
      </c>
      <c r="B1328" s="8">
        <f>YEAR(Sales_data[[#This Row],[Order Date]])</f>
        <v>2016</v>
      </c>
      <c r="C1328" s="8">
        <f>MONTH(Sales_data[[#This Row],[Order Date]])</f>
        <v>4</v>
      </c>
      <c r="D1328" s="8" t="str">
        <f>TEXT(Sales_data[[#This Row],[Order Date]],"mmm")</f>
        <v>Apr</v>
      </c>
      <c r="E1328" t="s">
        <v>21</v>
      </c>
      <c r="F1328" t="s">
        <v>31</v>
      </c>
      <c r="G1328" t="s">
        <v>34</v>
      </c>
      <c r="H1328" t="s">
        <v>43</v>
      </c>
      <c r="I1328" t="s">
        <v>53</v>
      </c>
      <c r="J1328" s="7">
        <v>491.97</v>
      </c>
      <c r="K1328" s="8">
        <v>5</v>
      </c>
      <c r="L1328" s="7">
        <v>-52.09</v>
      </c>
    </row>
    <row r="1329" spans="1:12" x14ac:dyDescent="0.2">
      <c r="A1329" s="2">
        <v>42488</v>
      </c>
      <c r="B1329" s="8">
        <f>YEAR(Sales_data[[#This Row],[Order Date]])</f>
        <v>2016</v>
      </c>
      <c r="C1329" s="8">
        <f>MONTH(Sales_data[[#This Row],[Order Date]])</f>
        <v>4</v>
      </c>
      <c r="D1329" s="8" t="str">
        <f>TEXT(Sales_data[[#This Row],[Order Date]],"mmm")</f>
        <v>Apr</v>
      </c>
      <c r="E1329" t="s">
        <v>21</v>
      </c>
      <c r="F1329" t="s">
        <v>30</v>
      </c>
      <c r="G1329" t="s">
        <v>33</v>
      </c>
      <c r="H1329" t="s">
        <v>40</v>
      </c>
      <c r="I1329" t="s">
        <v>51</v>
      </c>
      <c r="J1329" s="7">
        <v>10.11</v>
      </c>
      <c r="K1329" s="8">
        <v>3</v>
      </c>
      <c r="L1329" s="7">
        <v>162.01</v>
      </c>
    </row>
    <row r="1330" spans="1:12" x14ac:dyDescent="0.2">
      <c r="A1330" s="2">
        <v>42488</v>
      </c>
      <c r="B1330" s="8">
        <f>YEAR(Sales_data[[#This Row],[Order Date]])</f>
        <v>2016</v>
      </c>
      <c r="C1330" s="8">
        <f>MONTH(Sales_data[[#This Row],[Order Date]])</f>
        <v>4</v>
      </c>
      <c r="D1330" s="8" t="str">
        <f>TEXT(Sales_data[[#This Row],[Order Date]],"mmm")</f>
        <v>Apr</v>
      </c>
      <c r="E1330" t="s">
        <v>16</v>
      </c>
      <c r="F1330" t="s">
        <v>26</v>
      </c>
      <c r="G1330" t="s">
        <v>33</v>
      </c>
      <c r="H1330" t="s">
        <v>42</v>
      </c>
      <c r="I1330" t="s">
        <v>51</v>
      </c>
      <c r="J1330" s="7">
        <v>33.619999999999997</v>
      </c>
      <c r="K1330" s="8">
        <v>8</v>
      </c>
      <c r="L1330" s="7">
        <v>372.8</v>
      </c>
    </row>
    <row r="1331" spans="1:12" x14ac:dyDescent="0.2">
      <c r="A1331" s="2">
        <v>42489</v>
      </c>
      <c r="B1331" s="8">
        <f>YEAR(Sales_data[[#This Row],[Order Date]])</f>
        <v>2016</v>
      </c>
      <c r="C1331" s="8">
        <f>MONTH(Sales_data[[#This Row],[Order Date]])</f>
        <v>4</v>
      </c>
      <c r="D1331" s="8" t="str">
        <f>TEXT(Sales_data[[#This Row],[Order Date]],"mmm")</f>
        <v>Apr</v>
      </c>
      <c r="E1331" t="s">
        <v>21</v>
      </c>
      <c r="F1331" t="s">
        <v>30</v>
      </c>
      <c r="G1331" t="s">
        <v>33</v>
      </c>
      <c r="H1331" t="s">
        <v>38</v>
      </c>
      <c r="I1331" t="s">
        <v>49</v>
      </c>
      <c r="J1331" s="7">
        <v>1069.3</v>
      </c>
      <c r="K1331" s="8">
        <v>4</v>
      </c>
      <c r="L1331" s="7">
        <v>51.16</v>
      </c>
    </row>
    <row r="1332" spans="1:12" x14ac:dyDescent="0.2">
      <c r="A1332" s="2">
        <v>42490</v>
      </c>
      <c r="B1332" s="8">
        <f>YEAR(Sales_data[[#This Row],[Order Date]])</f>
        <v>2016</v>
      </c>
      <c r="C1332" s="8">
        <f>MONTH(Sales_data[[#This Row],[Order Date]])</f>
        <v>4</v>
      </c>
      <c r="D1332" s="8" t="str">
        <f>TEXT(Sales_data[[#This Row],[Order Date]],"mmm")</f>
        <v>Apr</v>
      </c>
      <c r="E1332" t="s">
        <v>19</v>
      </c>
      <c r="F1332" t="s">
        <v>27</v>
      </c>
      <c r="G1332" t="s">
        <v>32</v>
      </c>
      <c r="H1332" t="s">
        <v>38</v>
      </c>
      <c r="I1332" t="s">
        <v>47</v>
      </c>
      <c r="J1332" s="7">
        <v>144.91</v>
      </c>
      <c r="K1332" s="8">
        <v>7</v>
      </c>
      <c r="L1332" s="7">
        <v>-72.7</v>
      </c>
    </row>
    <row r="1333" spans="1:12" x14ac:dyDescent="0.2">
      <c r="A1333" s="2">
        <v>42490</v>
      </c>
      <c r="B1333" s="8">
        <f>YEAR(Sales_data[[#This Row],[Order Date]])</f>
        <v>2016</v>
      </c>
      <c r="C1333" s="8">
        <f>MONTH(Sales_data[[#This Row],[Order Date]])</f>
        <v>4</v>
      </c>
      <c r="D1333" s="8" t="str">
        <f>TEXT(Sales_data[[#This Row],[Order Date]],"mmm")</f>
        <v>Apr</v>
      </c>
      <c r="E1333" t="s">
        <v>19</v>
      </c>
      <c r="F1333" t="s">
        <v>24</v>
      </c>
      <c r="G1333" t="s">
        <v>34</v>
      </c>
      <c r="H1333" t="s">
        <v>38</v>
      </c>
      <c r="I1333" t="s">
        <v>49</v>
      </c>
      <c r="J1333" s="7">
        <v>1586.09</v>
      </c>
      <c r="K1333" s="8">
        <v>8</v>
      </c>
      <c r="L1333" s="7">
        <v>-116.18</v>
      </c>
    </row>
    <row r="1334" spans="1:12" x14ac:dyDescent="0.2">
      <c r="A1334" s="2">
        <v>42490</v>
      </c>
      <c r="B1334" s="8">
        <f>YEAR(Sales_data[[#This Row],[Order Date]])</f>
        <v>2016</v>
      </c>
      <c r="C1334" s="8">
        <f>MONTH(Sales_data[[#This Row],[Order Date]])</f>
        <v>4</v>
      </c>
      <c r="D1334" s="8" t="str">
        <f>TEXT(Sales_data[[#This Row],[Order Date]],"mmm")</f>
        <v>Apr</v>
      </c>
      <c r="E1334" t="s">
        <v>13</v>
      </c>
      <c r="F1334" t="s">
        <v>24</v>
      </c>
      <c r="G1334" t="s">
        <v>32</v>
      </c>
      <c r="H1334" t="s">
        <v>38</v>
      </c>
      <c r="I1334" t="s">
        <v>52</v>
      </c>
      <c r="J1334" s="7">
        <v>1505.03</v>
      </c>
      <c r="K1334" s="8">
        <v>4</v>
      </c>
      <c r="L1334" s="7">
        <v>383.09</v>
      </c>
    </row>
    <row r="1335" spans="1:12" x14ac:dyDescent="0.2">
      <c r="A1335" s="2">
        <v>42492</v>
      </c>
      <c r="B1335" s="8">
        <f>YEAR(Sales_data[[#This Row],[Order Date]])</f>
        <v>2016</v>
      </c>
      <c r="C1335" s="8">
        <f>MONTH(Sales_data[[#This Row],[Order Date]])</f>
        <v>5</v>
      </c>
      <c r="D1335" s="8" t="str">
        <f>TEXT(Sales_data[[#This Row],[Order Date]],"mmm")</f>
        <v>May</v>
      </c>
      <c r="E1335" t="s">
        <v>12</v>
      </c>
      <c r="F1335" t="s">
        <v>31</v>
      </c>
      <c r="G1335" t="s">
        <v>32</v>
      </c>
      <c r="H1335" t="s">
        <v>42</v>
      </c>
      <c r="I1335" t="s">
        <v>53</v>
      </c>
      <c r="J1335" s="7">
        <v>979.16</v>
      </c>
      <c r="K1335" s="8">
        <v>3</v>
      </c>
      <c r="L1335" s="7">
        <v>-33.43</v>
      </c>
    </row>
    <row r="1336" spans="1:12" x14ac:dyDescent="0.2">
      <c r="A1336" s="2">
        <v>42493</v>
      </c>
      <c r="B1336" s="8">
        <f>YEAR(Sales_data[[#This Row],[Order Date]])</f>
        <v>2016</v>
      </c>
      <c r="C1336" s="8">
        <f>MONTH(Sales_data[[#This Row],[Order Date]])</f>
        <v>5</v>
      </c>
      <c r="D1336" s="8" t="str">
        <f>TEXT(Sales_data[[#This Row],[Order Date]],"mmm")</f>
        <v>May</v>
      </c>
      <c r="E1336" t="s">
        <v>13</v>
      </c>
      <c r="F1336" t="s">
        <v>22</v>
      </c>
      <c r="G1336" t="s">
        <v>34</v>
      </c>
      <c r="H1336" t="s">
        <v>38</v>
      </c>
      <c r="I1336" t="s">
        <v>51</v>
      </c>
      <c r="J1336" s="7">
        <v>1015.01</v>
      </c>
      <c r="K1336" s="8">
        <v>9</v>
      </c>
      <c r="L1336" s="7">
        <v>-139.76</v>
      </c>
    </row>
    <row r="1337" spans="1:12" x14ac:dyDescent="0.2">
      <c r="A1337" s="2">
        <v>42493</v>
      </c>
      <c r="B1337" s="8">
        <f>YEAR(Sales_data[[#This Row],[Order Date]])</f>
        <v>2016</v>
      </c>
      <c r="C1337" s="8">
        <f>MONTH(Sales_data[[#This Row],[Order Date]])</f>
        <v>5</v>
      </c>
      <c r="D1337" s="8" t="str">
        <f>TEXT(Sales_data[[#This Row],[Order Date]],"mmm")</f>
        <v>May</v>
      </c>
      <c r="E1337" t="s">
        <v>10</v>
      </c>
      <c r="F1337" t="s">
        <v>31</v>
      </c>
      <c r="G1337" t="s">
        <v>34</v>
      </c>
      <c r="H1337" t="s">
        <v>42</v>
      </c>
      <c r="I1337" t="s">
        <v>52</v>
      </c>
      <c r="J1337" s="7">
        <v>538.09</v>
      </c>
      <c r="K1337" s="8">
        <v>8</v>
      </c>
      <c r="L1337" s="7">
        <v>358.08</v>
      </c>
    </row>
    <row r="1338" spans="1:12" x14ac:dyDescent="0.2">
      <c r="A1338" s="2">
        <v>42493</v>
      </c>
      <c r="B1338" s="8">
        <f>YEAR(Sales_data[[#This Row],[Order Date]])</f>
        <v>2016</v>
      </c>
      <c r="C1338" s="8">
        <f>MONTH(Sales_data[[#This Row],[Order Date]])</f>
        <v>5</v>
      </c>
      <c r="D1338" s="8" t="str">
        <f>TEXT(Sales_data[[#This Row],[Order Date]],"mmm")</f>
        <v>May</v>
      </c>
      <c r="E1338" t="s">
        <v>18</v>
      </c>
      <c r="F1338" t="s">
        <v>28</v>
      </c>
      <c r="G1338" t="s">
        <v>34</v>
      </c>
      <c r="H1338" t="s">
        <v>42</v>
      </c>
      <c r="I1338" t="s">
        <v>49</v>
      </c>
      <c r="J1338" s="7">
        <v>1379.05</v>
      </c>
      <c r="K1338" s="8">
        <v>6</v>
      </c>
      <c r="L1338" s="7">
        <v>212.37</v>
      </c>
    </row>
    <row r="1339" spans="1:12" x14ac:dyDescent="0.2">
      <c r="A1339" s="2">
        <v>42493</v>
      </c>
      <c r="B1339" s="8">
        <f>YEAR(Sales_data[[#This Row],[Order Date]])</f>
        <v>2016</v>
      </c>
      <c r="C1339" s="8">
        <f>MONTH(Sales_data[[#This Row],[Order Date]])</f>
        <v>5</v>
      </c>
      <c r="D1339" s="8" t="str">
        <f>TEXT(Sales_data[[#This Row],[Order Date]],"mmm")</f>
        <v>May</v>
      </c>
      <c r="E1339" t="s">
        <v>10</v>
      </c>
      <c r="F1339" t="s">
        <v>23</v>
      </c>
      <c r="G1339" t="s">
        <v>32</v>
      </c>
      <c r="H1339" t="s">
        <v>37</v>
      </c>
      <c r="I1339" t="s">
        <v>44</v>
      </c>
      <c r="J1339" s="7">
        <v>37.82</v>
      </c>
      <c r="K1339" s="8">
        <v>2</v>
      </c>
      <c r="L1339" s="7">
        <v>59.65</v>
      </c>
    </row>
    <row r="1340" spans="1:12" x14ac:dyDescent="0.2">
      <c r="A1340" s="2">
        <v>42494</v>
      </c>
      <c r="B1340" s="8">
        <f>YEAR(Sales_data[[#This Row],[Order Date]])</f>
        <v>2016</v>
      </c>
      <c r="C1340" s="8">
        <f>MONTH(Sales_data[[#This Row],[Order Date]])</f>
        <v>5</v>
      </c>
      <c r="D1340" s="8" t="str">
        <f>TEXT(Sales_data[[#This Row],[Order Date]],"mmm")</f>
        <v>May</v>
      </c>
      <c r="E1340" t="s">
        <v>16</v>
      </c>
      <c r="F1340" t="s">
        <v>25</v>
      </c>
      <c r="G1340" t="s">
        <v>33</v>
      </c>
      <c r="H1340" t="s">
        <v>35</v>
      </c>
      <c r="I1340" t="s">
        <v>47</v>
      </c>
      <c r="J1340" s="7">
        <v>1818.75</v>
      </c>
      <c r="K1340" s="8">
        <v>3</v>
      </c>
      <c r="L1340" s="7">
        <v>-122.55</v>
      </c>
    </row>
    <row r="1341" spans="1:12" x14ac:dyDescent="0.2">
      <c r="A1341" s="2">
        <v>42494</v>
      </c>
      <c r="B1341" s="8">
        <f>YEAR(Sales_data[[#This Row],[Order Date]])</f>
        <v>2016</v>
      </c>
      <c r="C1341" s="8">
        <f>MONTH(Sales_data[[#This Row],[Order Date]])</f>
        <v>5</v>
      </c>
      <c r="D1341" s="8" t="str">
        <f>TEXT(Sales_data[[#This Row],[Order Date]],"mmm")</f>
        <v>May</v>
      </c>
      <c r="E1341" t="s">
        <v>21</v>
      </c>
      <c r="F1341" t="s">
        <v>27</v>
      </c>
      <c r="G1341" t="s">
        <v>32</v>
      </c>
      <c r="H1341" t="s">
        <v>40</v>
      </c>
      <c r="I1341" t="s">
        <v>51</v>
      </c>
      <c r="J1341" s="7">
        <v>411.29</v>
      </c>
      <c r="K1341" s="8">
        <v>2</v>
      </c>
      <c r="L1341" s="7">
        <v>140.13999999999999</v>
      </c>
    </row>
    <row r="1342" spans="1:12" x14ac:dyDescent="0.2">
      <c r="A1342" s="2">
        <v>42498</v>
      </c>
      <c r="B1342" s="8">
        <f>YEAR(Sales_data[[#This Row],[Order Date]])</f>
        <v>2016</v>
      </c>
      <c r="C1342" s="8">
        <f>MONTH(Sales_data[[#This Row],[Order Date]])</f>
        <v>5</v>
      </c>
      <c r="D1342" s="8" t="str">
        <f>TEXT(Sales_data[[#This Row],[Order Date]],"mmm")</f>
        <v>May</v>
      </c>
      <c r="E1342" t="s">
        <v>18</v>
      </c>
      <c r="F1342" t="s">
        <v>26</v>
      </c>
      <c r="G1342" t="s">
        <v>32</v>
      </c>
      <c r="H1342" t="s">
        <v>43</v>
      </c>
      <c r="I1342" t="s">
        <v>50</v>
      </c>
      <c r="J1342" s="7">
        <v>876.52</v>
      </c>
      <c r="K1342" s="8">
        <v>1</v>
      </c>
      <c r="L1342" s="7">
        <v>302.58</v>
      </c>
    </row>
    <row r="1343" spans="1:12" x14ac:dyDescent="0.2">
      <c r="A1343" s="2">
        <v>42499</v>
      </c>
      <c r="B1343" s="8">
        <f>YEAR(Sales_data[[#This Row],[Order Date]])</f>
        <v>2016</v>
      </c>
      <c r="C1343" s="8">
        <f>MONTH(Sales_data[[#This Row],[Order Date]])</f>
        <v>5</v>
      </c>
      <c r="D1343" s="8" t="str">
        <f>TEXT(Sales_data[[#This Row],[Order Date]],"mmm")</f>
        <v>May</v>
      </c>
      <c r="E1343" t="s">
        <v>21</v>
      </c>
      <c r="F1343" t="s">
        <v>25</v>
      </c>
      <c r="G1343" t="s">
        <v>33</v>
      </c>
      <c r="H1343" t="s">
        <v>42</v>
      </c>
      <c r="I1343" t="s">
        <v>49</v>
      </c>
      <c r="J1343" s="7">
        <v>1443.66</v>
      </c>
      <c r="K1343" s="8">
        <v>9</v>
      </c>
      <c r="L1343" s="7">
        <v>-196.62</v>
      </c>
    </row>
    <row r="1344" spans="1:12" x14ac:dyDescent="0.2">
      <c r="A1344" s="2">
        <v>42499</v>
      </c>
      <c r="B1344" s="8">
        <f>YEAR(Sales_data[[#This Row],[Order Date]])</f>
        <v>2016</v>
      </c>
      <c r="C1344" s="8">
        <f>MONTH(Sales_data[[#This Row],[Order Date]])</f>
        <v>5</v>
      </c>
      <c r="D1344" s="8" t="str">
        <f>TEXT(Sales_data[[#This Row],[Order Date]],"mmm")</f>
        <v>May</v>
      </c>
      <c r="E1344" t="s">
        <v>17</v>
      </c>
      <c r="F1344" t="s">
        <v>30</v>
      </c>
      <c r="G1344" t="s">
        <v>32</v>
      </c>
      <c r="H1344" t="s">
        <v>42</v>
      </c>
      <c r="I1344" t="s">
        <v>46</v>
      </c>
      <c r="J1344" s="7">
        <v>555.78</v>
      </c>
      <c r="K1344" s="8">
        <v>3</v>
      </c>
      <c r="L1344" s="7">
        <v>285.92</v>
      </c>
    </row>
    <row r="1345" spans="1:12" x14ac:dyDescent="0.2">
      <c r="A1345" s="2">
        <v>42499</v>
      </c>
      <c r="B1345" s="8">
        <f>YEAR(Sales_data[[#This Row],[Order Date]])</f>
        <v>2016</v>
      </c>
      <c r="C1345" s="8">
        <f>MONTH(Sales_data[[#This Row],[Order Date]])</f>
        <v>5</v>
      </c>
      <c r="D1345" s="8" t="str">
        <f>TEXT(Sales_data[[#This Row],[Order Date]],"mmm")</f>
        <v>May</v>
      </c>
      <c r="E1345" t="s">
        <v>16</v>
      </c>
      <c r="F1345" t="s">
        <v>25</v>
      </c>
      <c r="G1345" t="s">
        <v>33</v>
      </c>
      <c r="H1345" t="s">
        <v>39</v>
      </c>
      <c r="I1345" t="s">
        <v>45</v>
      </c>
      <c r="J1345" s="7">
        <v>1391.04</v>
      </c>
      <c r="K1345" s="8">
        <v>6</v>
      </c>
      <c r="L1345" s="7">
        <v>115.16</v>
      </c>
    </row>
    <row r="1346" spans="1:12" x14ac:dyDescent="0.2">
      <c r="A1346" s="2">
        <v>42502</v>
      </c>
      <c r="B1346" s="8">
        <f>YEAR(Sales_data[[#This Row],[Order Date]])</f>
        <v>2016</v>
      </c>
      <c r="C1346" s="8">
        <f>MONTH(Sales_data[[#This Row],[Order Date]])</f>
        <v>5</v>
      </c>
      <c r="D1346" s="8" t="str">
        <f>TEXT(Sales_data[[#This Row],[Order Date]],"mmm")</f>
        <v>May</v>
      </c>
      <c r="E1346" t="s">
        <v>15</v>
      </c>
      <c r="F1346" t="s">
        <v>23</v>
      </c>
      <c r="G1346" t="s">
        <v>33</v>
      </c>
      <c r="H1346" t="s">
        <v>40</v>
      </c>
      <c r="I1346" t="s">
        <v>52</v>
      </c>
      <c r="J1346" s="7">
        <v>841.76</v>
      </c>
      <c r="K1346" s="8">
        <v>7</v>
      </c>
      <c r="L1346" s="7">
        <v>20.239999999999998</v>
      </c>
    </row>
    <row r="1347" spans="1:12" x14ac:dyDescent="0.2">
      <c r="A1347" s="2">
        <v>42505</v>
      </c>
      <c r="B1347" s="8">
        <f>YEAR(Sales_data[[#This Row],[Order Date]])</f>
        <v>2016</v>
      </c>
      <c r="C1347" s="8">
        <f>MONTH(Sales_data[[#This Row],[Order Date]])</f>
        <v>5</v>
      </c>
      <c r="D1347" s="8" t="str">
        <f>TEXT(Sales_data[[#This Row],[Order Date]],"mmm")</f>
        <v>May</v>
      </c>
      <c r="E1347" t="s">
        <v>20</v>
      </c>
      <c r="F1347" t="s">
        <v>30</v>
      </c>
      <c r="G1347" t="s">
        <v>33</v>
      </c>
      <c r="H1347" t="s">
        <v>43</v>
      </c>
      <c r="I1347" t="s">
        <v>51</v>
      </c>
      <c r="J1347" s="7">
        <v>1021.54</v>
      </c>
      <c r="K1347" s="8">
        <v>6</v>
      </c>
      <c r="L1347" s="7">
        <v>26.22</v>
      </c>
    </row>
    <row r="1348" spans="1:12" x14ac:dyDescent="0.2">
      <c r="A1348" s="2">
        <v>42507</v>
      </c>
      <c r="B1348" s="8">
        <f>YEAR(Sales_data[[#This Row],[Order Date]])</f>
        <v>2016</v>
      </c>
      <c r="C1348" s="8">
        <f>MONTH(Sales_data[[#This Row],[Order Date]])</f>
        <v>5</v>
      </c>
      <c r="D1348" s="8" t="str">
        <f>TEXT(Sales_data[[#This Row],[Order Date]],"mmm")</f>
        <v>May</v>
      </c>
      <c r="E1348" t="s">
        <v>10</v>
      </c>
      <c r="F1348" t="s">
        <v>29</v>
      </c>
      <c r="G1348" t="s">
        <v>34</v>
      </c>
      <c r="H1348" t="s">
        <v>43</v>
      </c>
      <c r="I1348" t="s">
        <v>47</v>
      </c>
      <c r="J1348" s="7">
        <v>833.99</v>
      </c>
      <c r="K1348" s="8">
        <v>6</v>
      </c>
      <c r="L1348" s="7">
        <v>-93.08</v>
      </c>
    </row>
    <row r="1349" spans="1:12" x14ac:dyDescent="0.2">
      <c r="A1349" s="2">
        <v>42508</v>
      </c>
      <c r="B1349" s="8">
        <f>YEAR(Sales_data[[#This Row],[Order Date]])</f>
        <v>2016</v>
      </c>
      <c r="C1349" s="8">
        <f>MONTH(Sales_data[[#This Row],[Order Date]])</f>
        <v>5</v>
      </c>
      <c r="D1349" s="8" t="str">
        <f>TEXT(Sales_data[[#This Row],[Order Date]],"mmm")</f>
        <v>May</v>
      </c>
      <c r="E1349" t="s">
        <v>10</v>
      </c>
      <c r="F1349" t="s">
        <v>31</v>
      </c>
      <c r="G1349" t="s">
        <v>33</v>
      </c>
      <c r="H1349" t="s">
        <v>42</v>
      </c>
      <c r="I1349" t="s">
        <v>51</v>
      </c>
      <c r="J1349" s="7">
        <v>450.34</v>
      </c>
      <c r="K1349" s="8">
        <v>5</v>
      </c>
      <c r="L1349" s="7">
        <v>46.91</v>
      </c>
    </row>
    <row r="1350" spans="1:12" x14ac:dyDescent="0.2">
      <c r="A1350" s="2">
        <v>42508</v>
      </c>
      <c r="B1350" s="8">
        <f>YEAR(Sales_data[[#This Row],[Order Date]])</f>
        <v>2016</v>
      </c>
      <c r="C1350" s="8">
        <f>MONTH(Sales_data[[#This Row],[Order Date]])</f>
        <v>5</v>
      </c>
      <c r="D1350" s="8" t="str">
        <f>TEXT(Sales_data[[#This Row],[Order Date]],"mmm")</f>
        <v>May</v>
      </c>
      <c r="E1350" t="s">
        <v>11</v>
      </c>
      <c r="F1350" t="s">
        <v>30</v>
      </c>
      <c r="G1350" t="s">
        <v>32</v>
      </c>
      <c r="H1350" t="s">
        <v>37</v>
      </c>
      <c r="I1350" t="s">
        <v>51</v>
      </c>
      <c r="J1350" s="7">
        <v>1778.5</v>
      </c>
      <c r="K1350" s="8">
        <v>8</v>
      </c>
      <c r="L1350" s="7">
        <v>-170.56</v>
      </c>
    </row>
    <row r="1351" spans="1:12" x14ac:dyDescent="0.2">
      <c r="A1351" s="2">
        <v>42510</v>
      </c>
      <c r="B1351" s="8">
        <f>YEAR(Sales_data[[#This Row],[Order Date]])</f>
        <v>2016</v>
      </c>
      <c r="C1351" s="8">
        <f>MONTH(Sales_data[[#This Row],[Order Date]])</f>
        <v>5</v>
      </c>
      <c r="D1351" s="8" t="str">
        <f>TEXT(Sales_data[[#This Row],[Order Date]],"mmm")</f>
        <v>May</v>
      </c>
      <c r="E1351" t="s">
        <v>12</v>
      </c>
      <c r="F1351" t="s">
        <v>31</v>
      </c>
      <c r="G1351" t="s">
        <v>33</v>
      </c>
      <c r="H1351" t="s">
        <v>38</v>
      </c>
      <c r="I1351" t="s">
        <v>51</v>
      </c>
      <c r="J1351" s="7">
        <v>1781.14</v>
      </c>
      <c r="K1351" s="8">
        <v>4</v>
      </c>
      <c r="L1351" s="7">
        <v>-165.55</v>
      </c>
    </row>
    <row r="1352" spans="1:12" x14ac:dyDescent="0.2">
      <c r="A1352" s="2">
        <v>42511</v>
      </c>
      <c r="B1352" s="8">
        <f>YEAR(Sales_data[[#This Row],[Order Date]])</f>
        <v>2016</v>
      </c>
      <c r="C1352" s="8">
        <f>MONTH(Sales_data[[#This Row],[Order Date]])</f>
        <v>5</v>
      </c>
      <c r="D1352" s="8" t="str">
        <f>TEXT(Sales_data[[#This Row],[Order Date]],"mmm")</f>
        <v>May</v>
      </c>
      <c r="E1352" t="s">
        <v>18</v>
      </c>
      <c r="F1352" t="s">
        <v>26</v>
      </c>
      <c r="G1352" t="s">
        <v>34</v>
      </c>
      <c r="H1352" t="s">
        <v>41</v>
      </c>
      <c r="I1352" t="s">
        <v>53</v>
      </c>
      <c r="J1352" s="7">
        <v>1898.65</v>
      </c>
      <c r="K1352" s="8">
        <v>1</v>
      </c>
      <c r="L1352" s="7">
        <v>294.29000000000002</v>
      </c>
    </row>
    <row r="1353" spans="1:12" x14ac:dyDescent="0.2">
      <c r="A1353" s="2">
        <v>42513</v>
      </c>
      <c r="B1353" s="8">
        <f>YEAR(Sales_data[[#This Row],[Order Date]])</f>
        <v>2016</v>
      </c>
      <c r="C1353" s="8">
        <f>MONTH(Sales_data[[#This Row],[Order Date]])</f>
        <v>5</v>
      </c>
      <c r="D1353" s="8" t="str">
        <f>TEXT(Sales_data[[#This Row],[Order Date]],"mmm")</f>
        <v>May</v>
      </c>
      <c r="E1353" t="s">
        <v>11</v>
      </c>
      <c r="F1353" t="s">
        <v>25</v>
      </c>
      <c r="G1353" t="s">
        <v>33</v>
      </c>
      <c r="H1353" t="s">
        <v>36</v>
      </c>
      <c r="I1353" t="s">
        <v>47</v>
      </c>
      <c r="J1353" s="7">
        <v>1319.98</v>
      </c>
      <c r="K1353" s="8">
        <v>2</v>
      </c>
      <c r="L1353" s="7">
        <v>274.72000000000003</v>
      </c>
    </row>
    <row r="1354" spans="1:12" x14ac:dyDescent="0.2">
      <c r="A1354" s="2">
        <v>42513</v>
      </c>
      <c r="B1354" s="8">
        <f>YEAR(Sales_data[[#This Row],[Order Date]])</f>
        <v>2016</v>
      </c>
      <c r="C1354" s="8">
        <f>MONTH(Sales_data[[#This Row],[Order Date]])</f>
        <v>5</v>
      </c>
      <c r="D1354" s="8" t="str">
        <f>TEXT(Sales_data[[#This Row],[Order Date]],"mmm")</f>
        <v>May</v>
      </c>
      <c r="E1354" t="s">
        <v>10</v>
      </c>
      <c r="F1354" t="s">
        <v>31</v>
      </c>
      <c r="G1354" t="s">
        <v>32</v>
      </c>
      <c r="H1354" t="s">
        <v>43</v>
      </c>
      <c r="I1354" t="s">
        <v>49</v>
      </c>
      <c r="J1354" s="7">
        <v>217.92</v>
      </c>
      <c r="K1354" s="8">
        <v>8</v>
      </c>
      <c r="L1354" s="7">
        <v>100.52</v>
      </c>
    </row>
    <row r="1355" spans="1:12" x14ac:dyDescent="0.2">
      <c r="A1355" s="2">
        <v>42514</v>
      </c>
      <c r="B1355" s="8">
        <f>YEAR(Sales_data[[#This Row],[Order Date]])</f>
        <v>2016</v>
      </c>
      <c r="C1355" s="8">
        <f>MONTH(Sales_data[[#This Row],[Order Date]])</f>
        <v>5</v>
      </c>
      <c r="D1355" s="8" t="str">
        <f>TEXT(Sales_data[[#This Row],[Order Date]],"mmm")</f>
        <v>May</v>
      </c>
      <c r="E1355" t="s">
        <v>20</v>
      </c>
      <c r="F1355" t="s">
        <v>24</v>
      </c>
      <c r="G1355" t="s">
        <v>33</v>
      </c>
      <c r="H1355" t="s">
        <v>38</v>
      </c>
      <c r="I1355" t="s">
        <v>45</v>
      </c>
      <c r="J1355" s="7">
        <v>1571.92</v>
      </c>
      <c r="K1355" s="8">
        <v>4</v>
      </c>
      <c r="L1355" s="7">
        <v>-10.31</v>
      </c>
    </row>
    <row r="1356" spans="1:12" x14ac:dyDescent="0.2">
      <c r="A1356" s="2">
        <v>42515</v>
      </c>
      <c r="B1356" s="8">
        <f>YEAR(Sales_data[[#This Row],[Order Date]])</f>
        <v>2016</v>
      </c>
      <c r="C1356" s="8">
        <f>MONTH(Sales_data[[#This Row],[Order Date]])</f>
        <v>5</v>
      </c>
      <c r="D1356" s="8" t="str">
        <f>TEXT(Sales_data[[#This Row],[Order Date]],"mmm")</f>
        <v>May</v>
      </c>
      <c r="E1356" t="s">
        <v>13</v>
      </c>
      <c r="F1356" t="s">
        <v>29</v>
      </c>
      <c r="G1356" t="s">
        <v>34</v>
      </c>
      <c r="H1356" t="s">
        <v>35</v>
      </c>
      <c r="I1356" t="s">
        <v>50</v>
      </c>
      <c r="J1356" s="7">
        <v>1878.11</v>
      </c>
      <c r="K1356" s="8">
        <v>8</v>
      </c>
      <c r="L1356" s="7">
        <v>1.42</v>
      </c>
    </row>
    <row r="1357" spans="1:12" x14ac:dyDescent="0.2">
      <c r="A1357" s="2">
        <v>42515</v>
      </c>
      <c r="B1357" s="8">
        <f>YEAR(Sales_data[[#This Row],[Order Date]])</f>
        <v>2016</v>
      </c>
      <c r="C1357" s="8">
        <f>MONTH(Sales_data[[#This Row],[Order Date]])</f>
        <v>5</v>
      </c>
      <c r="D1357" s="8" t="str">
        <f>TEXT(Sales_data[[#This Row],[Order Date]],"mmm")</f>
        <v>May</v>
      </c>
      <c r="E1357" t="s">
        <v>19</v>
      </c>
      <c r="F1357" t="s">
        <v>31</v>
      </c>
      <c r="G1357" t="s">
        <v>33</v>
      </c>
      <c r="H1357" t="s">
        <v>40</v>
      </c>
      <c r="I1357" t="s">
        <v>50</v>
      </c>
      <c r="J1357" s="7">
        <v>581.42999999999995</v>
      </c>
      <c r="K1357" s="8">
        <v>1</v>
      </c>
      <c r="L1357" s="7">
        <v>125.44</v>
      </c>
    </row>
    <row r="1358" spans="1:12" x14ac:dyDescent="0.2">
      <c r="A1358" s="2">
        <v>42516</v>
      </c>
      <c r="B1358" s="8">
        <f>YEAR(Sales_data[[#This Row],[Order Date]])</f>
        <v>2016</v>
      </c>
      <c r="C1358" s="8">
        <f>MONTH(Sales_data[[#This Row],[Order Date]])</f>
        <v>5</v>
      </c>
      <c r="D1358" s="8" t="str">
        <f>TEXT(Sales_data[[#This Row],[Order Date]],"mmm")</f>
        <v>May</v>
      </c>
      <c r="E1358" t="s">
        <v>10</v>
      </c>
      <c r="F1358" t="s">
        <v>26</v>
      </c>
      <c r="G1358" t="s">
        <v>34</v>
      </c>
      <c r="H1358" t="s">
        <v>38</v>
      </c>
      <c r="I1358" t="s">
        <v>52</v>
      </c>
      <c r="J1358" s="7">
        <v>1317.82</v>
      </c>
      <c r="K1358" s="8">
        <v>3</v>
      </c>
      <c r="L1358" s="7">
        <v>-108.8</v>
      </c>
    </row>
    <row r="1359" spans="1:12" x14ac:dyDescent="0.2">
      <c r="A1359" s="2">
        <v>42518</v>
      </c>
      <c r="B1359" s="8">
        <f>YEAR(Sales_data[[#This Row],[Order Date]])</f>
        <v>2016</v>
      </c>
      <c r="C1359" s="8">
        <f>MONTH(Sales_data[[#This Row],[Order Date]])</f>
        <v>5</v>
      </c>
      <c r="D1359" s="8" t="str">
        <f>TEXT(Sales_data[[#This Row],[Order Date]],"mmm")</f>
        <v>May</v>
      </c>
      <c r="E1359" t="s">
        <v>14</v>
      </c>
      <c r="F1359" t="s">
        <v>25</v>
      </c>
      <c r="G1359" t="s">
        <v>32</v>
      </c>
      <c r="H1359" t="s">
        <v>40</v>
      </c>
      <c r="I1359" t="s">
        <v>44</v>
      </c>
      <c r="J1359" s="7">
        <v>297.97000000000003</v>
      </c>
      <c r="K1359" s="8">
        <v>6</v>
      </c>
      <c r="L1359" s="7">
        <v>297.16000000000003</v>
      </c>
    </row>
    <row r="1360" spans="1:12" x14ac:dyDescent="0.2">
      <c r="A1360" s="2">
        <v>42518</v>
      </c>
      <c r="B1360" s="8">
        <f>YEAR(Sales_data[[#This Row],[Order Date]])</f>
        <v>2016</v>
      </c>
      <c r="C1360" s="8">
        <f>MONTH(Sales_data[[#This Row],[Order Date]])</f>
        <v>5</v>
      </c>
      <c r="D1360" s="8" t="str">
        <f>TEXT(Sales_data[[#This Row],[Order Date]],"mmm")</f>
        <v>May</v>
      </c>
      <c r="E1360" t="s">
        <v>19</v>
      </c>
      <c r="F1360" t="s">
        <v>30</v>
      </c>
      <c r="G1360" t="s">
        <v>34</v>
      </c>
      <c r="H1360" t="s">
        <v>42</v>
      </c>
      <c r="I1360" t="s">
        <v>53</v>
      </c>
      <c r="J1360" s="7">
        <v>1048.55</v>
      </c>
      <c r="K1360" s="8">
        <v>7</v>
      </c>
      <c r="L1360" s="7">
        <v>-6.05</v>
      </c>
    </row>
    <row r="1361" spans="1:12" x14ac:dyDescent="0.2">
      <c r="A1361" s="2">
        <v>42518</v>
      </c>
      <c r="B1361" s="8">
        <f>YEAR(Sales_data[[#This Row],[Order Date]])</f>
        <v>2016</v>
      </c>
      <c r="C1361" s="8">
        <f>MONTH(Sales_data[[#This Row],[Order Date]])</f>
        <v>5</v>
      </c>
      <c r="D1361" s="8" t="str">
        <f>TEXT(Sales_data[[#This Row],[Order Date]],"mmm")</f>
        <v>May</v>
      </c>
      <c r="E1361" t="s">
        <v>21</v>
      </c>
      <c r="F1361" t="s">
        <v>23</v>
      </c>
      <c r="G1361" t="s">
        <v>33</v>
      </c>
      <c r="H1361" t="s">
        <v>39</v>
      </c>
      <c r="I1361" t="s">
        <v>51</v>
      </c>
      <c r="J1361" s="7">
        <v>861.11</v>
      </c>
      <c r="K1361" s="8">
        <v>3</v>
      </c>
      <c r="L1361" s="7">
        <v>-179.36</v>
      </c>
    </row>
    <row r="1362" spans="1:12" x14ac:dyDescent="0.2">
      <c r="A1362" s="2">
        <v>42520</v>
      </c>
      <c r="B1362" s="8">
        <f>YEAR(Sales_data[[#This Row],[Order Date]])</f>
        <v>2016</v>
      </c>
      <c r="C1362" s="8">
        <f>MONTH(Sales_data[[#This Row],[Order Date]])</f>
        <v>5</v>
      </c>
      <c r="D1362" s="8" t="str">
        <f>TEXT(Sales_data[[#This Row],[Order Date]],"mmm")</f>
        <v>May</v>
      </c>
      <c r="E1362" t="s">
        <v>11</v>
      </c>
      <c r="F1362" t="s">
        <v>25</v>
      </c>
      <c r="G1362" t="s">
        <v>34</v>
      </c>
      <c r="H1362" t="s">
        <v>37</v>
      </c>
      <c r="I1362" t="s">
        <v>53</v>
      </c>
      <c r="J1362" s="7">
        <v>1452.94</v>
      </c>
      <c r="K1362" s="8">
        <v>2</v>
      </c>
      <c r="L1362" s="7">
        <v>130.18</v>
      </c>
    </row>
    <row r="1363" spans="1:12" x14ac:dyDescent="0.2">
      <c r="A1363" s="2">
        <v>42521</v>
      </c>
      <c r="B1363" s="8">
        <f>YEAR(Sales_data[[#This Row],[Order Date]])</f>
        <v>2016</v>
      </c>
      <c r="C1363" s="8">
        <f>MONTH(Sales_data[[#This Row],[Order Date]])</f>
        <v>5</v>
      </c>
      <c r="D1363" s="8" t="str">
        <f>TEXT(Sales_data[[#This Row],[Order Date]],"mmm")</f>
        <v>May</v>
      </c>
      <c r="E1363" t="s">
        <v>14</v>
      </c>
      <c r="F1363" t="s">
        <v>31</v>
      </c>
      <c r="G1363" t="s">
        <v>32</v>
      </c>
      <c r="H1363" t="s">
        <v>40</v>
      </c>
      <c r="I1363" t="s">
        <v>52</v>
      </c>
      <c r="J1363" s="7">
        <v>206</v>
      </c>
      <c r="K1363" s="8">
        <v>5</v>
      </c>
      <c r="L1363" s="7">
        <v>-107.61</v>
      </c>
    </row>
    <row r="1364" spans="1:12" x14ac:dyDescent="0.2">
      <c r="A1364" s="2">
        <v>42521</v>
      </c>
      <c r="B1364" s="8">
        <f>YEAR(Sales_data[[#This Row],[Order Date]])</f>
        <v>2016</v>
      </c>
      <c r="C1364" s="8">
        <f>MONTH(Sales_data[[#This Row],[Order Date]])</f>
        <v>5</v>
      </c>
      <c r="D1364" s="8" t="str">
        <f>TEXT(Sales_data[[#This Row],[Order Date]],"mmm")</f>
        <v>May</v>
      </c>
      <c r="E1364" t="s">
        <v>16</v>
      </c>
      <c r="F1364" t="s">
        <v>31</v>
      </c>
      <c r="G1364" t="s">
        <v>33</v>
      </c>
      <c r="H1364" t="s">
        <v>42</v>
      </c>
      <c r="I1364" t="s">
        <v>50</v>
      </c>
      <c r="J1364" s="7">
        <v>467.35</v>
      </c>
      <c r="K1364" s="8">
        <v>1</v>
      </c>
      <c r="L1364" s="7">
        <v>13.84</v>
      </c>
    </row>
    <row r="1365" spans="1:12" x14ac:dyDescent="0.2">
      <c r="A1365" s="2">
        <v>42521</v>
      </c>
      <c r="B1365" s="8">
        <f>YEAR(Sales_data[[#This Row],[Order Date]])</f>
        <v>2016</v>
      </c>
      <c r="C1365" s="8">
        <f>MONTH(Sales_data[[#This Row],[Order Date]])</f>
        <v>5</v>
      </c>
      <c r="D1365" s="8" t="str">
        <f>TEXT(Sales_data[[#This Row],[Order Date]],"mmm")</f>
        <v>May</v>
      </c>
      <c r="E1365" t="s">
        <v>13</v>
      </c>
      <c r="F1365" t="s">
        <v>24</v>
      </c>
      <c r="G1365" t="s">
        <v>34</v>
      </c>
      <c r="H1365" t="s">
        <v>37</v>
      </c>
      <c r="I1365" t="s">
        <v>47</v>
      </c>
      <c r="J1365" s="7">
        <v>1625.6</v>
      </c>
      <c r="K1365" s="8">
        <v>3</v>
      </c>
      <c r="L1365" s="7">
        <v>128.04</v>
      </c>
    </row>
    <row r="1366" spans="1:12" x14ac:dyDescent="0.2">
      <c r="A1366" s="2">
        <v>42521</v>
      </c>
      <c r="B1366" s="8">
        <f>YEAR(Sales_data[[#This Row],[Order Date]])</f>
        <v>2016</v>
      </c>
      <c r="C1366" s="8">
        <f>MONTH(Sales_data[[#This Row],[Order Date]])</f>
        <v>5</v>
      </c>
      <c r="D1366" s="8" t="str">
        <f>TEXT(Sales_data[[#This Row],[Order Date]],"mmm")</f>
        <v>May</v>
      </c>
      <c r="E1366" t="s">
        <v>11</v>
      </c>
      <c r="F1366" t="s">
        <v>25</v>
      </c>
      <c r="G1366" t="s">
        <v>33</v>
      </c>
      <c r="H1366" t="s">
        <v>37</v>
      </c>
      <c r="I1366" t="s">
        <v>47</v>
      </c>
      <c r="J1366" s="7">
        <v>1030.6400000000001</v>
      </c>
      <c r="K1366" s="8">
        <v>2</v>
      </c>
      <c r="L1366" s="7">
        <v>-183.22</v>
      </c>
    </row>
    <row r="1367" spans="1:12" x14ac:dyDescent="0.2">
      <c r="A1367" s="2">
        <v>42523</v>
      </c>
      <c r="B1367" s="8">
        <f>YEAR(Sales_data[[#This Row],[Order Date]])</f>
        <v>2016</v>
      </c>
      <c r="C1367" s="8">
        <f>MONTH(Sales_data[[#This Row],[Order Date]])</f>
        <v>6</v>
      </c>
      <c r="D1367" s="8" t="str">
        <f>TEXT(Sales_data[[#This Row],[Order Date]],"mmm")</f>
        <v>Jun</v>
      </c>
      <c r="E1367" t="s">
        <v>9</v>
      </c>
      <c r="F1367" t="s">
        <v>23</v>
      </c>
      <c r="G1367" t="s">
        <v>34</v>
      </c>
      <c r="H1367" t="s">
        <v>38</v>
      </c>
      <c r="I1367" t="s">
        <v>44</v>
      </c>
      <c r="J1367" s="7">
        <v>1826.04</v>
      </c>
      <c r="K1367" s="8">
        <v>3</v>
      </c>
      <c r="L1367" s="7">
        <v>121.23</v>
      </c>
    </row>
    <row r="1368" spans="1:12" x14ac:dyDescent="0.2">
      <c r="A1368" s="2">
        <v>42523</v>
      </c>
      <c r="B1368" s="8">
        <f>YEAR(Sales_data[[#This Row],[Order Date]])</f>
        <v>2016</v>
      </c>
      <c r="C1368" s="8">
        <f>MONTH(Sales_data[[#This Row],[Order Date]])</f>
        <v>6</v>
      </c>
      <c r="D1368" s="8" t="str">
        <f>TEXT(Sales_data[[#This Row],[Order Date]],"mmm")</f>
        <v>Jun</v>
      </c>
      <c r="E1368" t="s">
        <v>9</v>
      </c>
      <c r="F1368" t="s">
        <v>30</v>
      </c>
      <c r="G1368" t="s">
        <v>33</v>
      </c>
      <c r="H1368" t="s">
        <v>38</v>
      </c>
      <c r="I1368" t="s">
        <v>47</v>
      </c>
      <c r="J1368" s="7">
        <v>1660.07</v>
      </c>
      <c r="K1368" s="8">
        <v>4</v>
      </c>
      <c r="L1368" s="7">
        <v>-66.33</v>
      </c>
    </row>
    <row r="1369" spans="1:12" x14ac:dyDescent="0.2">
      <c r="A1369" s="2">
        <v>42523</v>
      </c>
      <c r="B1369" s="8">
        <f>YEAR(Sales_data[[#This Row],[Order Date]])</f>
        <v>2016</v>
      </c>
      <c r="C1369" s="8">
        <f>MONTH(Sales_data[[#This Row],[Order Date]])</f>
        <v>6</v>
      </c>
      <c r="D1369" s="8" t="str">
        <f>TEXT(Sales_data[[#This Row],[Order Date]],"mmm")</f>
        <v>Jun</v>
      </c>
      <c r="E1369" t="s">
        <v>15</v>
      </c>
      <c r="F1369" t="s">
        <v>22</v>
      </c>
      <c r="G1369" t="s">
        <v>32</v>
      </c>
      <c r="H1369" t="s">
        <v>35</v>
      </c>
      <c r="I1369" t="s">
        <v>48</v>
      </c>
      <c r="J1369" s="7">
        <v>499.04</v>
      </c>
      <c r="K1369" s="8">
        <v>9</v>
      </c>
      <c r="L1369" s="7">
        <v>-10.08</v>
      </c>
    </row>
    <row r="1370" spans="1:12" x14ac:dyDescent="0.2">
      <c r="A1370" s="2">
        <v>42523</v>
      </c>
      <c r="B1370" s="8">
        <f>YEAR(Sales_data[[#This Row],[Order Date]])</f>
        <v>2016</v>
      </c>
      <c r="C1370" s="8">
        <f>MONTH(Sales_data[[#This Row],[Order Date]])</f>
        <v>6</v>
      </c>
      <c r="D1370" s="8" t="str">
        <f>TEXT(Sales_data[[#This Row],[Order Date]],"mmm")</f>
        <v>Jun</v>
      </c>
      <c r="E1370" t="s">
        <v>19</v>
      </c>
      <c r="F1370" t="s">
        <v>29</v>
      </c>
      <c r="G1370" t="s">
        <v>34</v>
      </c>
      <c r="H1370" t="s">
        <v>36</v>
      </c>
      <c r="I1370" t="s">
        <v>45</v>
      </c>
      <c r="J1370" s="7">
        <v>1528.27</v>
      </c>
      <c r="K1370" s="8">
        <v>1</v>
      </c>
      <c r="L1370" s="7">
        <v>118.69</v>
      </c>
    </row>
    <row r="1371" spans="1:12" x14ac:dyDescent="0.2">
      <c r="A1371" s="2">
        <v>42524</v>
      </c>
      <c r="B1371" s="8">
        <f>YEAR(Sales_data[[#This Row],[Order Date]])</f>
        <v>2016</v>
      </c>
      <c r="C1371" s="8">
        <f>MONTH(Sales_data[[#This Row],[Order Date]])</f>
        <v>6</v>
      </c>
      <c r="D1371" s="8" t="str">
        <f>TEXT(Sales_data[[#This Row],[Order Date]],"mmm")</f>
        <v>Jun</v>
      </c>
      <c r="E1371" t="s">
        <v>14</v>
      </c>
      <c r="F1371" t="s">
        <v>31</v>
      </c>
      <c r="G1371" t="s">
        <v>34</v>
      </c>
      <c r="H1371" t="s">
        <v>41</v>
      </c>
      <c r="I1371" t="s">
        <v>45</v>
      </c>
      <c r="J1371" s="7">
        <v>1817.43</v>
      </c>
      <c r="K1371" s="8">
        <v>1</v>
      </c>
      <c r="L1371" s="7">
        <v>-34.85</v>
      </c>
    </row>
    <row r="1372" spans="1:12" x14ac:dyDescent="0.2">
      <c r="A1372" s="2">
        <v>42525</v>
      </c>
      <c r="B1372" s="8">
        <f>YEAR(Sales_data[[#This Row],[Order Date]])</f>
        <v>2016</v>
      </c>
      <c r="C1372" s="8">
        <f>MONTH(Sales_data[[#This Row],[Order Date]])</f>
        <v>6</v>
      </c>
      <c r="D1372" s="8" t="str">
        <f>TEXT(Sales_data[[#This Row],[Order Date]],"mmm")</f>
        <v>Jun</v>
      </c>
      <c r="E1372" t="s">
        <v>9</v>
      </c>
      <c r="F1372" t="s">
        <v>31</v>
      </c>
      <c r="G1372" t="s">
        <v>33</v>
      </c>
      <c r="H1372" t="s">
        <v>38</v>
      </c>
      <c r="I1372" t="s">
        <v>48</v>
      </c>
      <c r="J1372" s="7">
        <v>521.09</v>
      </c>
      <c r="K1372" s="8">
        <v>3</v>
      </c>
      <c r="L1372" s="7">
        <v>155.66</v>
      </c>
    </row>
    <row r="1373" spans="1:12" x14ac:dyDescent="0.2">
      <c r="A1373" s="2">
        <v>42525</v>
      </c>
      <c r="B1373" s="8">
        <f>YEAR(Sales_data[[#This Row],[Order Date]])</f>
        <v>2016</v>
      </c>
      <c r="C1373" s="8">
        <f>MONTH(Sales_data[[#This Row],[Order Date]])</f>
        <v>6</v>
      </c>
      <c r="D1373" s="8" t="str">
        <f>TEXT(Sales_data[[#This Row],[Order Date]],"mmm")</f>
        <v>Jun</v>
      </c>
      <c r="E1373" t="s">
        <v>15</v>
      </c>
      <c r="F1373" t="s">
        <v>22</v>
      </c>
      <c r="G1373" t="s">
        <v>34</v>
      </c>
      <c r="H1373" t="s">
        <v>40</v>
      </c>
      <c r="I1373" t="s">
        <v>44</v>
      </c>
      <c r="J1373" s="7">
        <v>842.58</v>
      </c>
      <c r="K1373" s="8">
        <v>9</v>
      </c>
      <c r="L1373" s="7">
        <v>27.67</v>
      </c>
    </row>
    <row r="1374" spans="1:12" x14ac:dyDescent="0.2">
      <c r="A1374" s="2">
        <v>42525</v>
      </c>
      <c r="B1374" s="8">
        <f>YEAR(Sales_data[[#This Row],[Order Date]])</f>
        <v>2016</v>
      </c>
      <c r="C1374" s="8">
        <f>MONTH(Sales_data[[#This Row],[Order Date]])</f>
        <v>6</v>
      </c>
      <c r="D1374" s="8" t="str">
        <f>TEXT(Sales_data[[#This Row],[Order Date]],"mmm")</f>
        <v>Jun</v>
      </c>
      <c r="E1374" t="s">
        <v>16</v>
      </c>
      <c r="F1374" t="s">
        <v>23</v>
      </c>
      <c r="G1374" t="s">
        <v>32</v>
      </c>
      <c r="H1374" t="s">
        <v>37</v>
      </c>
      <c r="I1374" t="s">
        <v>45</v>
      </c>
      <c r="J1374" s="7">
        <v>1946.22</v>
      </c>
      <c r="K1374" s="8">
        <v>1</v>
      </c>
      <c r="L1374" s="7">
        <v>-191.85</v>
      </c>
    </row>
    <row r="1375" spans="1:12" x14ac:dyDescent="0.2">
      <c r="A1375" s="2">
        <v>42527</v>
      </c>
      <c r="B1375" s="8">
        <f>YEAR(Sales_data[[#This Row],[Order Date]])</f>
        <v>2016</v>
      </c>
      <c r="C1375" s="8">
        <f>MONTH(Sales_data[[#This Row],[Order Date]])</f>
        <v>6</v>
      </c>
      <c r="D1375" s="8" t="str">
        <f>TEXT(Sales_data[[#This Row],[Order Date]],"mmm")</f>
        <v>Jun</v>
      </c>
      <c r="E1375" t="s">
        <v>20</v>
      </c>
      <c r="F1375" t="s">
        <v>30</v>
      </c>
      <c r="G1375" t="s">
        <v>32</v>
      </c>
      <c r="H1375" t="s">
        <v>35</v>
      </c>
      <c r="I1375" t="s">
        <v>49</v>
      </c>
      <c r="J1375" s="7">
        <v>732.63</v>
      </c>
      <c r="K1375" s="8">
        <v>3</v>
      </c>
      <c r="L1375" s="7">
        <v>191.41</v>
      </c>
    </row>
    <row r="1376" spans="1:12" x14ac:dyDescent="0.2">
      <c r="A1376" s="2">
        <v>42527</v>
      </c>
      <c r="B1376" s="8">
        <f>YEAR(Sales_data[[#This Row],[Order Date]])</f>
        <v>2016</v>
      </c>
      <c r="C1376" s="8">
        <f>MONTH(Sales_data[[#This Row],[Order Date]])</f>
        <v>6</v>
      </c>
      <c r="D1376" s="8" t="str">
        <f>TEXT(Sales_data[[#This Row],[Order Date]],"mmm")</f>
        <v>Jun</v>
      </c>
      <c r="E1376" t="s">
        <v>17</v>
      </c>
      <c r="F1376" t="s">
        <v>23</v>
      </c>
      <c r="G1376" t="s">
        <v>33</v>
      </c>
      <c r="H1376" t="s">
        <v>40</v>
      </c>
      <c r="I1376" t="s">
        <v>48</v>
      </c>
      <c r="J1376" s="7">
        <v>57.71</v>
      </c>
      <c r="K1376" s="8">
        <v>3</v>
      </c>
      <c r="L1376" s="7">
        <v>-195.17</v>
      </c>
    </row>
    <row r="1377" spans="1:12" x14ac:dyDescent="0.2">
      <c r="A1377" s="2">
        <v>42527</v>
      </c>
      <c r="B1377" s="8">
        <f>YEAR(Sales_data[[#This Row],[Order Date]])</f>
        <v>2016</v>
      </c>
      <c r="C1377" s="8">
        <f>MONTH(Sales_data[[#This Row],[Order Date]])</f>
        <v>6</v>
      </c>
      <c r="D1377" s="8" t="str">
        <f>TEXT(Sales_data[[#This Row],[Order Date]],"mmm")</f>
        <v>Jun</v>
      </c>
      <c r="E1377" t="s">
        <v>15</v>
      </c>
      <c r="F1377" t="s">
        <v>31</v>
      </c>
      <c r="G1377" t="s">
        <v>32</v>
      </c>
      <c r="H1377" t="s">
        <v>42</v>
      </c>
      <c r="I1377" t="s">
        <v>45</v>
      </c>
      <c r="J1377" s="7">
        <v>975.84</v>
      </c>
      <c r="K1377" s="8">
        <v>4</v>
      </c>
      <c r="L1377" s="7">
        <v>-110.74</v>
      </c>
    </row>
    <row r="1378" spans="1:12" x14ac:dyDescent="0.2">
      <c r="A1378" s="2">
        <v>42527</v>
      </c>
      <c r="B1378" s="8">
        <f>YEAR(Sales_data[[#This Row],[Order Date]])</f>
        <v>2016</v>
      </c>
      <c r="C1378" s="8">
        <f>MONTH(Sales_data[[#This Row],[Order Date]])</f>
        <v>6</v>
      </c>
      <c r="D1378" s="8" t="str">
        <f>TEXT(Sales_data[[#This Row],[Order Date]],"mmm")</f>
        <v>Jun</v>
      </c>
      <c r="E1378" t="s">
        <v>21</v>
      </c>
      <c r="F1378" t="s">
        <v>26</v>
      </c>
      <c r="G1378" t="s">
        <v>33</v>
      </c>
      <c r="H1378" t="s">
        <v>38</v>
      </c>
      <c r="I1378" t="s">
        <v>53</v>
      </c>
      <c r="J1378" s="7">
        <v>90.57</v>
      </c>
      <c r="K1378" s="8">
        <v>3</v>
      </c>
      <c r="L1378" s="7">
        <v>-137.59</v>
      </c>
    </row>
    <row r="1379" spans="1:12" x14ac:dyDescent="0.2">
      <c r="A1379" s="2">
        <v>42527</v>
      </c>
      <c r="B1379" s="8">
        <f>YEAR(Sales_data[[#This Row],[Order Date]])</f>
        <v>2016</v>
      </c>
      <c r="C1379" s="8">
        <f>MONTH(Sales_data[[#This Row],[Order Date]])</f>
        <v>6</v>
      </c>
      <c r="D1379" s="8" t="str">
        <f>TEXT(Sales_data[[#This Row],[Order Date]],"mmm")</f>
        <v>Jun</v>
      </c>
      <c r="E1379" t="s">
        <v>15</v>
      </c>
      <c r="F1379" t="s">
        <v>26</v>
      </c>
      <c r="G1379" t="s">
        <v>32</v>
      </c>
      <c r="H1379" t="s">
        <v>40</v>
      </c>
      <c r="I1379" t="s">
        <v>47</v>
      </c>
      <c r="J1379" s="7">
        <v>1435.03</v>
      </c>
      <c r="K1379" s="8">
        <v>8</v>
      </c>
      <c r="L1379" s="7">
        <v>42.52</v>
      </c>
    </row>
    <row r="1380" spans="1:12" x14ac:dyDescent="0.2">
      <c r="A1380" s="2">
        <v>42528</v>
      </c>
      <c r="B1380" s="8">
        <f>YEAR(Sales_data[[#This Row],[Order Date]])</f>
        <v>2016</v>
      </c>
      <c r="C1380" s="8">
        <f>MONTH(Sales_data[[#This Row],[Order Date]])</f>
        <v>6</v>
      </c>
      <c r="D1380" s="8" t="str">
        <f>TEXT(Sales_data[[#This Row],[Order Date]],"mmm")</f>
        <v>Jun</v>
      </c>
      <c r="E1380" t="s">
        <v>17</v>
      </c>
      <c r="F1380" t="s">
        <v>31</v>
      </c>
      <c r="G1380" t="s">
        <v>34</v>
      </c>
      <c r="H1380" t="s">
        <v>42</v>
      </c>
      <c r="I1380" t="s">
        <v>45</v>
      </c>
      <c r="J1380" s="7">
        <v>385.97</v>
      </c>
      <c r="K1380" s="8">
        <v>2</v>
      </c>
      <c r="L1380" s="7">
        <v>-74.14</v>
      </c>
    </row>
    <row r="1381" spans="1:12" x14ac:dyDescent="0.2">
      <c r="A1381" s="2">
        <v>42529</v>
      </c>
      <c r="B1381" s="8">
        <f>YEAR(Sales_data[[#This Row],[Order Date]])</f>
        <v>2016</v>
      </c>
      <c r="C1381" s="8">
        <f>MONTH(Sales_data[[#This Row],[Order Date]])</f>
        <v>6</v>
      </c>
      <c r="D1381" s="8" t="str">
        <f>TEXT(Sales_data[[#This Row],[Order Date]],"mmm")</f>
        <v>Jun</v>
      </c>
      <c r="E1381" t="s">
        <v>13</v>
      </c>
      <c r="F1381" t="s">
        <v>30</v>
      </c>
      <c r="G1381" t="s">
        <v>34</v>
      </c>
      <c r="H1381" t="s">
        <v>40</v>
      </c>
      <c r="I1381" t="s">
        <v>52</v>
      </c>
      <c r="J1381" s="7">
        <v>1887.28</v>
      </c>
      <c r="K1381" s="8">
        <v>5</v>
      </c>
      <c r="L1381" s="7">
        <v>325.62</v>
      </c>
    </row>
    <row r="1382" spans="1:12" x14ac:dyDescent="0.2">
      <c r="A1382" s="2">
        <v>42529</v>
      </c>
      <c r="B1382" s="8">
        <f>YEAR(Sales_data[[#This Row],[Order Date]])</f>
        <v>2016</v>
      </c>
      <c r="C1382" s="8">
        <f>MONTH(Sales_data[[#This Row],[Order Date]])</f>
        <v>6</v>
      </c>
      <c r="D1382" s="8" t="str">
        <f>TEXT(Sales_data[[#This Row],[Order Date]],"mmm")</f>
        <v>Jun</v>
      </c>
      <c r="E1382" t="s">
        <v>10</v>
      </c>
      <c r="F1382" t="s">
        <v>25</v>
      </c>
      <c r="G1382" t="s">
        <v>34</v>
      </c>
      <c r="H1382" t="s">
        <v>40</v>
      </c>
      <c r="I1382" t="s">
        <v>53</v>
      </c>
      <c r="J1382" s="7">
        <v>1544.56</v>
      </c>
      <c r="K1382" s="8">
        <v>7</v>
      </c>
      <c r="L1382" s="7">
        <v>292.95</v>
      </c>
    </row>
    <row r="1383" spans="1:12" x14ac:dyDescent="0.2">
      <c r="A1383" s="2">
        <v>42529</v>
      </c>
      <c r="B1383" s="8">
        <f>YEAR(Sales_data[[#This Row],[Order Date]])</f>
        <v>2016</v>
      </c>
      <c r="C1383" s="8">
        <f>MONTH(Sales_data[[#This Row],[Order Date]])</f>
        <v>6</v>
      </c>
      <c r="D1383" s="8" t="str">
        <f>TEXT(Sales_data[[#This Row],[Order Date]],"mmm")</f>
        <v>Jun</v>
      </c>
      <c r="E1383" t="s">
        <v>18</v>
      </c>
      <c r="F1383" t="s">
        <v>28</v>
      </c>
      <c r="G1383" t="s">
        <v>33</v>
      </c>
      <c r="H1383" t="s">
        <v>43</v>
      </c>
      <c r="I1383" t="s">
        <v>50</v>
      </c>
      <c r="J1383" s="7">
        <v>1311.26</v>
      </c>
      <c r="K1383" s="8">
        <v>9</v>
      </c>
      <c r="L1383" s="7">
        <v>302.37</v>
      </c>
    </row>
    <row r="1384" spans="1:12" x14ac:dyDescent="0.2">
      <c r="A1384" s="2">
        <v>42531</v>
      </c>
      <c r="B1384" s="8">
        <f>YEAR(Sales_data[[#This Row],[Order Date]])</f>
        <v>2016</v>
      </c>
      <c r="C1384" s="8">
        <f>MONTH(Sales_data[[#This Row],[Order Date]])</f>
        <v>6</v>
      </c>
      <c r="D1384" s="8" t="str">
        <f>TEXT(Sales_data[[#This Row],[Order Date]],"mmm")</f>
        <v>Jun</v>
      </c>
      <c r="E1384" t="s">
        <v>10</v>
      </c>
      <c r="F1384" t="s">
        <v>30</v>
      </c>
      <c r="G1384" t="s">
        <v>33</v>
      </c>
      <c r="H1384" t="s">
        <v>36</v>
      </c>
      <c r="I1384" t="s">
        <v>49</v>
      </c>
      <c r="J1384" s="7">
        <v>1192.72</v>
      </c>
      <c r="K1384" s="8">
        <v>9</v>
      </c>
      <c r="L1384" s="7">
        <v>250.97</v>
      </c>
    </row>
    <row r="1385" spans="1:12" x14ac:dyDescent="0.2">
      <c r="A1385" s="2">
        <v>42531</v>
      </c>
      <c r="B1385" s="8">
        <f>YEAR(Sales_data[[#This Row],[Order Date]])</f>
        <v>2016</v>
      </c>
      <c r="C1385" s="8">
        <f>MONTH(Sales_data[[#This Row],[Order Date]])</f>
        <v>6</v>
      </c>
      <c r="D1385" s="8" t="str">
        <f>TEXT(Sales_data[[#This Row],[Order Date]],"mmm")</f>
        <v>Jun</v>
      </c>
      <c r="E1385" t="s">
        <v>17</v>
      </c>
      <c r="F1385" t="s">
        <v>30</v>
      </c>
      <c r="G1385" t="s">
        <v>33</v>
      </c>
      <c r="H1385" t="s">
        <v>43</v>
      </c>
      <c r="I1385" t="s">
        <v>49</v>
      </c>
      <c r="J1385" s="7">
        <v>770.1</v>
      </c>
      <c r="K1385" s="8">
        <v>3</v>
      </c>
      <c r="L1385" s="7">
        <v>58.07</v>
      </c>
    </row>
    <row r="1386" spans="1:12" x14ac:dyDescent="0.2">
      <c r="A1386" s="2">
        <v>42531</v>
      </c>
      <c r="B1386" s="8">
        <f>YEAR(Sales_data[[#This Row],[Order Date]])</f>
        <v>2016</v>
      </c>
      <c r="C1386" s="8">
        <f>MONTH(Sales_data[[#This Row],[Order Date]])</f>
        <v>6</v>
      </c>
      <c r="D1386" s="8" t="str">
        <f>TEXT(Sales_data[[#This Row],[Order Date]],"mmm")</f>
        <v>Jun</v>
      </c>
      <c r="E1386" t="s">
        <v>19</v>
      </c>
      <c r="F1386" t="s">
        <v>24</v>
      </c>
      <c r="G1386" t="s">
        <v>33</v>
      </c>
      <c r="H1386" t="s">
        <v>36</v>
      </c>
      <c r="I1386" t="s">
        <v>50</v>
      </c>
      <c r="J1386" s="7">
        <v>342.6</v>
      </c>
      <c r="K1386" s="8">
        <v>1</v>
      </c>
      <c r="L1386" s="7">
        <v>344.78</v>
      </c>
    </row>
    <row r="1387" spans="1:12" x14ac:dyDescent="0.2">
      <c r="A1387" s="2">
        <v>42531</v>
      </c>
      <c r="B1387" s="8">
        <f>YEAR(Sales_data[[#This Row],[Order Date]])</f>
        <v>2016</v>
      </c>
      <c r="C1387" s="8">
        <f>MONTH(Sales_data[[#This Row],[Order Date]])</f>
        <v>6</v>
      </c>
      <c r="D1387" s="8" t="str">
        <f>TEXT(Sales_data[[#This Row],[Order Date]],"mmm")</f>
        <v>Jun</v>
      </c>
      <c r="E1387" t="s">
        <v>14</v>
      </c>
      <c r="F1387" t="s">
        <v>27</v>
      </c>
      <c r="G1387" t="s">
        <v>33</v>
      </c>
      <c r="H1387" t="s">
        <v>42</v>
      </c>
      <c r="I1387" t="s">
        <v>53</v>
      </c>
      <c r="J1387" s="7">
        <v>381.6</v>
      </c>
      <c r="K1387" s="8">
        <v>9</v>
      </c>
      <c r="L1387" s="7">
        <v>329.53</v>
      </c>
    </row>
    <row r="1388" spans="1:12" x14ac:dyDescent="0.2">
      <c r="A1388" s="2">
        <v>42532</v>
      </c>
      <c r="B1388" s="8">
        <f>YEAR(Sales_data[[#This Row],[Order Date]])</f>
        <v>2016</v>
      </c>
      <c r="C1388" s="8">
        <f>MONTH(Sales_data[[#This Row],[Order Date]])</f>
        <v>6</v>
      </c>
      <c r="D1388" s="8" t="str">
        <f>TEXT(Sales_data[[#This Row],[Order Date]],"mmm")</f>
        <v>Jun</v>
      </c>
      <c r="E1388" t="s">
        <v>12</v>
      </c>
      <c r="F1388" t="s">
        <v>30</v>
      </c>
      <c r="G1388" t="s">
        <v>34</v>
      </c>
      <c r="H1388" t="s">
        <v>39</v>
      </c>
      <c r="I1388" t="s">
        <v>52</v>
      </c>
      <c r="J1388" s="7">
        <v>893.13</v>
      </c>
      <c r="K1388" s="8">
        <v>1</v>
      </c>
      <c r="L1388" s="7">
        <v>-123.17</v>
      </c>
    </row>
    <row r="1389" spans="1:12" x14ac:dyDescent="0.2">
      <c r="A1389" s="2">
        <v>42533</v>
      </c>
      <c r="B1389" s="8">
        <f>YEAR(Sales_data[[#This Row],[Order Date]])</f>
        <v>2016</v>
      </c>
      <c r="C1389" s="8">
        <f>MONTH(Sales_data[[#This Row],[Order Date]])</f>
        <v>6</v>
      </c>
      <c r="D1389" s="8" t="str">
        <f>TEXT(Sales_data[[#This Row],[Order Date]],"mmm")</f>
        <v>Jun</v>
      </c>
      <c r="E1389" t="s">
        <v>17</v>
      </c>
      <c r="F1389" t="s">
        <v>25</v>
      </c>
      <c r="G1389" t="s">
        <v>32</v>
      </c>
      <c r="H1389" t="s">
        <v>35</v>
      </c>
      <c r="I1389" t="s">
        <v>45</v>
      </c>
      <c r="J1389" s="7">
        <v>507.61</v>
      </c>
      <c r="K1389" s="8">
        <v>2</v>
      </c>
      <c r="L1389" s="7">
        <v>60.97</v>
      </c>
    </row>
    <row r="1390" spans="1:12" x14ac:dyDescent="0.2">
      <c r="A1390" s="2">
        <v>42535</v>
      </c>
      <c r="B1390" s="8">
        <f>YEAR(Sales_data[[#This Row],[Order Date]])</f>
        <v>2016</v>
      </c>
      <c r="C1390" s="8">
        <f>MONTH(Sales_data[[#This Row],[Order Date]])</f>
        <v>6</v>
      </c>
      <c r="D1390" s="8" t="str">
        <f>TEXT(Sales_data[[#This Row],[Order Date]],"mmm")</f>
        <v>Jun</v>
      </c>
      <c r="E1390" t="s">
        <v>13</v>
      </c>
      <c r="F1390" t="s">
        <v>24</v>
      </c>
      <c r="G1390" t="s">
        <v>33</v>
      </c>
      <c r="H1390" t="s">
        <v>43</v>
      </c>
      <c r="I1390" t="s">
        <v>47</v>
      </c>
      <c r="J1390" s="7">
        <v>615.27</v>
      </c>
      <c r="K1390" s="8">
        <v>8</v>
      </c>
      <c r="L1390" s="7">
        <v>258.13</v>
      </c>
    </row>
    <row r="1391" spans="1:12" x14ac:dyDescent="0.2">
      <c r="A1391" s="2">
        <v>42537</v>
      </c>
      <c r="B1391" s="8">
        <f>YEAR(Sales_data[[#This Row],[Order Date]])</f>
        <v>2016</v>
      </c>
      <c r="C1391" s="8">
        <f>MONTH(Sales_data[[#This Row],[Order Date]])</f>
        <v>6</v>
      </c>
      <c r="D1391" s="8" t="str">
        <f>TEXT(Sales_data[[#This Row],[Order Date]],"mmm")</f>
        <v>Jun</v>
      </c>
      <c r="E1391" t="s">
        <v>19</v>
      </c>
      <c r="F1391" t="s">
        <v>24</v>
      </c>
      <c r="G1391" t="s">
        <v>32</v>
      </c>
      <c r="H1391" t="s">
        <v>37</v>
      </c>
      <c r="I1391" t="s">
        <v>47</v>
      </c>
      <c r="J1391" s="7">
        <v>500.08</v>
      </c>
      <c r="K1391" s="8">
        <v>7</v>
      </c>
      <c r="L1391" s="7">
        <v>314.26</v>
      </c>
    </row>
    <row r="1392" spans="1:12" x14ac:dyDescent="0.2">
      <c r="A1392" s="2">
        <v>42537</v>
      </c>
      <c r="B1392" s="8">
        <f>YEAR(Sales_data[[#This Row],[Order Date]])</f>
        <v>2016</v>
      </c>
      <c r="C1392" s="8">
        <f>MONTH(Sales_data[[#This Row],[Order Date]])</f>
        <v>6</v>
      </c>
      <c r="D1392" s="8" t="str">
        <f>TEXT(Sales_data[[#This Row],[Order Date]],"mmm")</f>
        <v>Jun</v>
      </c>
      <c r="E1392" t="s">
        <v>15</v>
      </c>
      <c r="F1392" t="s">
        <v>26</v>
      </c>
      <c r="G1392" t="s">
        <v>33</v>
      </c>
      <c r="H1392" t="s">
        <v>36</v>
      </c>
      <c r="I1392" t="s">
        <v>48</v>
      </c>
      <c r="J1392" s="7">
        <v>513.29</v>
      </c>
      <c r="K1392" s="8">
        <v>6</v>
      </c>
      <c r="L1392" s="7">
        <v>2.11</v>
      </c>
    </row>
    <row r="1393" spans="1:12" x14ac:dyDescent="0.2">
      <c r="A1393" s="2">
        <v>42537</v>
      </c>
      <c r="B1393" s="8">
        <f>YEAR(Sales_data[[#This Row],[Order Date]])</f>
        <v>2016</v>
      </c>
      <c r="C1393" s="8">
        <f>MONTH(Sales_data[[#This Row],[Order Date]])</f>
        <v>6</v>
      </c>
      <c r="D1393" s="8" t="str">
        <f>TEXT(Sales_data[[#This Row],[Order Date]],"mmm")</f>
        <v>Jun</v>
      </c>
      <c r="E1393" t="s">
        <v>16</v>
      </c>
      <c r="F1393" t="s">
        <v>25</v>
      </c>
      <c r="G1393" t="s">
        <v>32</v>
      </c>
      <c r="H1393" t="s">
        <v>35</v>
      </c>
      <c r="I1393" t="s">
        <v>50</v>
      </c>
      <c r="J1393" s="7">
        <v>714.99</v>
      </c>
      <c r="K1393" s="8">
        <v>1</v>
      </c>
      <c r="L1393" s="7">
        <v>271.25</v>
      </c>
    </row>
    <row r="1394" spans="1:12" x14ac:dyDescent="0.2">
      <c r="A1394" s="2">
        <v>42539</v>
      </c>
      <c r="B1394" s="8">
        <f>YEAR(Sales_data[[#This Row],[Order Date]])</f>
        <v>2016</v>
      </c>
      <c r="C1394" s="8">
        <f>MONTH(Sales_data[[#This Row],[Order Date]])</f>
        <v>6</v>
      </c>
      <c r="D1394" s="8" t="str">
        <f>TEXT(Sales_data[[#This Row],[Order Date]],"mmm")</f>
        <v>Jun</v>
      </c>
      <c r="E1394" t="s">
        <v>14</v>
      </c>
      <c r="F1394" t="s">
        <v>26</v>
      </c>
      <c r="G1394" t="s">
        <v>34</v>
      </c>
      <c r="H1394" t="s">
        <v>37</v>
      </c>
      <c r="I1394" t="s">
        <v>52</v>
      </c>
      <c r="J1394" s="7">
        <v>1235.0899999999999</v>
      </c>
      <c r="K1394" s="8">
        <v>3</v>
      </c>
      <c r="L1394" s="7">
        <v>-176.01</v>
      </c>
    </row>
    <row r="1395" spans="1:12" x14ac:dyDescent="0.2">
      <c r="A1395" s="2">
        <v>42540</v>
      </c>
      <c r="B1395" s="8">
        <f>YEAR(Sales_data[[#This Row],[Order Date]])</f>
        <v>2016</v>
      </c>
      <c r="C1395" s="8">
        <f>MONTH(Sales_data[[#This Row],[Order Date]])</f>
        <v>6</v>
      </c>
      <c r="D1395" s="8" t="str">
        <f>TEXT(Sales_data[[#This Row],[Order Date]],"mmm")</f>
        <v>Jun</v>
      </c>
      <c r="E1395" t="s">
        <v>13</v>
      </c>
      <c r="F1395" t="s">
        <v>25</v>
      </c>
      <c r="G1395" t="s">
        <v>34</v>
      </c>
      <c r="H1395" t="s">
        <v>38</v>
      </c>
      <c r="I1395" t="s">
        <v>48</v>
      </c>
      <c r="J1395" s="7">
        <v>48.15</v>
      </c>
      <c r="K1395" s="8">
        <v>7</v>
      </c>
      <c r="L1395" s="7">
        <v>323.89999999999998</v>
      </c>
    </row>
    <row r="1396" spans="1:12" x14ac:dyDescent="0.2">
      <c r="A1396" s="2">
        <v>42541</v>
      </c>
      <c r="B1396" s="8">
        <f>YEAR(Sales_data[[#This Row],[Order Date]])</f>
        <v>2016</v>
      </c>
      <c r="C1396" s="8">
        <f>MONTH(Sales_data[[#This Row],[Order Date]])</f>
        <v>6</v>
      </c>
      <c r="D1396" s="8" t="str">
        <f>TEXT(Sales_data[[#This Row],[Order Date]],"mmm")</f>
        <v>Jun</v>
      </c>
      <c r="E1396" t="s">
        <v>11</v>
      </c>
      <c r="F1396" t="s">
        <v>31</v>
      </c>
      <c r="G1396" t="s">
        <v>34</v>
      </c>
      <c r="H1396" t="s">
        <v>35</v>
      </c>
      <c r="I1396" t="s">
        <v>47</v>
      </c>
      <c r="J1396" s="7">
        <v>436.46</v>
      </c>
      <c r="K1396" s="8">
        <v>6</v>
      </c>
      <c r="L1396" s="7">
        <v>-36.31</v>
      </c>
    </row>
    <row r="1397" spans="1:12" x14ac:dyDescent="0.2">
      <c r="A1397" s="2">
        <v>42541</v>
      </c>
      <c r="B1397" s="8">
        <f>YEAR(Sales_data[[#This Row],[Order Date]])</f>
        <v>2016</v>
      </c>
      <c r="C1397" s="8">
        <f>MONTH(Sales_data[[#This Row],[Order Date]])</f>
        <v>6</v>
      </c>
      <c r="D1397" s="8" t="str">
        <f>TEXT(Sales_data[[#This Row],[Order Date]],"mmm")</f>
        <v>Jun</v>
      </c>
      <c r="E1397" t="s">
        <v>17</v>
      </c>
      <c r="F1397" t="s">
        <v>25</v>
      </c>
      <c r="G1397" t="s">
        <v>33</v>
      </c>
      <c r="H1397" t="s">
        <v>35</v>
      </c>
      <c r="I1397" t="s">
        <v>45</v>
      </c>
      <c r="J1397" s="7">
        <v>1924.96</v>
      </c>
      <c r="K1397" s="8">
        <v>9</v>
      </c>
      <c r="L1397" s="7">
        <v>352.23</v>
      </c>
    </row>
    <row r="1398" spans="1:12" x14ac:dyDescent="0.2">
      <c r="A1398" s="2">
        <v>42542</v>
      </c>
      <c r="B1398" s="8">
        <f>YEAR(Sales_data[[#This Row],[Order Date]])</f>
        <v>2016</v>
      </c>
      <c r="C1398" s="8">
        <f>MONTH(Sales_data[[#This Row],[Order Date]])</f>
        <v>6</v>
      </c>
      <c r="D1398" s="8" t="str">
        <f>TEXT(Sales_data[[#This Row],[Order Date]],"mmm")</f>
        <v>Jun</v>
      </c>
      <c r="E1398" t="s">
        <v>12</v>
      </c>
      <c r="F1398" t="s">
        <v>30</v>
      </c>
      <c r="G1398" t="s">
        <v>33</v>
      </c>
      <c r="H1398" t="s">
        <v>42</v>
      </c>
      <c r="I1398" t="s">
        <v>49</v>
      </c>
      <c r="J1398" s="7">
        <v>913.79</v>
      </c>
      <c r="K1398" s="8">
        <v>1</v>
      </c>
      <c r="L1398" s="7">
        <v>-20.52</v>
      </c>
    </row>
    <row r="1399" spans="1:12" x14ac:dyDescent="0.2">
      <c r="A1399" s="2">
        <v>42542</v>
      </c>
      <c r="B1399" s="8">
        <f>YEAR(Sales_data[[#This Row],[Order Date]])</f>
        <v>2016</v>
      </c>
      <c r="C1399" s="8">
        <f>MONTH(Sales_data[[#This Row],[Order Date]])</f>
        <v>6</v>
      </c>
      <c r="D1399" s="8" t="str">
        <f>TEXT(Sales_data[[#This Row],[Order Date]],"mmm")</f>
        <v>Jun</v>
      </c>
      <c r="E1399" t="s">
        <v>13</v>
      </c>
      <c r="F1399" t="s">
        <v>27</v>
      </c>
      <c r="G1399" t="s">
        <v>33</v>
      </c>
      <c r="H1399" t="s">
        <v>38</v>
      </c>
      <c r="I1399" t="s">
        <v>49</v>
      </c>
      <c r="J1399" s="7">
        <v>901.97</v>
      </c>
      <c r="K1399" s="8">
        <v>1</v>
      </c>
      <c r="L1399" s="7">
        <v>74.81</v>
      </c>
    </row>
    <row r="1400" spans="1:12" x14ac:dyDescent="0.2">
      <c r="A1400" s="2">
        <v>42549</v>
      </c>
      <c r="B1400" s="8">
        <f>YEAR(Sales_data[[#This Row],[Order Date]])</f>
        <v>2016</v>
      </c>
      <c r="C1400" s="8">
        <f>MONTH(Sales_data[[#This Row],[Order Date]])</f>
        <v>6</v>
      </c>
      <c r="D1400" s="8" t="str">
        <f>TEXT(Sales_data[[#This Row],[Order Date]],"mmm")</f>
        <v>Jun</v>
      </c>
      <c r="E1400" t="s">
        <v>10</v>
      </c>
      <c r="F1400" t="s">
        <v>24</v>
      </c>
      <c r="G1400" t="s">
        <v>34</v>
      </c>
      <c r="H1400" t="s">
        <v>42</v>
      </c>
      <c r="I1400" t="s">
        <v>50</v>
      </c>
      <c r="J1400" s="7">
        <v>1547.27</v>
      </c>
      <c r="K1400" s="8">
        <v>3</v>
      </c>
      <c r="L1400" s="7">
        <v>-180.7</v>
      </c>
    </row>
    <row r="1401" spans="1:12" x14ac:dyDescent="0.2">
      <c r="A1401" s="2">
        <v>42550</v>
      </c>
      <c r="B1401" s="8">
        <f>YEAR(Sales_data[[#This Row],[Order Date]])</f>
        <v>2016</v>
      </c>
      <c r="C1401" s="8">
        <f>MONTH(Sales_data[[#This Row],[Order Date]])</f>
        <v>6</v>
      </c>
      <c r="D1401" s="8" t="str">
        <f>TEXT(Sales_data[[#This Row],[Order Date]],"mmm")</f>
        <v>Jun</v>
      </c>
      <c r="E1401" t="s">
        <v>18</v>
      </c>
      <c r="F1401" t="s">
        <v>26</v>
      </c>
      <c r="G1401" t="s">
        <v>34</v>
      </c>
      <c r="H1401" t="s">
        <v>36</v>
      </c>
      <c r="I1401" t="s">
        <v>45</v>
      </c>
      <c r="J1401" s="7">
        <v>948.8</v>
      </c>
      <c r="K1401" s="8">
        <v>6</v>
      </c>
      <c r="L1401" s="7">
        <v>82.01</v>
      </c>
    </row>
    <row r="1402" spans="1:12" x14ac:dyDescent="0.2">
      <c r="A1402" s="2">
        <v>42550</v>
      </c>
      <c r="B1402" s="8">
        <f>YEAR(Sales_data[[#This Row],[Order Date]])</f>
        <v>2016</v>
      </c>
      <c r="C1402" s="8">
        <f>MONTH(Sales_data[[#This Row],[Order Date]])</f>
        <v>6</v>
      </c>
      <c r="D1402" s="8" t="str">
        <f>TEXT(Sales_data[[#This Row],[Order Date]],"mmm")</f>
        <v>Jun</v>
      </c>
      <c r="E1402" t="s">
        <v>19</v>
      </c>
      <c r="F1402" t="s">
        <v>27</v>
      </c>
      <c r="G1402" t="s">
        <v>34</v>
      </c>
      <c r="H1402" t="s">
        <v>36</v>
      </c>
      <c r="I1402" t="s">
        <v>49</v>
      </c>
      <c r="J1402" s="7">
        <v>589.53</v>
      </c>
      <c r="K1402" s="8">
        <v>5</v>
      </c>
      <c r="L1402" s="7">
        <v>39.18</v>
      </c>
    </row>
    <row r="1403" spans="1:12" x14ac:dyDescent="0.2">
      <c r="A1403" s="2">
        <v>42551</v>
      </c>
      <c r="B1403" s="8">
        <f>YEAR(Sales_data[[#This Row],[Order Date]])</f>
        <v>2016</v>
      </c>
      <c r="C1403" s="8">
        <f>MONTH(Sales_data[[#This Row],[Order Date]])</f>
        <v>6</v>
      </c>
      <c r="D1403" s="8" t="str">
        <f>TEXT(Sales_data[[#This Row],[Order Date]],"mmm")</f>
        <v>Jun</v>
      </c>
      <c r="E1403" t="s">
        <v>16</v>
      </c>
      <c r="F1403" t="s">
        <v>27</v>
      </c>
      <c r="G1403" t="s">
        <v>34</v>
      </c>
      <c r="H1403" t="s">
        <v>43</v>
      </c>
      <c r="I1403" t="s">
        <v>51</v>
      </c>
      <c r="J1403" s="7">
        <v>628.1</v>
      </c>
      <c r="K1403" s="8">
        <v>2</v>
      </c>
      <c r="L1403" s="7">
        <v>57.19</v>
      </c>
    </row>
    <row r="1404" spans="1:12" x14ac:dyDescent="0.2">
      <c r="A1404" s="2">
        <v>42551</v>
      </c>
      <c r="B1404" s="8">
        <f>YEAR(Sales_data[[#This Row],[Order Date]])</f>
        <v>2016</v>
      </c>
      <c r="C1404" s="8">
        <f>MONTH(Sales_data[[#This Row],[Order Date]])</f>
        <v>6</v>
      </c>
      <c r="D1404" s="8" t="str">
        <f>TEXT(Sales_data[[#This Row],[Order Date]],"mmm")</f>
        <v>Jun</v>
      </c>
      <c r="E1404" t="s">
        <v>21</v>
      </c>
      <c r="F1404" t="s">
        <v>26</v>
      </c>
      <c r="G1404" t="s">
        <v>32</v>
      </c>
      <c r="H1404" t="s">
        <v>38</v>
      </c>
      <c r="I1404" t="s">
        <v>49</v>
      </c>
      <c r="J1404" s="7">
        <v>301.27999999999997</v>
      </c>
      <c r="K1404" s="8">
        <v>1</v>
      </c>
      <c r="L1404" s="7">
        <v>91.81</v>
      </c>
    </row>
    <row r="1405" spans="1:12" x14ac:dyDescent="0.2">
      <c r="A1405" s="2">
        <v>42551</v>
      </c>
      <c r="B1405" s="8">
        <f>YEAR(Sales_data[[#This Row],[Order Date]])</f>
        <v>2016</v>
      </c>
      <c r="C1405" s="8">
        <f>MONTH(Sales_data[[#This Row],[Order Date]])</f>
        <v>6</v>
      </c>
      <c r="D1405" s="8" t="str">
        <f>TEXT(Sales_data[[#This Row],[Order Date]],"mmm")</f>
        <v>Jun</v>
      </c>
      <c r="E1405" t="s">
        <v>19</v>
      </c>
      <c r="F1405" t="s">
        <v>25</v>
      </c>
      <c r="G1405" t="s">
        <v>32</v>
      </c>
      <c r="H1405" t="s">
        <v>38</v>
      </c>
      <c r="I1405" t="s">
        <v>45</v>
      </c>
      <c r="J1405" s="7">
        <v>1025.32</v>
      </c>
      <c r="K1405" s="8">
        <v>6</v>
      </c>
      <c r="L1405" s="7">
        <v>312.52999999999997</v>
      </c>
    </row>
    <row r="1406" spans="1:12" x14ac:dyDescent="0.2">
      <c r="A1406" s="2">
        <v>42551</v>
      </c>
      <c r="B1406" s="8">
        <f>YEAR(Sales_data[[#This Row],[Order Date]])</f>
        <v>2016</v>
      </c>
      <c r="C1406" s="8">
        <f>MONTH(Sales_data[[#This Row],[Order Date]])</f>
        <v>6</v>
      </c>
      <c r="D1406" s="8" t="str">
        <f>TEXT(Sales_data[[#This Row],[Order Date]],"mmm")</f>
        <v>Jun</v>
      </c>
      <c r="E1406" t="s">
        <v>9</v>
      </c>
      <c r="F1406" t="s">
        <v>27</v>
      </c>
      <c r="G1406" t="s">
        <v>34</v>
      </c>
      <c r="H1406" t="s">
        <v>38</v>
      </c>
      <c r="I1406" t="s">
        <v>46</v>
      </c>
      <c r="J1406" s="7">
        <v>49.82</v>
      </c>
      <c r="K1406" s="8">
        <v>4</v>
      </c>
      <c r="L1406" s="7">
        <v>222.49</v>
      </c>
    </row>
    <row r="1407" spans="1:12" x14ac:dyDescent="0.2">
      <c r="A1407" s="2">
        <v>42552</v>
      </c>
      <c r="B1407" s="8">
        <f>YEAR(Sales_data[[#This Row],[Order Date]])</f>
        <v>2016</v>
      </c>
      <c r="C1407" s="8">
        <f>MONTH(Sales_data[[#This Row],[Order Date]])</f>
        <v>7</v>
      </c>
      <c r="D1407" s="8" t="str">
        <f>TEXT(Sales_data[[#This Row],[Order Date]],"mmm")</f>
        <v>Jul</v>
      </c>
      <c r="E1407" t="s">
        <v>11</v>
      </c>
      <c r="F1407" t="s">
        <v>31</v>
      </c>
      <c r="G1407" t="s">
        <v>32</v>
      </c>
      <c r="H1407" t="s">
        <v>42</v>
      </c>
      <c r="I1407" t="s">
        <v>51</v>
      </c>
      <c r="J1407" s="7">
        <v>450.79</v>
      </c>
      <c r="K1407" s="8">
        <v>1</v>
      </c>
      <c r="L1407" s="7">
        <v>139</v>
      </c>
    </row>
    <row r="1408" spans="1:12" x14ac:dyDescent="0.2">
      <c r="A1408" s="2">
        <v>42552</v>
      </c>
      <c r="B1408" s="8">
        <f>YEAR(Sales_data[[#This Row],[Order Date]])</f>
        <v>2016</v>
      </c>
      <c r="C1408" s="8">
        <f>MONTH(Sales_data[[#This Row],[Order Date]])</f>
        <v>7</v>
      </c>
      <c r="D1408" s="8" t="str">
        <f>TEXT(Sales_data[[#This Row],[Order Date]],"mmm")</f>
        <v>Jul</v>
      </c>
      <c r="E1408" t="s">
        <v>20</v>
      </c>
      <c r="F1408" t="s">
        <v>29</v>
      </c>
      <c r="G1408" t="s">
        <v>33</v>
      </c>
      <c r="H1408" t="s">
        <v>41</v>
      </c>
      <c r="I1408" t="s">
        <v>45</v>
      </c>
      <c r="J1408" s="7">
        <v>1844.69</v>
      </c>
      <c r="K1408" s="8">
        <v>3</v>
      </c>
      <c r="L1408" s="7">
        <v>-178.02</v>
      </c>
    </row>
    <row r="1409" spans="1:12" x14ac:dyDescent="0.2">
      <c r="A1409" s="2">
        <v>42552</v>
      </c>
      <c r="B1409" s="8">
        <f>YEAR(Sales_data[[#This Row],[Order Date]])</f>
        <v>2016</v>
      </c>
      <c r="C1409" s="8">
        <f>MONTH(Sales_data[[#This Row],[Order Date]])</f>
        <v>7</v>
      </c>
      <c r="D1409" s="8" t="str">
        <f>TEXT(Sales_data[[#This Row],[Order Date]],"mmm")</f>
        <v>Jul</v>
      </c>
      <c r="E1409" t="s">
        <v>20</v>
      </c>
      <c r="F1409" t="s">
        <v>31</v>
      </c>
      <c r="G1409" t="s">
        <v>33</v>
      </c>
      <c r="H1409" t="s">
        <v>42</v>
      </c>
      <c r="I1409" t="s">
        <v>53</v>
      </c>
      <c r="J1409" s="7">
        <v>555.53</v>
      </c>
      <c r="K1409" s="8">
        <v>4</v>
      </c>
      <c r="L1409" s="7">
        <v>252.62</v>
      </c>
    </row>
    <row r="1410" spans="1:12" x14ac:dyDescent="0.2">
      <c r="A1410" s="2">
        <v>42554</v>
      </c>
      <c r="B1410" s="8">
        <f>YEAR(Sales_data[[#This Row],[Order Date]])</f>
        <v>2016</v>
      </c>
      <c r="C1410" s="8">
        <f>MONTH(Sales_data[[#This Row],[Order Date]])</f>
        <v>7</v>
      </c>
      <c r="D1410" s="8" t="str">
        <f>TEXT(Sales_data[[#This Row],[Order Date]],"mmm")</f>
        <v>Jul</v>
      </c>
      <c r="E1410" t="s">
        <v>14</v>
      </c>
      <c r="F1410" t="s">
        <v>29</v>
      </c>
      <c r="G1410" t="s">
        <v>34</v>
      </c>
      <c r="H1410" t="s">
        <v>41</v>
      </c>
      <c r="I1410" t="s">
        <v>50</v>
      </c>
      <c r="J1410" s="7">
        <v>496.79</v>
      </c>
      <c r="K1410" s="8">
        <v>9</v>
      </c>
      <c r="L1410" s="7">
        <v>229.06</v>
      </c>
    </row>
    <row r="1411" spans="1:12" x14ac:dyDescent="0.2">
      <c r="A1411" s="2">
        <v>42554</v>
      </c>
      <c r="B1411" s="8">
        <f>YEAR(Sales_data[[#This Row],[Order Date]])</f>
        <v>2016</v>
      </c>
      <c r="C1411" s="8">
        <f>MONTH(Sales_data[[#This Row],[Order Date]])</f>
        <v>7</v>
      </c>
      <c r="D1411" s="8" t="str">
        <f>TEXT(Sales_data[[#This Row],[Order Date]],"mmm")</f>
        <v>Jul</v>
      </c>
      <c r="E1411" t="s">
        <v>15</v>
      </c>
      <c r="F1411" t="s">
        <v>28</v>
      </c>
      <c r="G1411" t="s">
        <v>32</v>
      </c>
      <c r="H1411" t="s">
        <v>39</v>
      </c>
      <c r="I1411" t="s">
        <v>47</v>
      </c>
      <c r="J1411" s="7">
        <v>1451.17</v>
      </c>
      <c r="K1411" s="8">
        <v>9</v>
      </c>
      <c r="L1411" s="7">
        <v>67.45</v>
      </c>
    </row>
    <row r="1412" spans="1:12" x14ac:dyDescent="0.2">
      <c r="A1412" s="2">
        <v>42555</v>
      </c>
      <c r="B1412" s="8">
        <f>YEAR(Sales_data[[#This Row],[Order Date]])</f>
        <v>2016</v>
      </c>
      <c r="C1412" s="8">
        <f>MONTH(Sales_data[[#This Row],[Order Date]])</f>
        <v>7</v>
      </c>
      <c r="D1412" s="8" t="str">
        <f>TEXT(Sales_data[[#This Row],[Order Date]],"mmm")</f>
        <v>Jul</v>
      </c>
      <c r="E1412" t="s">
        <v>18</v>
      </c>
      <c r="F1412" t="s">
        <v>28</v>
      </c>
      <c r="G1412" t="s">
        <v>32</v>
      </c>
      <c r="H1412" t="s">
        <v>35</v>
      </c>
      <c r="I1412" t="s">
        <v>45</v>
      </c>
      <c r="J1412" s="7">
        <v>187.52</v>
      </c>
      <c r="K1412" s="8">
        <v>2</v>
      </c>
      <c r="L1412" s="7">
        <v>339.94</v>
      </c>
    </row>
    <row r="1413" spans="1:12" x14ac:dyDescent="0.2">
      <c r="A1413" s="2">
        <v>42557</v>
      </c>
      <c r="B1413" s="8">
        <f>YEAR(Sales_data[[#This Row],[Order Date]])</f>
        <v>2016</v>
      </c>
      <c r="C1413" s="8">
        <f>MONTH(Sales_data[[#This Row],[Order Date]])</f>
        <v>7</v>
      </c>
      <c r="D1413" s="8" t="str">
        <f>TEXT(Sales_data[[#This Row],[Order Date]],"mmm")</f>
        <v>Jul</v>
      </c>
      <c r="E1413" t="s">
        <v>15</v>
      </c>
      <c r="F1413" t="s">
        <v>27</v>
      </c>
      <c r="G1413" t="s">
        <v>34</v>
      </c>
      <c r="H1413" t="s">
        <v>42</v>
      </c>
      <c r="I1413" t="s">
        <v>44</v>
      </c>
      <c r="J1413" s="7">
        <v>1972.96</v>
      </c>
      <c r="K1413" s="8">
        <v>4</v>
      </c>
      <c r="L1413" s="7">
        <v>135.13999999999999</v>
      </c>
    </row>
    <row r="1414" spans="1:12" x14ac:dyDescent="0.2">
      <c r="A1414" s="2">
        <v>42557</v>
      </c>
      <c r="B1414" s="8">
        <f>YEAR(Sales_data[[#This Row],[Order Date]])</f>
        <v>2016</v>
      </c>
      <c r="C1414" s="8">
        <f>MONTH(Sales_data[[#This Row],[Order Date]])</f>
        <v>7</v>
      </c>
      <c r="D1414" s="8" t="str">
        <f>TEXT(Sales_data[[#This Row],[Order Date]],"mmm")</f>
        <v>Jul</v>
      </c>
      <c r="E1414" t="s">
        <v>13</v>
      </c>
      <c r="F1414" t="s">
        <v>23</v>
      </c>
      <c r="G1414" t="s">
        <v>32</v>
      </c>
      <c r="H1414" t="s">
        <v>43</v>
      </c>
      <c r="I1414" t="s">
        <v>51</v>
      </c>
      <c r="J1414" s="7">
        <v>945.8</v>
      </c>
      <c r="K1414" s="8">
        <v>4</v>
      </c>
      <c r="L1414" s="7">
        <v>207.31</v>
      </c>
    </row>
    <row r="1415" spans="1:12" x14ac:dyDescent="0.2">
      <c r="A1415" s="2">
        <v>42559</v>
      </c>
      <c r="B1415" s="8">
        <f>YEAR(Sales_data[[#This Row],[Order Date]])</f>
        <v>2016</v>
      </c>
      <c r="C1415" s="8">
        <f>MONTH(Sales_data[[#This Row],[Order Date]])</f>
        <v>7</v>
      </c>
      <c r="D1415" s="8" t="str">
        <f>TEXT(Sales_data[[#This Row],[Order Date]],"mmm")</f>
        <v>Jul</v>
      </c>
      <c r="E1415" t="s">
        <v>18</v>
      </c>
      <c r="F1415" t="s">
        <v>29</v>
      </c>
      <c r="G1415" t="s">
        <v>32</v>
      </c>
      <c r="H1415" t="s">
        <v>36</v>
      </c>
      <c r="I1415" t="s">
        <v>49</v>
      </c>
      <c r="J1415" s="7">
        <v>1058.27</v>
      </c>
      <c r="K1415" s="8">
        <v>1</v>
      </c>
      <c r="L1415" s="7">
        <v>32.74</v>
      </c>
    </row>
    <row r="1416" spans="1:12" x14ac:dyDescent="0.2">
      <c r="A1416" s="2">
        <v>42562</v>
      </c>
      <c r="B1416" s="8">
        <f>YEAR(Sales_data[[#This Row],[Order Date]])</f>
        <v>2016</v>
      </c>
      <c r="C1416" s="8">
        <f>MONTH(Sales_data[[#This Row],[Order Date]])</f>
        <v>7</v>
      </c>
      <c r="D1416" s="8" t="str">
        <f>TEXT(Sales_data[[#This Row],[Order Date]],"mmm")</f>
        <v>Jul</v>
      </c>
      <c r="E1416" t="s">
        <v>15</v>
      </c>
      <c r="F1416" t="s">
        <v>28</v>
      </c>
      <c r="G1416" t="s">
        <v>34</v>
      </c>
      <c r="H1416" t="s">
        <v>40</v>
      </c>
      <c r="I1416" t="s">
        <v>50</v>
      </c>
      <c r="J1416" s="7">
        <v>1416.51</v>
      </c>
      <c r="K1416" s="8">
        <v>9</v>
      </c>
      <c r="L1416" s="7">
        <v>195.84</v>
      </c>
    </row>
    <row r="1417" spans="1:12" x14ac:dyDescent="0.2">
      <c r="A1417" s="2">
        <v>42562</v>
      </c>
      <c r="B1417" s="8">
        <f>YEAR(Sales_data[[#This Row],[Order Date]])</f>
        <v>2016</v>
      </c>
      <c r="C1417" s="8">
        <f>MONTH(Sales_data[[#This Row],[Order Date]])</f>
        <v>7</v>
      </c>
      <c r="D1417" s="8" t="str">
        <f>TEXT(Sales_data[[#This Row],[Order Date]],"mmm")</f>
        <v>Jul</v>
      </c>
      <c r="E1417" t="s">
        <v>12</v>
      </c>
      <c r="F1417" t="s">
        <v>28</v>
      </c>
      <c r="G1417" t="s">
        <v>32</v>
      </c>
      <c r="H1417" t="s">
        <v>36</v>
      </c>
      <c r="I1417" t="s">
        <v>50</v>
      </c>
      <c r="J1417" s="7">
        <v>1748.03</v>
      </c>
      <c r="K1417" s="8">
        <v>3</v>
      </c>
      <c r="L1417" s="7">
        <v>144.97999999999999</v>
      </c>
    </row>
    <row r="1418" spans="1:12" x14ac:dyDescent="0.2">
      <c r="A1418" s="2">
        <v>42565</v>
      </c>
      <c r="B1418" s="8">
        <f>YEAR(Sales_data[[#This Row],[Order Date]])</f>
        <v>2016</v>
      </c>
      <c r="C1418" s="8">
        <f>MONTH(Sales_data[[#This Row],[Order Date]])</f>
        <v>7</v>
      </c>
      <c r="D1418" s="8" t="str">
        <f>TEXT(Sales_data[[#This Row],[Order Date]],"mmm")</f>
        <v>Jul</v>
      </c>
      <c r="E1418" t="s">
        <v>14</v>
      </c>
      <c r="F1418" t="s">
        <v>27</v>
      </c>
      <c r="G1418" t="s">
        <v>33</v>
      </c>
      <c r="H1418" t="s">
        <v>42</v>
      </c>
      <c r="I1418" t="s">
        <v>44</v>
      </c>
      <c r="J1418" s="7">
        <v>16.739999999999998</v>
      </c>
      <c r="K1418" s="8">
        <v>2</v>
      </c>
      <c r="L1418" s="7">
        <v>-89.34</v>
      </c>
    </row>
    <row r="1419" spans="1:12" x14ac:dyDescent="0.2">
      <c r="A1419" s="2">
        <v>42566</v>
      </c>
      <c r="B1419" s="8">
        <f>YEAR(Sales_data[[#This Row],[Order Date]])</f>
        <v>2016</v>
      </c>
      <c r="C1419" s="8">
        <f>MONTH(Sales_data[[#This Row],[Order Date]])</f>
        <v>7</v>
      </c>
      <c r="D1419" s="8" t="str">
        <f>TEXT(Sales_data[[#This Row],[Order Date]],"mmm")</f>
        <v>Jul</v>
      </c>
      <c r="E1419" t="s">
        <v>16</v>
      </c>
      <c r="F1419" t="s">
        <v>23</v>
      </c>
      <c r="G1419" t="s">
        <v>32</v>
      </c>
      <c r="H1419" t="s">
        <v>38</v>
      </c>
      <c r="I1419" t="s">
        <v>46</v>
      </c>
      <c r="J1419" s="7">
        <v>462.57</v>
      </c>
      <c r="K1419" s="8">
        <v>3</v>
      </c>
      <c r="L1419" s="7">
        <v>217.38</v>
      </c>
    </row>
    <row r="1420" spans="1:12" x14ac:dyDescent="0.2">
      <c r="A1420" s="2">
        <v>42566</v>
      </c>
      <c r="B1420" s="8">
        <f>YEAR(Sales_data[[#This Row],[Order Date]])</f>
        <v>2016</v>
      </c>
      <c r="C1420" s="8">
        <f>MONTH(Sales_data[[#This Row],[Order Date]])</f>
        <v>7</v>
      </c>
      <c r="D1420" s="8" t="str">
        <f>TEXT(Sales_data[[#This Row],[Order Date]],"mmm")</f>
        <v>Jul</v>
      </c>
      <c r="E1420" t="s">
        <v>19</v>
      </c>
      <c r="F1420" t="s">
        <v>26</v>
      </c>
      <c r="G1420" t="s">
        <v>34</v>
      </c>
      <c r="H1420" t="s">
        <v>35</v>
      </c>
      <c r="I1420" t="s">
        <v>53</v>
      </c>
      <c r="J1420" s="7">
        <v>423.97</v>
      </c>
      <c r="K1420" s="8">
        <v>5</v>
      </c>
      <c r="L1420" s="7">
        <v>-35.369999999999997</v>
      </c>
    </row>
    <row r="1421" spans="1:12" x14ac:dyDescent="0.2">
      <c r="A1421" s="2">
        <v>42566</v>
      </c>
      <c r="B1421" s="8">
        <f>YEAR(Sales_data[[#This Row],[Order Date]])</f>
        <v>2016</v>
      </c>
      <c r="C1421" s="8">
        <f>MONTH(Sales_data[[#This Row],[Order Date]])</f>
        <v>7</v>
      </c>
      <c r="D1421" s="8" t="str">
        <f>TEXT(Sales_data[[#This Row],[Order Date]],"mmm")</f>
        <v>Jul</v>
      </c>
      <c r="E1421" t="s">
        <v>12</v>
      </c>
      <c r="F1421" t="s">
        <v>23</v>
      </c>
      <c r="G1421" t="s">
        <v>34</v>
      </c>
      <c r="H1421" t="s">
        <v>35</v>
      </c>
      <c r="I1421" t="s">
        <v>50</v>
      </c>
      <c r="J1421" s="7">
        <v>717.32</v>
      </c>
      <c r="K1421" s="8">
        <v>9</v>
      </c>
      <c r="L1421" s="7">
        <v>368.56</v>
      </c>
    </row>
    <row r="1422" spans="1:12" x14ac:dyDescent="0.2">
      <c r="A1422" s="2">
        <v>42569</v>
      </c>
      <c r="B1422" s="8">
        <f>YEAR(Sales_data[[#This Row],[Order Date]])</f>
        <v>2016</v>
      </c>
      <c r="C1422" s="8">
        <f>MONTH(Sales_data[[#This Row],[Order Date]])</f>
        <v>7</v>
      </c>
      <c r="D1422" s="8" t="str">
        <f>TEXT(Sales_data[[#This Row],[Order Date]],"mmm")</f>
        <v>Jul</v>
      </c>
      <c r="E1422" t="s">
        <v>12</v>
      </c>
      <c r="F1422" t="s">
        <v>22</v>
      </c>
      <c r="G1422" t="s">
        <v>33</v>
      </c>
      <c r="H1422" t="s">
        <v>38</v>
      </c>
      <c r="I1422" t="s">
        <v>47</v>
      </c>
      <c r="J1422" s="7">
        <v>1216.3699999999999</v>
      </c>
      <c r="K1422" s="8">
        <v>8</v>
      </c>
      <c r="L1422" s="7">
        <v>146</v>
      </c>
    </row>
    <row r="1423" spans="1:12" x14ac:dyDescent="0.2">
      <c r="A1423" s="2">
        <v>42569</v>
      </c>
      <c r="B1423" s="8">
        <f>YEAR(Sales_data[[#This Row],[Order Date]])</f>
        <v>2016</v>
      </c>
      <c r="C1423" s="8">
        <f>MONTH(Sales_data[[#This Row],[Order Date]])</f>
        <v>7</v>
      </c>
      <c r="D1423" s="8" t="str">
        <f>TEXT(Sales_data[[#This Row],[Order Date]],"mmm")</f>
        <v>Jul</v>
      </c>
      <c r="E1423" t="s">
        <v>20</v>
      </c>
      <c r="F1423" t="s">
        <v>27</v>
      </c>
      <c r="G1423" t="s">
        <v>33</v>
      </c>
      <c r="H1423" t="s">
        <v>37</v>
      </c>
      <c r="I1423" t="s">
        <v>47</v>
      </c>
      <c r="J1423" s="7">
        <v>1717.2</v>
      </c>
      <c r="K1423" s="8">
        <v>9</v>
      </c>
      <c r="L1423" s="7">
        <v>-22.24</v>
      </c>
    </row>
    <row r="1424" spans="1:12" x14ac:dyDescent="0.2">
      <c r="A1424" s="2">
        <v>42570</v>
      </c>
      <c r="B1424" s="8">
        <f>YEAR(Sales_data[[#This Row],[Order Date]])</f>
        <v>2016</v>
      </c>
      <c r="C1424" s="8">
        <f>MONTH(Sales_data[[#This Row],[Order Date]])</f>
        <v>7</v>
      </c>
      <c r="D1424" s="8" t="str">
        <f>TEXT(Sales_data[[#This Row],[Order Date]],"mmm")</f>
        <v>Jul</v>
      </c>
      <c r="E1424" t="s">
        <v>10</v>
      </c>
      <c r="F1424" t="s">
        <v>28</v>
      </c>
      <c r="G1424" t="s">
        <v>33</v>
      </c>
      <c r="H1424" t="s">
        <v>40</v>
      </c>
      <c r="I1424" t="s">
        <v>48</v>
      </c>
      <c r="J1424" s="7">
        <v>661.17</v>
      </c>
      <c r="K1424" s="8">
        <v>4</v>
      </c>
      <c r="L1424" s="7">
        <v>-34.32</v>
      </c>
    </row>
    <row r="1425" spans="1:12" x14ac:dyDescent="0.2">
      <c r="A1425" s="2">
        <v>42571</v>
      </c>
      <c r="B1425" s="8">
        <f>YEAR(Sales_data[[#This Row],[Order Date]])</f>
        <v>2016</v>
      </c>
      <c r="C1425" s="8">
        <f>MONTH(Sales_data[[#This Row],[Order Date]])</f>
        <v>7</v>
      </c>
      <c r="D1425" s="8" t="str">
        <f>TEXT(Sales_data[[#This Row],[Order Date]],"mmm")</f>
        <v>Jul</v>
      </c>
      <c r="E1425" t="s">
        <v>12</v>
      </c>
      <c r="F1425" t="s">
        <v>29</v>
      </c>
      <c r="G1425" t="s">
        <v>32</v>
      </c>
      <c r="H1425" t="s">
        <v>38</v>
      </c>
      <c r="I1425" t="s">
        <v>50</v>
      </c>
      <c r="J1425" s="7">
        <v>478.46</v>
      </c>
      <c r="K1425" s="8">
        <v>2</v>
      </c>
      <c r="L1425" s="7">
        <v>-138.69999999999999</v>
      </c>
    </row>
    <row r="1426" spans="1:12" x14ac:dyDescent="0.2">
      <c r="A1426" s="2">
        <v>42571</v>
      </c>
      <c r="B1426" s="8">
        <f>YEAR(Sales_data[[#This Row],[Order Date]])</f>
        <v>2016</v>
      </c>
      <c r="C1426" s="8">
        <f>MONTH(Sales_data[[#This Row],[Order Date]])</f>
        <v>7</v>
      </c>
      <c r="D1426" s="8" t="str">
        <f>TEXT(Sales_data[[#This Row],[Order Date]],"mmm")</f>
        <v>Jul</v>
      </c>
      <c r="E1426" t="s">
        <v>10</v>
      </c>
      <c r="F1426" t="s">
        <v>23</v>
      </c>
      <c r="G1426" t="s">
        <v>34</v>
      </c>
      <c r="H1426" t="s">
        <v>37</v>
      </c>
      <c r="I1426" t="s">
        <v>51</v>
      </c>
      <c r="J1426" s="7">
        <v>1077.8800000000001</v>
      </c>
      <c r="K1426" s="8">
        <v>9</v>
      </c>
      <c r="L1426" s="7">
        <v>345.33</v>
      </c>
    </row>
    <row r="1427" spans="1:12" x14ac:dyDescent="0.2">
      <c r="A1427" s="2">
        <v>42571</v>
      </c>
      <c r="B1427" s="8">
        <f>YEAR(Sales_data[[#This Row],[Order Date]])</f>
        <v>2016</v>
      </c>
      <c r="C1427" s="8">
        <f>MONTH(Sales_data[[#This Row],[Order Date]])</f>
        <v>7</v>
      </c>
      <c r="D1427" s="8" t="str">
        <f>TEXT(Sales_data[[#This Row],[Order Date]],"mmm")</f>
        <v>Jul</v>
      </c>
      <c r="E1427" t="s">
        <v>20</v>
      </c>
      <c r="F1427" t="s">
        <v>25</v>
      </c>
      <c r="G1427" t="s">
        <v>34</v>
      </c>
      <c r="H1427" t="s">
        <v>43</v>
      </c>
      <c r="I1427" t="s">
        <v>52</v>
      </c>
      <c r="J1427" s="7">
        <v>1244.3499999999999</v>
      </c>
      <c r="K1427" s="8">
        <v>9</v>
      </c>
      <c r="L1427" s="7">
        <v>-51.62</v>
      </c>
    </row>
    <row r="1428" spans="1:12" x14ac:dyDescent="0.2">
      <c r="A1428" s="2">
        <v>42572</v>
      </c>
      <c r="B1428" s="8">
        <f>YEAR(Sales_data[[#This Row],[Order Date]])</f>
        <v>2016</v>
      </c>
      <c r="C1428" s="8">
        <f>MONTH(Sales_data[[#This Row],[Order Date]])</f>
        <v>7</v>
      </c>
      <c r="D1428" s="8" t="str">
        <f>TEXT(Sales_data[[#This Row],[Order Date]],"mmm")</f>
        <v>Jul</v>
      </c>
      <c r="E1428" t="s">
        <v>19</v>
      </c>
      <c r="F1428" t="s">
        <v>31</v>
      </c>
      <c r="G1428" t="s">
        <v>32</v>
      </c>
      <c r="H1428" t="s">
        <v>36</v>
      </c>
      <c r="I1428" t="s">
        <v>52</v>
      </c>
      <c r="J1428" s="7">
        <v>869.37</v>
      </c>
      <c r="K1428" s="8">
        <v>9</v>
      </c>
      <c r="L1428" s="7">
        <v>362.21</v>
      </c>
    </row>
    <row r="1429" spans="1:12" x14ac:dyDescent="0.2">
      <c r="A1429" s="2">
        <v>42572</v>
      </c>
      <c r="B1429" s="8">
        <f>YEAR(Sales_data[[#This Row],[Order Date]])</f>
        <v>2016</v>
      </c>
      <c r="C1429" s="8">
        <f>MONTH(Sales_data[[#This Row],[Order Date]])</f>
        <v>7</v>
      </c>
      <c r="D1429" s="8" t="str">
        <f>TEXT(Sales_data[[#This Row],[Order Date]],"mmm")</f>
        <v>Jul</v>
      </c>
      <c r="E1429" t="s">
        <v>9</v>
      </c>
      <c r="F1429" t="s">
        <v>26</v>
      </c>
      <c r="G1429" t="s">
        <v>32</v>
      </c>
      <c r="H1429" t="s">
        <v>42</v>
      </c>
      <c r="I1429" t="s">
        <v>45</v>
      </c>
      <c r="J1429" s="7">
        <v>1196.0999999999999</v>
      </c>
      <c r="K1429" s="8">
        <v>8</v>
      </c>
      <c r="L1429" s="7">
        <v>40.25</v>
      </c>
    </row>
    <row r="1430" spans="1:12" x14ac:dyDescent="0.2">
      <c r="A1430" s="2">
        <v>42572</v>
      </c>
      <c r="B1430" s="8">
        <f>YEAR(Sales_data[[#This Row],[Order Date]])</f>
        <v>2016</v>
      </c>
      <c r="C1430" s="8">
        <f>MONTH(Sales_data[[#This Row],[Order Date]])</f>
        <v>7</v>
      </c>
      <c r="D1430" s="8" t="str">
        <f>TEXT(Sales_data[[#This Row],[Order Date]],"mmm")</f>
        <v>Jul</v>
      </c>
      <c r="E1430" t="s">
        <v>13</v>
      </c>
      <c r="F1430" t="s">
        <v>30</v>
      </c>
      <c r="G1430" t="s">
        <v>34</v>
      </c>
      <c r="H1430" t="s">
        <v>39</v>
      </c>
      <c r="I1430" t="s">
        <v>53</v>
      </c>
      <c r="J1430" s="7">
        <v>1718</v>
      </c>
      <c r="K1430" s="8">
        <v>3</v>
      </c>
      <c r="L1430" s="7">
        <v>26.73</v>
      </c>
    </row>
    <row r="1431" spans="1:12" x14ac:dyDescent="0.2">
      <c r="A1431" s="2">
        <v>42575</v>
      </c>
      <c r="B1431" s="8">
        <f>YEAR(Sales_data[[#This Row],[Order Date]])</f>
        <v>2016</v>
      </c>
      <c r="C1431" s="8">
        <f>MONTH(Sales_data[[#This Row],[Order Date]])</f>
        <v>7</v>
      </c>
      <c r="D1431" s="8" t="str">
        <f>TEXT(Sales_data[[#This Row],[Order Date]],"mmm")</f>
        <v>Jul</v>
      </c>
      <c r="E1431" t="s">
        <v>15</v>
      </c>
      <c r="F1431" t="s">
        <v>27</v>
      </c>
      <c r="G1431" t="s">
        <v>34</v>
      </c>
      <c r="H1431" t="s">
        <v>35</v>
      </c>
      <c r="I1431" t="s">
        <v>48</v>
      </c>
      <c r="J1431" s="7">
        <v>1552.02</v>
      </c>
      <c r="K1431" s="8">
        <v>5</v>
      </c>
      <c r="L1431" s="7">
        <v>399.41</v>
      </c>
    </row>
    <row r="1432" spans="1:12" x14ac:dyDescent="0.2">
      <c r="A1432" s="2">
        <v>42575</v>
      </c>
      <c r="B1432" s="8">
        <f>YEAR(Sales_data[[#This Row],[Order Date]])</f>
        <v>2016</v>
      </c>
      <c r="C1432" s="8">
        <f>MONTH(Sales_data[[#This Row],[Order Date]])</f>
        <v>7</v>
      </c>
      <c r="D1432" s="8" t="str">
        <f>TEXT(Sales_data[[#This Row],[Order Date]],"mmm")</f>
        <v>Jul</v>
      </c>
      <c r="E1432" t="s">
        <v>9</v>
      </c>
      <c r="F1432" t="s">
        <v>25</v>
      </c>
      <c r="G1432" t="s">
        <v>34</v>
      </c>
      <c r="H1432" t="s">
        <v>36</v>
      </c>
      <c r="I1432" t="s">
        <v>44</v>
      </c>
      <c r="J1432" s="7">
        <v>459.5</v>
      </c>
      <c r="K1432" s="8">
        <v>6</v>
      </c>
      <c r="L1432" s="7">
        <v>281.45</v>
      </c>
    </row>
    <row r="1433" spans="1:12" x14ac:dyDescent="0.2">
      <c r="A1433" s="2">
        <v>42575</v>
      </c>
      <c r="B1433" s="8">
        <f>YEAR(Sales_data[[#This Row],[Order Date]])</f>
        <v>2016</v>
      </c>
      <c r="C1433" s="8">
        <f>MONTH(Sales_data[[#This Row],[Order Date]])</f>
        <v>7</v>
      </c>
      <c r="D1433" s="8" t="str">
        <f>TEXT(Sales_data[[#This Row],[Order Date]],"mmm")</f>
        <v>Jul</v>
      </c>
      <c r="E1433" t="s">
        <v>15</v>
      </c>
      <c r="F1433" t="s">
        <v>28</v>
      </c>
      <c r="G1433" t="s">
        <v>32</v>
      </c>
      <c r="H1433" t="s">
        <v>42</v>
      </c>
      <c r="I1433" t="s">
        <v>50</v>
      </c>
      <c r="J1433" s="7">
        <v>396.05</v>
      </c>
      <c r="K1433" s="8">
        <v>6</v>
      </c>
      <c r="L1433" s="7">
        <v>-97.55</v>
      </c>
    </row>
    <row r="1434" spans="1:12" x14ac:dyDescent="0.2">
      <c r="A1434" s="2">
        <v>42576</v>
      </c>
      <c r="B1434" s="8">
        <f>YEAR(Sales_data[[#This Row],[Order Date]])</f>
        <v>2016</v>
      </c>
      <c r="C1434" s="8">
        <f>MONTH(Sales_data[[#This Row],[Order Date]])</f>
        <v>7</v>
      </c>
      <c r="D1434" s="8" t="str">
        <f>TEXT(Sales_data[[#This Row],[Order Date]],"mmm")</f>
        <v>Jul</v>
      </c>
      <c r="E1434" t="s">
        <v>19</v>
      </c>
      <c r="F1434" t="s">
        <v>23</v>
      </c>
      <c r="G1434" t="s">
        <v>33</v>
      </c>
      <c r="H1434" t="s">
        <v>39</v>
      </c>
      <c r="I1434" t="s">
        <v>49</v>
      </c>
      <c r="J1434" s="7">
        <v>1574.87</v>
      </c>
      <c r="K1434" s="8">
        <v>9</v>
      </c>
      <c r="L1434" s="7">
        <v>381.96</v>
      </c>
    </row>
    <row r="1435" spans="1:12" x14ac:dyDescent="0.2">
      <c r="A1435" s="2">
        <v>42578</v>
      </c>
      <c r="B1435" s="8">
        <f>YEAR(Sales_data[[#This Row],[Order Date]])</f>
        <v>2016</v>
      </c>
      <c r="C1435" s="8">
        <f>MONTH(Sales_data[[#This Row],[Order Date]])</f>
        <v>7</v>
      </c>
      <c r="D1435" s="8" t="str">
        <f>TEXT(Sales_data[[#This Row],[Order Date]],"mmm")</f>
        <v>Jul</v>
      </c>
      <c r="E1435" t="s">
        <v>11</v>
      </c>
      <c r="F1435" t="s">
        <v>30</v>
      </c>
      <c r="G1435" t="s">
        <v>32</v>
      </c>
      <c r="H1435" t="s">
        <v>41</v>
      </c>
      <c r="I1435" t="s">
        <v>51</v>
      </c>
      <c r="J1435" s="7">
        <v>1068.9000000000001</v>
      </c>
      <c r="K1435" s="8">
        <v>2</v>
      </c>
      <c r="L1435" s="7">
        <v>29.84</v>
      </c>
    </row>
    <row r="1436" spans="1:12" x14ac:dyDescent="0.2">
      <c r="A1436" s="2">
        <v>42579</v>
      </c>
      <c r="B1436" s="8">
        <f>YEAR(Sales_data[[#This Row],[Order Date]])</f>
        <v>2016</v>
      </c>
      <c r="C1436" s="8">
        <f>MONTH(Sales_data[[#This Row],[Order Date]])</f>
        <v>7</v>
      </c>
      <c r="D1436" s="8" t="str">
        <f>TEXT(Sales_data[[#This Row],[Order Date]],"mmm")</f>
        <v>Jul</v>
      </c>
      <c r="E1436" t="s">
        <v>20</v>
      </c>
      <c r="F1436" t="s">
        <v>25</v>
      </c>
      <c r="G1436" t="s">
        <v>34</v>
      </c>
      <c r="H1436" t="s">
        <v>40</v>
      </c>
      <c r="I1436" t="s">
        <v>52</v>
      </c>
      <c r="J1436" s="7">
        <v>1164.1199999999999</v>
      </c>
      <c r="K1436" s="8">
        <v>7</v>
      </c>
      <c r="L1436" s="7">
        <v>-124.19</v>
      </c>
    </row>
    <row r="1437" spans="1:12" x14ac:dyDescent="0.2">
      <c r="A1437" s="2">
        <v>42580</v>
      </c>
      <c r="B1437" s="8">
        <f>YEAR(Sales_data[[#This Row],[Order Date]])</f>
        <v>2016</v>
      </c>
      <c r="C1437" s="8">
        <f>MONTH(Sales_data[[#This Row],[Order Date]])</f>
        <v>7</v>
      </c>
      <c r="D1437" s="8" t="str">
        <f>TEXT(Sales_data[[#This Row],[Order Date]],"mmm")</f>
        <v>Jul</v>
      </c>
      <c r="E1437" t="s">
        <v>17</v>
      </c>
      <c r="F1437" t="s">
        <v>25</v>
      </c>
      <c r="G1437" t="s">
        <v>34</v>
      </c>
      <c r="H1437" t="s">
        <v>37</v>
      </c>
      <c r="I1437" t="s">
        <v>53</v>
      </c>
      <c r="J1437" s="7">
        <v>1721.89</v>
      </c>
      <c r="K1437" s="8">
        <v>2</v>
      </c>
      <c r="L1437" s="7">
        <v>287.87</v>
      </c>
    </row>
    <row r="1438" spans="1:12" x14ac:dyDescent="0.2">
      <c r="A1438" s="2">
        <v>42580</v>
      </c>
      <c r="B1438" s="8">
        <f>YEAR(Sales_data[[#This Row],[Order Date]])</f>
        <v>2016</v>
      </c>
      <c r="C1438" s="8">
        <f>MONTH(Sales_data[[#This Row],[Order Date]])</f>
        <v>7</v>
      </c>
      <c r="D1438" s="8" t="str">
        <f>TEXT(Sales_data[[#This Row],[Order Date]],"mmm")</f>
        <v>Jul</v>
      </c>
      <c r="E1438" t="s">
        <v>20</v>
      </c>
      <c r="F1438" t="s">
        <v>31</v>
      </c>
      <c r="G1438" t="s">
        <v>34</v>
      </c>
      <c r="H1438" t="s">
        <v>41</v>
      </c>
      <c r="I1438" t="s">
        <v>48</v>
      </c>
      <c r="J1438" s="7">
        <v>318.33</v>
      </c>
      <c r="K1438" s="8">
        <v>1</v>
      </c>
      <c r="L1438" s="7">
        <v>312.13</v>
      </c>
    </row>
    <row r="1439" spans="1:12" x14ac:dyDescent="0.2">
      <c r="A1439" s="2">
        <v>42581</v>
      </c>
      <c r="B1439" s="8">
        <f>YEAR(Sales_data[[#This Row],[Order Date]])</f>
        <v>2016</v>
      </c>
      <c r="C1439" s="8">
        <f>MONTH(Sales_data[[#This Row],[Order Date]])</f>
        <v>7</v>
      </c>
      <c r="D1439" s="8" t="str">
        <f>TEXT(Sales_data[[#This Row],[Order Date]],"mmm")</f>
        <v>Jul</v>
      </c>
      <c r="E1439" t="s">
        <v>18</v>
      </c>
      <c r="F1439" t="s">
        <v>30</v>
      </c>
      <c r="G1439" t="s">
        <v>32</v>
      </c>
      <c r="H1439" t="s">
        <v>39</v>
      </c>
      <c r="I1439" t="s">
        <v>49</v>
      </c>
      <c r="J1439" s="7">
        <v>1217.3699999999999</v>
      </c>
      <c r="K1439" s="8">
        <v>6</v>
      </c>
      <c r="L1439" s="7">
        <v>317.38</v>
      </c>
    </row>
    <row r="1440" spans="1:12" x14ac:dyDescent="0.2">
      <c r="A1440" s="2">
        <v>42581</v>
      </c>
      <c r="B1440" s="8">
        <f>YEAR(Sales_data[[#This Row],[Order Date]])</f>
        <v>2016</v>
      </c>
      <c r="C1440" s="8">
        <f>MONTH(Sales_data[[#This Row],[Order Date]])</f>
        <v>7</v>
      </c>
      <c r="D1440" s="8" t="str">
        <f>TEXT(Sales_data[[#This Row],[Order Date]],"mmm")</f>
        <v>Jul</v>
      </c>
      <c r="E1440" t="s">
        <v>15</v>
      </c>
      <c r="F1440" t="s">
        <v>25</v>
      </c>
      <c r="G1440" t="s">
        <v>33</v>
      </c>
      <c r="H1440" t="s">
        <v>42</v>
      </c>
      <c r="I1440" t="s">
        <v>49</v>
      </c>
      <c r="J1440" s="7">
        <v>285.08</v>
      </c>
      <c r="K1440" s="8">
        <v>9</v>
      </c>
      <c r="L1440" s="7">
        <v>87.09</v>
      </c>
    </row>
    <row r="1441" spans="1:12" x14ac:dyDescent="0.2">
      <c r="A1441" s="2">
        <v>42581</v>
      </c>
      <c r="B1441" s="8">
        <f>YEAR(Sales_data[[#This Row],[Order Date]])</f>
        <v>2016</v>
      </c>
      <c r="C1441" s="8">
        <f>MONTH(Sales_data[[#This Row],[Order Date]])</f>
        <v>7</v>
      </c>
      <c r="D1441" s="8" t="str">
        <f>TEXT(Sales_data[[#This Row],[Order Date]],"mmm")</f>
        <v>Jul</v>
      </c>
      <c r="E1441" t="s">
        <v>19</v>
      </c>
      <c r="F1441" t="s">
        <v>30</v>
      </c>
      <c r="G1441" t="s">
        <v>33</v>
      </c>
      <c r="H1441" t="s">
        <v>40</v>
      </c>
      <c r="I1441" t="s">
        <v>50</v>
      </c>
      <c r="J1441" s="7">
        <v>1616.67</v>
      </c>
      <c r="K1441" s="8">
        <v>4</v>
      </c>
      <c r="L1441" s="7">
        <v>203.06</v>
      </c>
    </row>
    <row r="1442" spans="1:12" x14ac:dyDescent="0.2">
      <c r="A1442" s="2">
        <v>42583</v>
      </c>
      <c r="B1442" s="8">
        <f>YEAR(Sales_data[[#This Row],[Order Date]])</f>
        <v>2016</v>
      </c>
      <c r="C1442" s="8">
        <f>MONTH(Sales_data[[#This Row],[Order Date]])</f>
        <v>8</v>
      </c>
      <c r="D1442" s="8" t="str">
        <f>TEXT(Sales_data[[#This Row],[Order Date]],"mmm")</f>
        <v>Aug</v>
      </c>
      <c r="E1442" t="s">
        <v>11</v>
      </c>
      <c r="F1442" t="s">
        <v>29</v>
      </c>
      <c r="G1442" t="s">
        <v>33</v>
      </c>
      <c r="H1442" t="s">
        <v>39</v>
      </c>
      <c r="I1442" t="s">
        <v>53</v>
      </c>
      <c r="J1442" s="7">
        <v>626.42999999999995</v>
      </c>
      <c r="K1442" s="8">
        <v>5</v>
      </c>
      <c r="L1442" s="7">
        <v>-20.350000000000001</v>
      </c>
    </row>
    <row r="1443" spans="1:12" x14ac:dyDescent="0.2">
      <c r="A1443" s="2">
        <v>42583</v>
      </c>
      <c r="B1443" s="8">
        <f>YEAR(Sales_data[[#This Row],[Order Date]])</f>
        <v>2016</v>
      </c>
      <c r="C1443" s="8">
        <f>MONTH(Sales_data[[#This Row],[Order Date]])</f>
        <v>8</v>
      </c>
      <c r="D1443" s="8" t="str">
        <f>TEXT(Sales_data[[#This Row],[Order Date]],"mmm")</f>
        <v>Aug</v>
      </c>
      <c r="E1443" t="s">
        <v>17</v>
      </c>
      <c r="F1443" t="s">
        <v>27</v>
      </c>
      <c r="G1443" t="s">
        <v>32</v>
      </c>
      <c r="H1443" t="s">
        <v>38</v>
      </c>
      <c r="I1443" t="s">
        <v>47</v>
      </c>
      <c r="J1443" s="7">
        <v>206.33</v>
      </c>
      <c r="K1443" s="8">
        <v>6</v>
      </c>
      <c r="L1443" s="7">
        <v>207.93</v>
      </c>
    </row>
    <row r="1444" spans="1:12" x14ac:dyDescent="0.2">
      <c r="A1444" s="2">
        <v>42585</v>
      </c>
      <c r="B1444" s="8">
        <f>YEAR(Sales_data[[#This Row],[Order Date]])</f>
        <v>2016</v>
      </c>
      <c r="C1444" s="8">
        <f>MONTH(Sales_data[[#This Row],[Order Date]])</f>
        <v>8</v>
      </c>
      <c r="D1444" s="8" t="str">
        <f>TEXT(Sales_data[[#This Row],[Order Date]],"mmm")</f>
        <v>Aug</v>
      </c>
      <c r="E1444" t="s">
        <v>18</v>
      </c>
      <c r="F1444" t="s">
        <v>28</v>
      </c>
      <c r="G1444" t="s">
        <v>34</v>
      </c>
      <c r="H1444" t="s">
        <v>36</v>
      </c>
      <c r="I1444" t="s">
        <v>53</v>
      </c>
      <c r="J1444" s="7">
        <v>766.68</v>
      </c>
      <c r="K1444" s="8">
        <v>5</v>
      </c>
      <c r="L1444" s="7">
        <v>-70.239999999999995</v>
      </c>
    </row>
    <row r="1445" spans="1:12" x14ac:dyDescent="0.2">
      <c r="A1445" s="2">
        <v>42586</v>
      </c>
      <c r="B1445" s="8">
        <f>YEAR(Sales_data[[#This Row],[Order Date]])</f>
        <v>2016</v>
      </c>
      <c r="C1445" s="8">
        <f>MONTH(Sales_data[[#This Row],[Order Date]])</f>
        <v>8</v>
      </c>
      <c r="D1445" s="8" t="str">
        <f>TEXT(Sales_data[[#This Row],[Order Date]],"mmm")</f>
        <v>Aug</v>
      </c>
      <c r="E1445" t="s">
        <v>14</v>
      </c>
      <c r="F1445" t="s">
        <v>27</v>
      </c>
      <c r="G1445" t="s">
        <v>33</v>
      </c>
      <c r="H1445" t="s">
        <v>42</v>
      </c>
      <c r="I1445" t="s">
        <v>45</v>
      </c>
      <c r="J1445" s="7">
        <v>1923.66</v>
      </c>
      <c r="K1445" s="8">
        <v>7</v>
      </c>
      <c r="L1445" s="7">
        <v>-29.92</v>
      </c>
    </row>
    <row r="1446" spans="1:12" x14ac:dyDescent="0.2">
      <c r="A1446" s="2">
        <v>42586</v>
      </c>
      <c r="B1446" s="8">
        <f>YEAR(Sales_data[[#This Row],[Order Date]])</f>
        <v>2016</v>
      </c>
      <c r="C1446" s="8">
        <f>MONTH(Sales_data[[#This Row],[Order Date]])</f>
        <v>8</v>
      </c>
      <c r="D1446" s="8" t="str">
        <f>TEXT(Sales_data[[#This Row],[Order Date]],"mmm")</f>
        <v>Aug</v>
      </c>
      <c r="E1446" t="s">
        <v>9</v>
      </c>
      <c r="F1446" t="s">
        <v>28</v>
      </c>
      <c r="G1446" t="s">
        <v>34</v>
      </c>
      <c r="H1446" t="s">
        <v>37</v>
      </c>
      <c r="I1446" t="s">
        <v>50</v>
      </c>
      <c r="J1446" s="7">
        <v>1885.25</v>
      </c>
      <c r="K1446" s="8">
        <v>5</v>
      </c>
      <c r="L1446" s="7">
        <v>108.05</v>
      </c>
    </row>
    <row r="1447" spans="1:12" x14ac:dyDescent="0.2">
      <c r="A1447" s="2">
        <v>42586</v>
      </c>
      <c r="B1447" s="8">
        <f>YEAR(Sales_data[[#This Row],[Order Date]])</f>
        <v>2016</v>
      </c>
      <c r="C1447" s="8">
        <f>MONTH(Sales_data[[#This Row],[Order Date]])</f>
        <v>8</v>
      </c>
      <c r="D1447" s="8" t="str">
        <f>TEXT(Sales_data[[#This Row],[Order Date]],"mmm")</f>
        <v>Aug</v>
      </c>
      <c r="E1447" t="s">
        <v>20</v>
      </c>
      <c r="F1447" t="s">
        <v>26</v>
      </c>
      <c r="G1447" t="s">
        <v>32</v>
      </c>
      <c r="H1447" t="s">
        <v>35</v>
      </c>
      <c r="I1447" t="s">
        <v>46</v>
      </c>
      <c r="J1447" s="7">
        <v>1699.02</v>
      </c>
      <c r="K1447" s="8">
        <v>7</v>
      </c>
      <c r="L1447" s="7">
        <v>-94.77</v>
      </c>
    </row>
    <row r="1448" spans="1:12" x14ac:dyDescent="0.2">
      <c r="A1448" s="2">
        <v>42587</v>
      </c>
      <c r="B1448" s="8">
        <f>YEAR(Sales_data[[#This Row],[Order Date]])</f>
        <v>2016</v>
      </c>
      <c r="C1448" s="8">
        <f>MONTH(Sales_data[[#This Row],[Order Date]])</f>
        <v>8</v>
      </c>
      <c r="D1448" s="8" t="str">
        <f>TEXT(Sales_data[[#This Row],[Order Date]],"mmm")</f>
        <v>Aug</v>
      </c>
      <c r="E1448" t="s">
        <v>19</v>
      </c>
      <c r="F1448" t="s">
        <v>23</v>
      </c>
      <c r="G1448" t="s">
        <v>34</v>
      </c>
      <c r="H1448" t="s">
        <v>38</v>
      </c>
      <c r="I1448" t="s">
        <v>45</v>
      </c>
      <c r="J1448" s="7">
        <v>814.18</v>
      </c>
      <c r="K1448" s="8">
        <v>1</v>
      </c>
      <c r="L1448" s="7">
        <v>353.85</v>
      </c>
    </row>
    <row r="1449" spans="1:12" x14ac:dyDescent="0.2">
      <c r="A1449" s="2">
        <v>42587</v>
      </c>
      <c r="B1449" s="8">
        <f>YEAR(Sales_data[[#This Row],[Order Date]])</f>
        <v>2016</v>
      </c>
      <c r="C1449" s="8">
        <f>MONTH(Sales_data[[#This Row],[Order Date]])</f>
        <v>8</v>
      </c>
      <c r="D1449" s="8" t="str">
        <f>TEXT(Sales_data[[#This Row],[Order Date]],"mmm")</f>
        <v>Aug</v>
      </c>
      <c r="E1449" t="s">
        <v>19</v>
      </c>
      <c r="F1449" t="s">
        <v>27</v>
      </c>
      <c r="G1449" t="s">
        <v>32</v>
      </c>
      <c r="H1449" t="s">
        <v>36</v>
      </c>
      <c r="I1449" t="s">
        <v>46</v>
      </c>
      <c r="J1449" s="7">
        <v>403</v>
      </c>
      <c r="K1449" s="8">
        <v>6</v>
      </c>
      <c r="L1449" s="7">
        <v>50.71</v>
      </c>
    </row>
    <row r="1450" spans="1:12" x14ac:dyDescent="0.2">
      <c r="A1450" s="2">
        <v>42587</v>
      </c>
      <c r="B1450" s="8">
        <f>YEAR(Sales_data[[#This Row],[Order Date]])</f>
        <v>2016</v>
      </c>
      <c r="C1450" s="8">
        <f>MONTH(Sales_data[[#This Row],[Order Date]])</f>
        <v>8</v>
      </c>
      <c r="D1450" s="8" t="str">
        <f>TEXT(Sales_data[[#This Row],[Order Date]],"mmm")</f>
        <v>Aug</v>
      </c>
      <c r="E1450" t="s">
        <v>13</v>
      </c>
      <c r="F1450" t="s">
        <v>23</v>
      </c>
      <c r="G1450" t="s">
        <v>34</v>
      </c>
      <c r="H1450" t="s">
        <v>39</v>
      </c>
      <c r="I1450" t="s">
        <v>52</v>
      </c>
      <c r="J1450" s="7">
        <v>1825.34</v>
      </c>
      <c r="K1450" s="8">
        <v>8</v>
      </c>
      <c r="L1450" s="7">
        <v>253.96</v>
      </c>
    </row>
    <row r="1451" spans="1:12" x14ac:dyDescent="0.2">
      <c r="A1451" s="2">
        <v>42587</v>
      </c>
      <c r="B1451" s="8">
        <f>YEAR(Sales_data[[#This Row],[Order Date]])</f>
        <v>2016</v>
      </c>
      <c r="C1451" s="8">
        <f>MONTH(Sales_data[[#This Row],[Order Date]])</f>
        <v>8</v>
      </c>
      <c r="D1451" s="8" t="str">
        <f>TEXT(Sales_data[[#This Row],[Order Date]],"mmm")</f>
        <v>Aug</v>
      </c>
      <c r="E1451" t="s">
        <v>14</v>
      </c>
      <c r="F1451" t="s">
        <v>24</v>
      </c>
      <c r="G1451" t="s">
        <v>33</v>
      </c>
      <c r="H1451" t="s">
        <v>41</v>
      </c>
      <c r="I1451" t="s">
        <v>50</v>
      </c>
      <c r="J1451" s="7">
        <v>1876.6</v>
      </c>
      <c r="K1451" s="8">
        <v>6</v>
      </c>
      <c r="L1451" s="7">
        <v>112.42</v>
      </c>
    </row>
    <row r="1452" spans="1:12" x14ac:dyDescent="0.2">
      <c r="A1452" s="2">
        <v>42589</v>
      </c>
      <c r="B1452" s="8">
        <f>YEAR(Sales_data[[#This Row],[Order Date]])</f>
        <v>2016</v>
      </c>
      <c r="C1452" s="8">
        <f>MONTH(Sales_data[[#This Row],[Order Date]])</f>
        <v>8</v>
      </c>
      <c r="D1452" s="8" t="str">
        <f>TEXT(Sales_data[[#This Row],[Order Date]],"mmm")</f>
        <v>Aug</v>
      </c>
      <c r="E1452" t="s">
        <v>9</v>
      </c>
      <c r="F1452" t="s">
        <v>29</v>
      </c>
      <c r="G1452" t="s">
        <v>33</v>
      </c>
      <c r="H1452" t="s">
        <v>38</v>
      </c>
      <c r="I1452" t="s">
        <v>49</v>
      </c>
      <c r="J1452" s="7">
        <v>1272.1600000000001</v>
      </c>
      <c r="K1452" s="8">
        <v>9</v>
      </c>
      <c r="L1452" s="7">
        <v>129.71</v>
      </c>
    </row>
    <row r="1453" spans="1:12" x14ac:dyDescent="0.2">
      <c r="A1453" s="2">
        <v>42590</v>
      </c>
      <c r="B1453" s="8">
        <f>YEAR(Sales_data[[#This Row],[Order Date]])</f>
        <v>2016</v>
      </c>
      <c r="C1453" s="8">
        <f>MONTH(Sales_data[[#This Row],[Order Date]])</f>
        <v>8</v>
      </c>
      <c r="D1453" s="8" t="str">
        <f>TEXT(Sales_data[[#This Row],[Order Date]],"mmm")</f>
        <v>Aug</v>
      </c>
      <c r="E1453" t="s">
        <v>19</v>
      </c>
      <c r="F1453" t="s">
        <v>28</v>
      </c>
      <c r="G1453" t="s">
        <v>32</v>
      </c>
      <c r="H1453" t="s">
        <v>42</v>
      </c>
      <c r="I1453" t="s">
        <v>47</v>
      </c>
      <c r="J1453" s="7">
        <v>1789.17</v>
      </c>
      <c r="K1453" s="8">
        <v>7</v>
      </c>
      <c r="L1453" s="7">
        <v>110.17</v>
      </c>
    </row>
    <row r="1454" spans="1:12" x14ac:dyDescent="0.2">
      <c r="A1454" s="2">
        <v>42590</v>
      </c>
      <c r="B1454" s="8">
        <f>YEAR(Sales_data[[#This Row],[Order Date]])</f>
        <v>2016</v>
      </c>
      <c r="C1454" s="8">
        <f>MONTH(Sales_data[[#This Row],[Order Date]])</f>
        <v>8</v>
      </c>
      <c r="D1454" s="8" t="str">
        <f>TEXT(Sales_data[[#This Row],[Order Date]],"mmm")</f>
        <v>Aug</v>
      </c>
      <c r="E1454" t="s">
        <v>9</v>
      </c>
      <c r="F1454" t="s">
        <v>30</v>
      </c>
      <c r="G1454" t="s">
        <v>34</v>
      </c>
      <c r="H1454" t="s">
        <v>42</v>
      </c>
      <c r="I1454" t="s">
        <v>47</v>
      </c>
      <c r="J1454" s="7">
        <v>1773.89</v>
      </c>
      <c r="K1454" s="8">
        <v>5</v>
      </c>
      <c r="L1454" s="7">
        <v>-137.6</v>
      </c>
    </row>
    <row r="1455" spans="1:12" x14ac:dyDescent="0.2">
      <c r="A1455" s="2">
        <v>42593</v>
      </c>
      <c r="B1455" s="8">
        <f>YEAR(Sales_data[[#This Row],[Order Date]])</f>
        <v>2016</v>
      </c>
      <c r="C1455" s="8">
        <f>MONTH(Sales_data[[#This Row],[Order Date]])</f>
        <v>8</v>
      </c>
      <c r="D1455" s="8" t="str">
        <f>TEXT(Sales_data[[#This Row],[Order Date]],"mmm")</f>
        <v>Aug</v>
      </c>
      <c r="E1455" t="s">
        <v>9</v>
      </c>
      <c r="F1455" t="s">
        <v>22</v>
      </c>
      <c r="G1455" t="s">
        <v>34</v>
      </c>
      <c r="H1455" t="s">
        <v>38</v>
      </c>
      <c r="I1455" t="s">
        <v>52</v>
      </c>
      <c r="J1455" s="7">
        <v>1716.74</v>
      </c>
      <c r="K1455" s="8">
        <v>8</v>
      </c>
      <c r="L1455" s="7">
        <v>-142.52000000000001</v>
      </c>
    </row>
    <row r="1456" spans="1:12" x14ac:dyDescent="0.2">
      <c r="A1456" s="2">
        <v>42594</v>
      </c>
      <c r="B1456" s="8">
        <f>YEAR(Sales_data[[#This Row],[Order Date]])</f>
        <v>2016</v>
      </c>
      <c r="C1456" s="8">
        <f>MONTH(Sales_data[[#This Row],[Order Date]])</f>
        <v>8</v>
      </c>
      <c r="D1456" s="8" t="str">
        <f>TEXT(Sales_data[[#This Row],[Order Date]],"mmm")</f>
        <v>Aug</v>
      </c>
      <c r="E1456" t="s">
        <v>20</v>
      </c>
      <c r="F1456" t="s">
        <v>27</v>
      </c>
      <c r="G1456" t="s">
        <v>33</v>
      </c>
      <c r="H1456" t="s">
        <v>38</v>
      </c>
      <c r="I1456" t="s">
        <v>44</v>
      </c>
      <c r="J1456" s="7">
        <v>280.41000000000003</v>
      </c>
      <c r="K1456" s="8">
        <v>8</v>
      </c>
      <c r="L1456" s="7">
        <v>135.08000000000001</v>
      </c>
    </row>
    <row r="1457" spans="1:12" x14ac:dyDescent="0.2">
      <c r="A1457" s="2">
        <v>42594</v>
      </c>
      <c r="B1457" s="8">
        <f>YEAR(Sales_data[[#This Row],[Order Date]])</f>
        <v>2016</v>
      </c>
      <c r="C1457" s="8">
        <f>MONTH(Sales_data[[#This Row],[Order Date]])</f>
        <v>8</v>
      </c>
      <c r="D1457" s="8" t="str">
        <f>TEXT(Sales_data[[#This Row],[Order Date]],"mmm")</f>
        <v>Aug</v>
      </c>
      <c r="E1457" t="s">
        <v>16</v>
      </c>
      <c r="F1457" t="s">
        <v>23</v>
      </c>
      <c r="G1457" t="s">
        <v>33</v>
      </c>
      <c r="H1457" t="s">
        <v>36</v>
      </c>
      <c r="I1457" t="s">
        <v>50</v>
      </c>
      <c r="J1457" s="7">
        <v>197.54</v>
      </c>
      <c r="K1457" s="8">
        <v>5</v>
      </c>
      <c r="L1457" s="7">
        <v>344.35</v>
      </c>
    </row>
    <row r="1458" spans="1:12" x14ac:dyDescent="0.2">
      <c r="A1458" s="2">
        <v>42594</v>
      </c>
      <c r="B1458" s="8">
        <f>YEAR(Sales_data[[#This Row],[Order Date]])</f>
        <v>2016</v>
      </c>
      <c r="C1458" s="8">
        <f>MONTH(Sales_data[[#This Row],[Order Date]])</f>
        <v>8</v>
      </c>
      <c r="D1458" s="8" t="str">
        <f>TEXT(Sales_data[[#This Row],[Order Date]],"mmm")</f>
        <v>Aug</v>
      </c>
      <c r="E1458" t="s">
        <v>20</v>
      </c>
      <c r="F1458" t="s">
        <v>30</v>
      </c>
      <c r="G1458" t="s">
        <v>34</v>
      </c>
      <c r="H1458" t="s">
        <v>41</v>
      </c>
      <c r="I1458" t="s">
        <v>47</v>
      </c>
      <c r="J1458" s="7">
        <v>1015.61</v>
      </c>
      <c r="K1458" s="8">
        <v>8</v>
      </c>
      <c r="L1458" s="7">
        <v>199.47</v>
      </c>
    </row>
    <row r="1459" spans="1:12" x14ac:dyDescent="0.2">
      <c r="A1459" s="2">
        <v>42595</v>
      </c>
      <c r="B1459" s="8">
        <f>YEAR(Sales_data[[#This Row],[Order Date]])</f>
        <v>2016</v>
      </c>
      <c r="C1459" s="8">
        <f>MONTH(Sales_data[[#This Row],[Order Date]])</f>
        <v>8</v>
      </c>
      <c r="D1459" s="8" t="str">
        <f>TEXT(Sales_data[[#This Row],[Order Date]],"mmm")</f>
        <v>Aug</v>
      </c>
      <c r="E1459" t="s">
        <v>15</v>
      </c>
      <c r="F1459" t="s">
        <v>28</v>
      </c>
      <c r="G1459" t="s">
        <v>32</v>
      </c>
      <c r="H1459" t="s">
        <v>39</v>
      </c>
      <c r="I1459" t="s">
        <v>47</v>
      </c>
      <c r="J1459" s="7">
        <v>351.67</v>
      </c>
      <c r="K1459" s="8">
        <v>4</v>
      </c>
      <c r="L1459" s="7">
        <v>-41.62</v>
      </c>
    </row>
    <row r="1460" spans="1:12" x14ac:dyDescent="0.2">
      <c r="A1460" s="2">
        <v>42596</v>
      </c>
      <c r="B1460" s="8">
        <f>YEAR(Sales_data[[#This Row],[Order Date]])</f>
        <v>2016</v>
      </c>
      <c r="C1460" s="8">
        <f>MONTH(Sales_data[[#This Row],[Order Date]])</f>
        <v>8</v>
      </c>
      <c r="D1460" s="8" t="str">
        <f>TEXT(Sales_data[[#This Row],[Order Date]],"mmm")</f>
        <v>Aug</v>
      </c>
      <c r="E1460" t="s">
        <v>17</v>
      </c>
      <c r="F1460" t="s">
        <v>27</v>
      </c>
      <c r="G1460" t="s">
        <v>34</v>
      </c>
      <c r="H1460" t="s">
        <v>41</v>
      </c>
      <c r="I1460" t="s">
        <v>46</v>
      </c>
      <c r="J1460" s="7">
        <v>687.75</v>
      </c>
      <c r="K1460" s="8">
        <v>6</v>
      </c>
      <c r="L1460" s="7">
        <v>-14.42</v>
      </c>
    </row>
    <row r="1461" spans="1:12" x14ac:dyDescent="0.2">
      <c r="A1461" s="2">
        <v>42598</v>
      </c>
      <c r="B1461" s="8">
        <f>YEAR(Sales_data[[#This Row],[Order Date]])</f>
        <v>2016</v>
      </c>
      <c r="C1461" s="8">
        <f>MONTH(Sales_data[[#This Row],[Order Date]])</f>
        <v>8</v>
      </c>
      <c r="D1461" s="8" t="str">
        <f>TEXT(Sales_data[[#This Row],[Order Date]],"mmm")</f>
        <v>Aug</v>
      </c>
      <c r="E1461" t="s">
        <v>17</v>
      </c>
      <c r="F1461" t="s">
        <v>27</v>
      </c>
      <c r="G1461" t="s">
        <v>33</v>
      </c>
      <c r="H1461" t="s">
        <v>43</v>
      </c>
      <c r="I1461" t="s">
        <v>53</v>
      </c>
      <c r="J1461" s="7">
        <v>908.48</v>
      </c>
      <c r="K1461" s="8">
        <v>1</v>
      </c>
      <c r="L1461" s="7">
        <v>173.39</v>
      </c>
    </row>
    <row r="1462" spans="1:12" x14ac:dyDescent="0.2">
      <c r="A1462" s="2">
        <v>42599</v>
      </c>
      <c r="B1462" s="8">
        <f>YEAR(Sales_data[[#This Row],[Order Date]])</f>
        <v>2016</v>
      </c>
      <c r="C1462" s="8">
        <f>MONTH(Sales_data[[#This Row],[Order Date]])</f>
        <v>8</v>
      </c>
      <c r="D1462" s="8" t="str">
        <f>TEXT(Sales_data[[#This Row],[Order Date]],"mmm")</f>
        <v>Aug</v>
      </c>
      <c r="E1462" t="s">
        <v>15</v>
      </c>
      <c r="F1462" t="s">
        <v>24</v>
      </c>
      <c r="G1462" t="s">
        <v>32</v>
      </c>
      <c r="H1462" t="s">
        <v>43</v>
      </c>
      <c r="I1462" t="s">
        <v>48</v>
      </c>
      <c r="J1462" s="7">
        <v>567.08000000000004</v>
      </c>
      <c r="K1462" s="8">
        <v>9</v>
      </c>
      <c r="L1462" s="7">
        <v>117.55</v>
      </c>
    </row>
    <row r="1463" spans="1:12" x14ac:dyDescent="0.2">
      <c r="A1463" s="2">
        <v>42600</v>
      </c>
      <c r="B1463" s="8">
        <f>YEAR(Sales_data[[#This Row],[Order Date]])</f>
        <v>2016</v>
      </c>
      <c r="C1463" s="8">
        <f>MONTH(Sales_data[[#This Row],[Order Date]])</f>
        <v>8</v>
      </c>
      <c r="D1463" s="8" t="str">
        <f>TEXT(Sales_data[[#This Row],[Order Date]],"mmm")</f>
        <v>Aug</v>
      </c>
      <c r="E1463" t="s">
        <v>9</v>
      </c>
      <c r="F1463" t="s">
        <v>27</v>
      </c>
      <c r="G1463" t="s">
        <v>32</v>
      </c>
      <c r="H1463" t="s">
        <v>43</v>
      </c>
      <c r="I1463" t="s">
        <v>50</v>
      </c>
      <c r="J1463" s="7">
        <v>1952.27</v>
      </c>
      <c r="K1463" s="8">
        <v>2</v>
      </c>
      <c r="L1463" s="7">
        <v>11.28</v>
      </c>
    </row>
    <row r="1464" spans="1:12" x14ac:dyDescent="0.2">
      <c r="A1464" s="2">
        <v>42600</v>
      </c>
      <c r="B1464" s="8">
        <f>YEAR(Sales_data[[#This Row],[Order Date]])</f>
        <v>2016</v>
      </c>
      <c r="C1464" s="8">
        <f>MONTH(Sales_data[[#This Row],[Order Date]])</f>
        <v>8</v>
      </c>
      <c r="D1464" s="8" t="str">
        <f>TEXT(Sales_data[[#This Row],[Order Date]],"mmm")</f>
        <v>Aug</v>
      </c>
      <c r="E1464" t="s">
        <v>10</v>
      </c>
      <c r="F1464" t="s">
        <v>24</v>
      </c>
      <c r="G1464" t="s">
        <v>33</v>
      </c>
      <c r="H1464" t="s">
        <v>35</v>
      </c>
      <c r="I1464" t="s">
        <v>51</v>
      </c>
      <c r="J1464" s="7">
        <v>1738.83</v>
      </c>
      <c r="K1464" s="8">
        <v>2</v>
      </c>
      <c r="L1464" s="7">
        <v>-192.55</v>
      </c>
    </row>
    <row r="1465" spans="1:12" x14ac:dyDescent="0.2">
      <c r="A1465" s="2">
        <v>42601</v>
      </c>
      <c r="B1465" s="8">
        <f>YEAR(Sales_data[[#This Row],[Order Date]])</f>
        <v>2016</v>
      </c>
      <c r="C1465" s="8">
        <f>MONTH(Sales_data[[#This Row],[Order Date]])</f>
        <v>8</v>
      </c>
      <c r="D1465" s="8" t="str">
        <f>TEXT(Sales_data[[#This Row],[Order Date]],"mmm")</f>
        <v>Aug</v>
      </c>
      <c r="E1465" t="s">
        <v>13</v>
      </c>
      <c r="F1465" t="s">
        <v>23</v>
      </c>
      <c r="G1465" t="s">
        <v>34</v>
      </c>
      <c r="H1465" t="s">
        <v>39</v>
      </c>
      <c r="I1465" t="s">
        <v>53</v>
      </c>
      <c r="J1465" s="7">
        <v>1019.71</v>
      </c>
      <c r="K1465" s="8">
        <v>2</v>
      </c>
      <c r="L1465" s="7">
        <v>237.71</v>
      </c>
    </row>
    <row r="1466" spans="1:12" x14ac:dyDescent="0.2">
      <c r="A1466" s="2">
        <v>42602</v>
      </c>
      <c r="B1466" s="8">
        <f>YEAR(Sales_data[[#This Row],[Order Date]])</f>
        <v>2016</v>
      </c>
      <c r="C1466" s="8">
        <f>MONTH(Sales_data[[#This Row],[Order Date]])</f>
        <v>8</v>
      </c>
      <c r="D1466" s="8" t="str">
        <f>TEXT(Sales_data[[#This Row],[Order Date]],"mmm")</f>
        <v>Aug</v>
      </c>
      <c r="E1466" t="s">
        <v>9</v>
      </c>
      <c r="F1466" t="s">
        <v>22</v>
      </c>
      <c r="G1466" t="s">
        <v>32</v>
      </c>
      <c r="H1466" t="s">
        <v>43</v>
      </c>
      <c r="I1466" t="s">
        <v>53</v>
      </c>
      <c r="J1466" s="7">
        <v>1627.73</v>
      </c>
      <c r="K1466" s="8">
        <v>8</v>
      </c>
      <c r="L1466" s="7">
        <v>-112.96</v>
      </c>
    </row>
    <row r="1467" spans="1:12" x14ac:dyDescent="0.2">
      <c r="A1467" s="2">
        <v>42603</v>
      </c>
      <c r="B1467" s="8">
        <f>YEAR(Sales_data[[#This Row],[Order Date]])</f>
        <v>2016</v>
      </c>
      <c r="C1467" s="8">
        <f>MONTH(Sales_data[[#This Row],[Order Date]])</f>
        <v>8</v>
      </c>
      <c r="D1467" s="8" t="str">
        <f>TEXT(Sales_data[[#This Row],[Order Date]],"mmm")</f>
        <v>Aug</v>
      </c>
      <c r="E1467" t="s">
        <v>15</v>
      </c>
      <c r="F1467" t="s">
        <v>28</v>
      </c>
      <c r="G1467" t="s">
        <v>33</v>
      </c>
      <c r="H1467" t="s">
        <v>39</v>
      </c>
      <c r="I1467" t="s">
        <v>52</v>
      </c>
      <c r="J1467" s="7">
        <v>698.44</v>
      </c>
      <c r="K1467" s="8">
        <v>5</v>
      </c>
      <c r="L1467" s="7">
        <v>-59.23</v>
      </c>
    </row>
    <row r="1468" spans="1:12" x14ac:dyDescent="0.2">
      <c r="A1468" s="2">
        <v>42603</v>
      </c>
      <c r="B1468" s="8">
        <f>YEAR(Sales_data[[#This Row],[Order Date]])</f>
        <v>2016</v>
      </c>
      <c r="C1468" s="8">
        <f>MONTH(Sales_data[[#This Row],[Order Date]])</f>
        <v>8</v>
      </c>
      <c r="D1468" s="8" t="str">
        <f>TEXT(Sales_data[[#This Row],[Order Date]],"mmm")</f>
        <v>Aug</v>
      </c>
      <c r="E1468" t="s">
        <v>13</v>
      </c>
      <c r="F1468" t="s">
        <v>24</v>
      </c>
      <c r="G1468" t="s">
        <v>32</v>
      </c>
      <c r="H1468" t="s">
        <v>40</v>
      </c>
      <c r="I1468" t="s">
        <v>51</v>
      </c>
      <c r="J1468" s="7">
        <v>649.71</v>
      </c>
      <c r="K1468" s="8">
        <v>6</v>
      </c>
      <c r="L1468" s="7">
        <v>-66.34</v>
      </c>
    </row>
    <row r="1469" spans="1:12" x14ac:dyDescent="0.2">
      <c r="A1469" s="2">
        <v>42604</v>
      </c>
      <c r="B1469" s="8">
        <f>YEAR(Sales_data[[#This Row],[Order Date]])</f>
        <v>2016</v>
      </c>
      <c r="C1469" s="8">
        <f>MONTH(Sales_data[[#This Row],[Order Date]])</f>
        <v>8</v>
      </c>
      <c r="D1469" s="8" t="str">
        <f>TEXT(Sales_data[[#This Row],[Order Date]],"mmm")</f>
        <v>Aug</v>
      </c>
      <c r="E1469" t="s">
        <v>18</v>
      </c>
      <c r="F1469" t="s">
        <v>22</v>
      </c>
      <c r="G1469" t="s">
        <v>34</v>
      </c>
      <c r="H1469" t="s">
        <v>38</v>
      </c>
      <c r="I1469" t="s">
        <v>53</v>
      </c>
      <c r="J1469" s="7">
        <v>446.4</v>
      </c>
      <c r="K1469" s="8">
        <v>1</v>
      </c>
      <c r="L1469" s="7">
        <v>136.13999999999999</v>
      </c>
    </row>
    <row r="1470" spans="1:12" x14ac:dyDescent="0.2">
      <c r="A1470" s="2">
        <v>42604</v>
      </c>
      <c r="B1470" s="8">
        <f>YEAR(Sales_data[[#This Row],[Order Date]])</f>
        <v>2016</v>
      </c>
      <c r="C1470" s="8">
        <f>MONTH(Sales_data[[#This Row],[Order Date]])</f>
        <v>8</v>
      </c>
      <c r="D1470" s="8" t="str">
        <f>TEXT(Sales_data[[#This Row],[Order Date]],"mmm")</f>
        <v>Aug</v>
      </c>
      <c r="E1470" t="s">
        <v>21</v>
      </c>
      <c r="F1470" t="s">
        <v>25</v>
      </c>
      <c r="G1470" t="s">
        <v>33</v>
      </c>
      <c r="H1470" t="s">
        <v>40</v>
      </c>
      <c r="I1470" t="s">
        <v>53</v>
      </c>
      <c r="J1470" s="7">
        <v>792.77</v>
      </c>
      <c r="K1470" s="8">
        <v>6</v>
      </c>
      <c r="L1470" s="7">
        <v>-160.65</v>
      </c>
    </row>
    <row r="1471" spans="1:12" x14ac:dyDescent="0.2">
      <c r="A1471" s="2">
        <v>42606</v>
      </c>
      <c r="B1471" s="8">
        <f>YEAR(Sales_data[[#This Row],[Order Date]])</f>
        <v>2016</v>
      </c>
      <c r="C1471" s="8">
        <f>MONTH(Sales_data[[#This Row],[Order Date]])</f>
        <v>8</v>
      </c>
      <c r="D1471" s="8" t="str">
        <f>TEXT(Sales_data[[#This Row],[Order Date]],"mmm")</f>
        <v>Aug</v>
      </c>
      <c r="E1471" t="s">
        <v>16</v>
      </c>
      <c r="F1471" t="s">
        <v>26</v>
      </c>
      <c r="G1471" t="s">
        <v>32</v>
      </c>
      <c r="H1471" t="s">
        <v>39</v>
      </c>
      <c r="I1471" t="s">
        <v>48</v>
      </c>
      <c r="J1471" s="7">
        <v>1619.98</v>
      </c>
      <c r="K1471" s="8">
        <v>1</v>
      </c>
      <c r="L1471" s="7">
        <v>-161.18</v>
      </c>
    </row>
    <row r="1472" spans="1:12" x14ac:dyDescent="0.2">
      <c r="A1472" s="2">
        <v>42607</v>
      </c>
      <c r="B1472" s="8">
        <f>YEAR(Sales_data[[#This Row],[Order Date]])</f>
        <v>2016</v>
      </c>
      <c r="C1472" s="8">
        <f>MONTH(Sales_data[[#This Row],[Order Date]])</f>
        <v>8</v>
      </c>
      <c r="D1472" s="8" t="str">
        <f>TEXT(Sales_data[[#This Row],[Order Date]],"mmm")</f>
        <v>Aug</v>
      </c>
      <c r="E1472" t="s">
        <v>18</v>
      </c>
      <c r="F1472" t="s">
        <v>31</v>
      </c>
      <c r="G1472" t="s">
        <v>32</v>
      </c>
      <c r="H1472" t="s">
        <v>38</v>
      </c>
      <c r="I1472" t="s">
        <v>48</v>
      </c>
      <c r="J1472" s="7">
        <v>1658.47</v>
      </c>
      <c r="K1472" s="8">
        <v>9</v>
      </c>
      <c r="L1472" s="7">
        <v>268.88</v>
      </c>
    </row>
    <row r="1473" spans="1:12" x14ac:dyDescent="0.2">
      <c r="A1473" s="2">
        <v>42607</v>
      </c>
      <c r="B1473" s="8">
        <f>YEAR(Sales_data[[#This Row],[Order Date]])</f>
        <v>2016</v>
      </c>
      <c r="C1473" s="8">
        <f>MONTH(Sales_data[[#This Row],[Order Date]])</f>
        <v>8</v>
      </c>
      <c r="D1473" s="8" t="str">
        <f>TEXT(Sales_data[[#This Row],[Order Date]],"mmm")</f>
        <v>Aug</v>
      </c>
      <c r="E1473" t="s">
        <v>21</v>
      </c>
      <c r="F1473" t="s">
        <v>28</v>
      </c>
      <c r="G1473" t="s">
        <v>33</v>
      </c>
      <c r="H1473" t="s">
        <v>43</v>
      </c>
      <c r="I1473" t="s">
        <v>50</v>
      </c>
      <c r="J1473" s="7">
        <v>247.26</v>
      </c>
      <c r="K1473" s="8">
        <v>8</v>
      </c>
      <c r="L1473" s="7">
        <v>31.68</v>
      </c>
    </row>
    <row r="1474" spans="1:12" x14ac:dyDescent="0.2">
      <c r="A1474" s="2">
        <v>42608</v>
      </c>
      <c r="B1474" s="8">
        <f>YEAR(Sales_data[[#This Row],[Order Date]])</f>
        <v>2016</v>
      </c>
      <c r="C1474" s="8">
        <f>MONTH(Sales_data[[#This Row],[Order Date]])</f>
        <v>8</v>
      </c>
      <c r="D1474" s="8" t="str">
        <f>TEXT(Sales_data[[#This Row],[Order Date]],"mmm")</f>
        <v>Aug</v>
      </c>
      <c r="E1474" t="s">
        <v>10</v>
      </c>
      <c r="F1474" t="s">
        <v>23</v>
      </c>
      <c r="G1474" t="s">
        <v>33</v>
      </c>
      <c r="H1474" t="s">
        <v>43</v>
      </c>
      <c r="I1474" t="s">
        <v>48</v>
      </c>
      <c r="J1474" s="7">
        <v>314.7</v>
      </c>
      <c r="K1474" s="8">
        <v>7</v>
      </c>
      <c r="L1474" s="7">
        <v>9.4499999999999993</v>
      </c>
    </row>
    <row r="1475" spans="1:12" x14ac:dyDescent="0.2">
      <c r="A1475" s="2">
        <v>42608</v>
      </c>
      <c r="B1475" s="8">
        <f>YEAR(Sales_data[[#This Row],[Order Date]])</f>
        <v>2016</v>
      </c>
      <c r="C1475" s="8">
        <f>MONTH(Sales_data[[#This Row],[Order Date]])</f>
        <v>8</v>
      </c>
      <c r="D1475" s="8" t="str">
        <f>TEXT(Sales_data[[#This Row],[Order Date]],"mmm")</f>
        <v>Aug</v>
      </c>
      <c r="E1475" t="s">
        <v>10</v>
      </c>
      <c r="F1475" t="s">
        <v>25</v>
      </c>
      <c r="G1475" t="s">
        <v>33</v>
      </c>
      <c r="H1475" t="s">
        <v>42</v>
      </c>
      <c r="I1475" t="s">
        <v>45</v>
      </c>
      <c r="J1475" s="7">
        <v>1233.3900000000001</v>
      </c>
      <c r="K1475" s="8">
        <v>3</v>
      </c>
      <c r="L1475" s="7">
        <v>158.13</v>
      </c>
    </row>
    <row r="1476" spans="1:12" x14ac:dyDescent="0.2">
      <c r="A1476" s="2">
        <v>42610</v>
      </c>
      <c r="B1476" s="8">
        <f>YEAR(Sales_data[[#This Row],[Order Date]])</f>
        <v>2016</v>
      </c>
      <c r="C1476" s="8">
        <f>MONTH(Sales_data[[#This Row],[Order Date]])</f>
        <v>8</v>
      </c>
      <c r="D1476" s="8" t="str">
        <f>TEXT(Sales_data[[#This Row],[Order Date]],"mmm")</f>
        <v>Aug</v>
      </c>
      <c r="E1476" t="s">
        <v>12</v>
      </c>
      <c r="F1476" t="s">
        <v>22</v>
      </c>
      <c r="G1476" t="s">
        <v>33</v>
      </c>
      <c r="H1476" t="s">
        <v>36</v>
      </c>
      <c r="I1476" t="s">
        <v>44</v>
      </c>
      <c r="J1476" s="7">
        <v>1480.22</v>
      </c>
      <c r="K1476" s="8">
        <v>7</v>
      </c>
      <c r="L1476" s="7">
        <v>363.89</v>
      </c>
    </row>
    <row r="1477" spans="1:12" x14ac:dyDescent="0.2">
      <c r="A1477" s="2">
        <v>42610</v>
      </c>
      <c r="B1477" s="8">
        <f>YEAR(Sales_data[[#This Row],[Order Date]])</f>
        <v>2016</v>
      </c>
      <c r="C1477" s="8">
        <f>MONTH(Sales_data[[#This Row],[Order Date]])</f>
        <v>8</v>
      </c>
      <c r="D1477" s="8" t="str">
        <f>TEXT(Sales_data[[#This Row],[Order Date]],"mmm")</f>
        <v>Aug</v>
      </c>
      <c r="E1477" t="s">
        <v>20</v>
      </c>
      <c r="F1477" t="s">
        <v>29</v>
      </c>
      <c r="G1477" t="s">
        <v>34</v>
      </c>
      <c r="H1477" t="s">
        <v>43</v>
      </c>
      <c r="I1477" t="s">
        <v>50</v>
      </c>
      <c r="J1477" s="7">
        <v>584.45000000000005</v>
      </c>
      <c r="K1477" s="8">
        <v>9</v>
      </c>
      <c r="L1477" s="7">
        <v>-115.52</v>
      </c>
    </row>
    <row r="1478" spans="1:12" x14ac:dyDescent="0.2">
      <c r="A1478" s="2">
        <v>42612</v>
      </c>
      <c r="B1478" s="8">
        <f>YEAR(Sales_data[[#This Row],[Order Date]])</f>
        <v>2016</v>
      </c>
      <c r="C1478" s="8">
        <f>MONTH(Sales_data[[#This Row],[Order Date]])</f>
        <v>8</v>
      </c>
      <c r="D1478" s="8" t="str">
        <f>TEXT(Sales_data[[#This Row],[Order Date]],"mmm")</f>
        <v>Aug</v>
      </c>
      <c r="E1478" t="s">
        <v>12</v>
      </c>
      <c r="F1478" t="s">
        <v>25</v>
      </c>
      <c r="G1478" t="s">
        <v>33</v>
      </c>
      <c r="H1478" t="s">
        <v>39</v>
      </c>
      <c r="I1478" t="s">
        <v>46</v>
      </c>
      <c r="J1478" s="7">
        <v>858.92</v>
      </c>
      <c r="K1478" s="8">
        <v>3</v>
      </c>
      <c r="L1478" s="7">
        <v>40.56</v>
      </c>
    </row>
    <row r="1479" spans="1:12" x14ac:dyDescent="0.2">
      <c r="A1479" s="2">
        <v>42614</v>
      </c>
      <c r="B1479" s="8">
        <f>YEAR(Sales_data[[#This Row],[Order Date]])</f>
        <v>2016</v>
      </c>
      <c r="C1479" s="8">
        <f>MONTH(Sales_data[[#This Row],[Order Date]])</f>
        <v>9</v>
      </c>
      <c r="D1479" s="8" t="str">
        <f>TEXT(Sales_data[[#This Row],[Order Date]],"mmm")</f>
        <v>Sep</v>
      </c>
      <c r="E1479" t="s">
        <v>12</v>
      </c>
      <c r="F1479" t="s">
        <v>28</v>
      </c>
      <c r="G1479" t="s">
        <v>34</v>
      </c>
      <c r="H1479" t="s">
        <v>38</v>
      </c>
      <c r="I1479" t="s">
        <v>45</v>
      </c>
      <c r="J1479" s="7">
        <v>1651.2</v>
      </c>
      <c r="K1479" s="8">
        <v>4</v>
      </c>
      <c r="L1479" s="7">
        <v>191.13</v>
      </c>
    </row>
    <row r="1480" spans="1:12" x14ac:dyDescent="0.2">
      <c r="A1480" s="2">
        <v>42616</v>
      </c>
      <c r="B1480" s="8">
        <f>YEAR(Sales_data[[#This Row],[Order Date]])</f>
        <v>2016</v>
      </c>
      <c r="C1480" s="8">
        <f>MONTH(Sales_data[[#This Row],[Order Date]])</f>
        <v>9</v>
      </c>
      <c r="D1480" s="8" t="str">
        <f>TEXT(Sales_data[[#This Row],[Order Date]],"mmm")</f>
        <v>Sep</v>
      </c>
      <c r="E1480" t="s">
        <v>11</v>
      </c>
      <c r="F1480" t="s">
        <v>31</v>
      </c>
      <c r="G1480" t="s">
        <v>33</v>
      </c>
      <c r="H1480" t="s">
        <v>39</v>
      </c>
      <c r="I1480" t="s">
        <v>46</v>
      </c>
      <c r="J1480" s="7">
        <v>476.05</v>
      </c>
      <c r="K1480" s="8">
        <v>7</v>
      </c>
      <c r="L1480" s="7">
        <v>270.08</v>
      </c>
    </row>
    <row r="1481" spans="1:12" x14ac:dyDescent="0.2">
      <c r="A1481" s="2">
        <v>42616</v>
      </c>
      <c r="B1481" s="8">
        <f>YEAR(Sales_data[[#This Row],[Order Date]])</f>
        <v>2016</v>
      </c>
      <c r="C1481" s="8">
        <f>MONTH(Sales_data[[#This Row],[Order Date]])</f>
        <v>9</v>
      </c>
      <c r="D1481" s="8" t="str">
        <f>TEXT(Sales_data[[#This Row],[Order Date]],"mmm")</f>
        <v>Sep</v>
      </c>
      <c r="E1481" t="s">
        <v>10</v>
      </c>
      <c r="F1481" t="s">
        <v>28</v>
      </c>
      <c r="G1481" t="s">
        <v>32</v>
      </c>
      <c r="H1481" t="s">
        <v>38</v>
      </c>
      <c r="I1481" t="s">
        <v>52</v>
      </c>
      <c r="J1481" s="7">
        <v>1823.79</v>
      </c>
      <c r="K1481" s="8">
        <v>7</v>
      </c>
      <c r="L1481" s="7">
        <v>159.24</v>
      </c>
    </row>
    <row r="1482" spans="1:12" x14ac:dyDescent="0.2">
      <c r="A1482" s="2">
        <v>42617</v>
      </c>
      <c r="B1482" s="8">
        <f>YEAR(Sales_data[[#This Row],[Order Date]])</f>
        <v>2016</v>
      </c>
      <c r="C1482" s="8">
        <f>MONTH(Sales_data[[#This Row],[Order Date]])</f>
        <v>9</v>
      </c>
      <c r="D1482" s="8" t="str">
        <f>TEXT(Sales_data[[#This Row],[Order Date]],"mmm")</f>
        <v>Sep</v>
      </c>
      <c r="E1482" t="s">
        <v>16</v>
      </c>
      <c r="F1482" t="s">
        <v>24</v>
      </c>
      <c r="G1482" t="s">
        <v>32</v>
      </c>
      <c r="H1482" t="s">
        <v>42</v>
      </c>
      <c r="I1482" t="s">
        <v>49</v>
      </c>
      <c r="J1482" s="7">
        <v>885.9</v>
      </c>
      <c r="K1482" s="8">
        <v>4</v>
      </c>
      <c r="L1482" s="7">
        <v>336.54</v>
      </c>
    </row>
    <row r="1483" spans="1:12" x14ac:dyDescent="0.2">
      <c r="A1483" s="2">
        <v>42617</v>
      </c>
      <c r="B1483" s="8">
        <f>YEAR(Sales_data[[#This Row],[Order Date]])</f>
        <v>2016</v>
      </c>
      <c r="C1483" s="8">
        <f>MONTH(Sales_data[[#This Row],[Order Date]])</f>
        <v>9</v>
      </c>
      <c r="D1483" s="8" t="str">
        <f>TEXT(Sales_data[[#This Row],[Order Date]],"mmm")</f>
        <v>Sep</v>
      </c>
      <c r="E1483" t="s">
        <v>15</v>
      </c>
      <c r="F1483" t="s">
        <v>29</v>
      </c>
      <c r="G1483" t="s">
        <v>32</v>
      </c>
      <c r="H1483" t="s">
        <v>39</v>
      </c>
      <c r="I1483" t="s">
        <v>45</v>
      </c>
      <c r="J1483" s="7">
        <v>1499.15</v>
      </c>
      <c r="K1483" s="8">
        <v>7</v>
      </c>
      <c r="L1483" s="7">
        <v>362.95</v>
      </c>
    </row>
    <row r="1484" spans="1:12" x14ac:dyDescent="0.2">
      <c r="A1484" s="2">
        <v>42618</v>
      </c>
      <c r="B1484" s="8">
        <f>YEAR(Sales_data[[#This Row],[Order Date]])</f>
        <v>2016</v>
      </c>
      <c r="C1484" s="8">
        <f>MONTH(Sales_data[[#This Row],[Order Date]])</f>
        <v>9</v>
      </c>
      <c r="D1484" s="8" t="str">
        <f>TEXT(Sales_data[[#This Row],[Order Date]],"mmm")</f>
        <v>Sep</v>
      </c>
      <c r="E1484" t="s">
        <v>20</v>
      </c>
      <c r="F1484" t="s">
        <v>26</v>
      </c>
      <c r="G1484" t="s">
        <v>32</v>
      </c>
      <c r="H1484" t="s">
        <v>35</v>
      </c>
      <c r="I1484" t="s">
        <v>51</v>
      </c>
      <c r="J1484" s="7">
        <v>1699.58</v>
      </c>
      <c r="K1484" s="8">
        <v>6</v>
      </c>
      <c r="L1484" s="7">
        <v>153.22999999999999</v>
      </c>
    </row>
    <row r="1485" spans="1:12" x14ac:dyDescent="0.2">
      <c r="A1485" s="2">
        <v>42618</v>
      </c>
      <c r="B1485" s="8">
        <f>YEAR(Sales_data[[#This Row],[Order Date]])</f>
        <v>2016</v>
      </c>
      <c r="C1485" s="8">
        <f>MONTH(Sales_data[[#This Row],[Order Date]])</f>
        <v>9</v>
      </c>
      <c r="D1485" s="8" t="str">
        <f>TEXT(Sales_data[[#This Row],[Order Date]],"mmm")</f>
        <v>Sep</v>
      </c>
      <c r="E1485" t="s">
        <v>16</v>
      </c>
      <c r="F1485" t="s">
        <v>25</v>
      </c>
      <c r="G1485" t="s">
        <v>33</v>
      </c>
      <c r="H1485" t="s">
        <v>37</v>
      </c>
      <c r="I1485" t="s">
        <v>44</v>
      </c>
      <c r="J1485" s="7">
        <v>142.59</v>
      </c>
      <c r="K1485" s="8">
        <v>8</v>
      </c>
      <c r="L1485" s="7">
        <v>-49.88</v>
      </c>
    </row>
    <row r="1486" spans="1:12" x14ac:dyDescent="0.2">
      <c r="A1486" s="2">
        <v>42620</v>
      </c>
      <c r="B1486" s="8">
        <f>YEAR(Sales_data[[#This Row],[Order Date]])</f>
        <v>2016</v>
      </c>
      <c r="C1486" s="8">
        <f>MONTH(Sales_data[[#This Row],[Order Date]])</f>
        <v>9</v>
      </c>
      <c r="D1486" s="8" t="str">
        <f>TEXT(Sales_data[[#This Row],[Order Date]],"mmm")</f>
        <v>Sep</v>
      </c>
      <c r="E1486" t="s">
        <v>17</v>
      </c>
      <c r="F1486" t="s">
        <v>23</v>
      </c>
      <c r="G1486" t="s">
        <v>32</v>
      </c>
      <c r="H1486" t="s">
        <v>35</v>
      </c>
      <c r="I1486" t="s">
        <v>44</v>
      </c>
      <c r="J1486" s="7">
        <v>1461.92</v>
      </c>
      <c r="K1486" s="8">
        <v>2</v>
      </c>
      <c r="L1486" s="7">
        <v>234.02</v>
      </c>
    </row>
    <row r="1487" spans="1:12" x14ac:dyDescent="0.2">
      <c r="A1487" s="2">
        <v>42621</v>
      </c>
      <c r="B1487" s="8">
        <f>YEAR(Sales_data[[#This Row],[Order Date]])</f>
        <v>2016</v>
      </c>
      <c r="C1487" s="8">
        <f>MONTH(Sales_data[[#This Row],[Order Date]])</f>
        <v>9</v>
      </c>
      <c r="D1487" s="8" t="str">
        <f>TEXT(Sales_data[[#This Row],[Order Date]],"mmm")</f>
        <v>Sep</v>
      </c>
      <c r="E1487" t="s">
        <v>10</v>
      </c>
      <c r="F1487" t="s">
        <v>24</v>
      </c>
      <c r="G1487" t="s">
        <v>32</v>
      </c>
      <c r="H1487" t="s">
        <v>39</v>
      </c>
      <c r="I1487" t="s">
        <v>45</v>
      </c>
      <c r="J1487" s="7">
        <v>1494.8</v>
      </c>
      <c r="K1487" s="8">
        <v>7</v>
      </c>
      <c r="L1487" s="7">
        <v>92.21</v>
      </c>
    </row>
    <row r="1488" spans="1:12" x14ac:dyDescent="0.2">
      <c r="A1488" s="2">
        <v>42621</v>
      </c>
      <c r="B1488" s="8">
        <f>YEAR(Sales_data[[#This Row],[Order Date]])</f>
        <v>2016</v>
      </c>
      <c r="C1488" s="8">
        <f>MONTH(Sales_data[[#This Row],[Order Date]])</f>
        <v>9</v>
      </c>
      <c r="D1488" s="8" t="str">
        <f>TEXT(Sales_data[[#This Row],[Order Date]],"mmm")</f>
        <v>Sep</v>
      </c>
      <c r="E1488" t="s">
        <v>18</v>
      </c>
      <c r="F1488" t="s">
        <v>26</v>
      </c>
      <c r="G1488" t="s">
        <v>32</v>
      </c>
      <c r="H1488" t="s">
        <v>43</v>
      </c>
      <c r="I1488" t="s">
        <v>47</v>
      </c>
      <c r="J1488" s="7">
        <v>967.74</v>
      </c>
      <c r="K1488" s="8">
        <v>3</v>
      </c>
      <c r="L1488" s="7">
        <v>-82.04</v>
      </c>
    </row>
    <row r="1489" spans="1:12" x14ac:dyDescent="0.2">
      <c r="A1489" s="2">
        <v>42621</v>
      </c>
      <c r="B1489" s="8">
        <f>YEAR(Sales_data[[#This Row],[Order Date]])</f>
        <v>2016</v>
      </c>
      <c r="C1489" s="8">
        <f>MONTH(Sales_data[[#This Row],[Order Date]])</f>
        <v>9</v>
      </c>
      <c r="D1489" s="8" t="str">
        <f>TEXT(Sales_data[[#This Row],[Order Date]],"mmm")</f>
        <v>Sep</v>
      </c>
      <c r="E1489" t="s">
        <v>18</v>
      </c>
      <c r="F1489" t="s">
        <v>26</v>
      </c>
      <c r="G1489" t="s">
        <v>32</v>
      </c>
      <c r="H1489" t="s">
        <v>40</v>
      </c>
      <c r="I1489" t="s">
        <v>46</v>
      </c>
      <c r="J1489" s="7">
        <v>207.4</v>
      </c>
      <c r="K1489" s="8">
        <v>5</v>
      </c>
      <c r="L1489" s="7">
        <v>73.05</v>
      </c>
    </row>
    <row r="1490" spans="1:12" x14ac:dyDescent="0.2">
      <c r="A1490" s="2">
        <v>42622</v>
      </c>
      <c r="B1490" s="8">
        <f>YEAR(Sales_data[[#This Row],[Order Date]])</f>
        <v>2016</v>
      </c>
      <c r="C1490" s="8">
        <f>MONTH(Sales_data[[#This Row],[Order Date]])</f>
        <v>9</v>
      </c>
      <c r="D1490" s="8" t="str">
        <f>TEXT(Sales_data[[#This Row],[Order Date]],"mmm")</f>
        <v>Sep</v>
      </c>
      <c r="E1490" t="s">
        <v>10</v>
      </c>
      <c r="F1490" t="s">
        <v>30</v>
      </c>
      <c r="G1490" t="s">
        <v>32</v>
      </c>
      <c r="H1490" t="s">
        <v>42</v>
      </c>
      <c r="I1490" t="s">
        <v>50</v>
      </c>
      <c r="J1490" s="7">
        <v>1238.94</v>
      </c>
      <c r="K1490" s="8">
        <v>1</v>
      </c>
      <c r="L1490" s="7">
        <v>-47.67</v>
      </c>
    </row>
    <row r="1491" spans="1:12" x14ac:dyDescent="0.2">
      <c r="A1491" s="2">
        <v>42623</v>
      </c>
      <c r="B1491" s="8">
        <f>YEAR(Sales_data[[#This Row],[Order Date]])</f>
        <v>2016</v>
      </c>
      <c r="C1491" s="8">
        <f>MONTH(Sales_data[[#This Row],[Order Date]])</f>
        <v>9</v>
      </c>
      <c r="D1491" s="8" t="str">
        <f>TEXT(Sales_data[[#This Row],[Order Date]],"mmm")</f>
        <v>Sep</v>
      </c>
      <c r="E1491" t="s">
        <v>21</v>
      </c>
      <c r="F1491" t="s">
        <v>29</v>
      </c>
      <c r="G1491" t="s">
        <v>32</v>
      </c>
      <c r="H1491" t="s">
        <v>36</v>
      </c>
      <c r="I1491" t="s">
        <v>46</v>
      </c>
      <c r="J1491" s="7">
        <v>512.29999999999995</v>
      </c>
      <c r="K1491" s="8">
        <v>6</v>
      </c>
      <c r="L1491" s="7">
        <v>104.01</v>
      </c>
    </row>
    <row r="1492" spans="1:12" x14ac:dyDescent="0.2">
      <c r="A1492" s="2">
        <v>42624</v>
      </c>
      <c r="B1492" s="8">
        <f>YEAR(Sales_data[[#This Row],[Order Date]])</f>
        <v>2016</v>
      </c>
      <c r="C1492" s="8">
        <f>MONTH(Sales_data[[#This Row],[Order Date]])</f>
        <v>9</v>
      </c>
      <c r="D1492" s="8" t="str">
        <f>TEXT(Sales_data[[#This Row],[Order Date]],"mmm")</f>
        <v>Sep</v>
      </c>
      <c r="E1492" t="s">
        <v>20</v>
      </c>
      <c r="F1492" t="s">
        <v>22</v>
      </c>
      <c r="G1492" t="s">
        <v>34</v>
      </c>
      <c r="H1492" t="s">
        <v>42</v>
      </c>
      <c r="I1492" t="s">
        <v>50</v>
      </c>
      <c r="J1492" s="7">
        <v>1512.2</v>
      </c>
      <c r="K1492" s="8">
        <v>1</v>
      </c>
      <c r="L1492" s="7">
        <v>257.7</v>
      </c>
    </row>
    <row r="1493" spans="1:12" x14ac:dyDescent="0.2">
      <c r="A1493" s="2">
        <v>42625</v>
      </c>
      <c r="B1493" s="8">
        <f>YEAR(Sales_data[[#This Row],[Order Date]])</f>
        <v>2016</v>
      </c>
      <c r="C1493" s="8">
        <f>MONTH(Sales_data[[#This Row],[Order Date]])</f>
        <v>9</v>
      </c>
      <c r="D1493" s="8" t="str">
        <f>TEXT(Sales_data[[#This Row],[Order Date]],"mmm")</f>
        <v>Sep</v>
      </c>
      <c r="E1493" t="s">
        <v>11</v>
      </c>
      <c r="F1493" t="s">
        <v>23</v>
      </c>
      <c r="G1493" t="s">
        <v>32</v>
      </c>
      <c r="H1493" t="s">
        <v>43</v>
      </c>
      <c r="I1493" t="s">
        <v>50</v>
      </c>
      <c r="J1493" s="7">
        <v>1957.92</v>
      </c>
      <c r="K1493" s="8">
        <v>8</v>
      </c>
      <c r="L1493" s="7">
        <v>240.49</v>
      </c>
    </row>
    <row r="1494" spans="1:12" x14ac:dyDescent="0.2">
      <c r="A1494" s="2">
        <v>42628</v>
      </c>
      <c r="B1494" s="8">
        <f>YEAR(Sales_data[[#This Row],[Order Date]])</f>
        <v>2016</v>
      </c>
      <c r="C1494" s="8">
        <f>MONTH(Sales_data[[#This Row],[Order Date]])</f>
        <v>9</v>
      </c>
      <c r="D1494" s="8" t="str">
        <f>TEXT(Sales_data[[#This Row],[Order Date]],"mmm")</f>
        <v>Sep</v>
      </c>
      <c r="E1494" t="s">
        <v>13</v>
      </c>
      <c r="F1494" t="s">
        <v>22</v>
      </c>
      <c r="G1494" t="s">
        <v>32</v>
      </c>
      <c r="H1494" t="s">
        <v>36</v>
      </c>
      <c r="I1494" t="s">
        <v>46</v>
      </c>
      <c r="J1494" s="7">
        <v>1278.6199999999999</v>
      </c>
      <c r="K1494" s="8">
        <v>5</v>
      </c>
      <c r="L1494" s="7">
        <v>60.05</v>
      </c>
    </row>
    <row r="1495" spans="1:12" x14ac:dyDescent="0.2">
      <c r="A1495" s="2">
        <v>42628</v>
      </c>
      <c r="B1495" s="8">
        <f>YEAR(Sales_data[[#This Row],[Order Date]])</f>
        <v>2016</v>
      </c>
      <c r="C1495" s="8">
        <f>MONTH(Sales_data[[#This Row],[Order Date]])</f>
        <v>9</v>
      </c>
      <c r="D1495" s="8" t="str">
        <f>TEXT(Sales_data[[#This Row],[Order Date]],"mmm")</f>
        <v>Sep</v>
      </c>
      <c r="E1495" t="s">
        <v>18</v>
      </c>
      <c r="F1495" t="s">
        <v>25</v>
      </c>
      <c r="G1495" t="s">
        <v>34</v>
      </c>
      <c r="H1495" t="s">
        <v>42</v>
      </c>
      <c r="I1495" t="s">
        <v>45</v>
      </c>
      <c r="J1495" s="7">
        <v>551</v>
      </c>
      <c r="K1495" s="8">
        <v>3</v>
      </c>
      <c r="L1495" s="7">
        <v>276.06</v>
      </c>
    </row>
    <row r="1496" spans="1:12" x14ac:dyDescent="0.2">
      <c r="A1496" s="2">
        <v>42628</v>
      </c>
      <c r="B1496" s="8">
        <f>YEAR(Sales_data[[#This Row],[Order Date]])</f>
        <v>2016</v>
      </c>
      <c r="C1496" s="8">
        <f>MONTH(Sales_data[[#This Row],[Order Date]])</f>
        <v>9</v>
      </c>
      <c r="D1496" s="8" t="str">
        <f>TEXT(Sales_data[[#This Row],[Order Date]],"mmm")</f>
        <v>Sep</v>
      </c>
      <c r="E1496" t="s">
        <v>12</v>
      </c>
      <c r="F1496" t="s">
        <v>31</v>
      </c>
      <c r="G1496" t="s">
        <v>33</v>
      </c>
      <c r="H1496" t="s">
        <v>41</v>
      </c>
      <c r="I1496" t="s">
        <v>48</v>
      </c>
      <c r="J1496" s="7">
        <v>1055.1500000000001</v>
      </c>
      <c r="K1496" s="8">
        <v>8</v>
      </c>
      <c r="L1496" s="7">
        <v>265.31</v>
      </c>
    </row>
    <row r="1497" spans="1:12" x14ac:dyDescent="0.2">
      <c r="A1497" s="2">
        <v>42629</v>
      </c>
      <c r="B1497" s="8">
        <f>YEAR(Sales_data[[#This Row],[Order Date]])</f>
        <v>2016</v>
      </c>
      <c r="C1497" s="8">
        <f>MONTH(Sales_data[[#This Row],[Order Date]])</f>
        <v>9</v>
      </c>
      <c r="D1497" s="8" t="str">
        <f>TEXT(Sales_data[[#This Row],[Order Date]],"mmm")</f>
        <v>Sep</v>
      </c>
      <c r="E1497" t="s">
        <v>14</v>
      </c>
      <c r="F1497" t="s">
        <v>29</v>
      </c>
      <c r="G1497" t="s">
        <v>34</v>
      </c>
      <c r="H1497" t="s">
        <v>41</v>
      </c>
      <c r="I1497" t="s">
        <v>46</v>
      </c>
      <c r="J1497" s="7">
        <v>29.3</v>
      </c>
      <c r="K1497" s="8">
        <v>2</v>
      </c>
      <c r="L1497" s="7">
        <v>354.53</v>
      </c>
    </row>
    <row r="1498" spans="1:12" x14ac:dyDescent="0.2">
      <c r="A1498" s="2">
        <v>42630</v>
      </c>
      <c r="B1498" s="8">
        <f>YEAR(Sales_data[[#This Row],[Order Date]])</f>
        <v>2016</v>
      </c>
      <c r="C1498" s="8">
        <f>MONTH(Sales_data[[#This Row],[Order Date]])</f>
        <v>9</v>
      </c>
      <c r="D1498" s="8" t="str">
        <f>TEXT(Sales_data[[#This Row],[Order Date]],"mmm")</f>
        <v>Sep</v>
      </c>
      <c r="E1498" t="s">
        <v>17</v>
      </c>
      <c r="F1498" t="s">
        <v>29</v>
      </c>
      <c r="G1498" t="s">
        <v>32</v>
      </c>
      <c r="H1498" t="s">
        <v>37</v>
      </c>
      <c r="I1498" t="s">
        <v>45</v>
      </c>
      <c r="J1498" s="7">
        <v>1232.18</v>
      </c>
      <c r="K1498" s="8">
        <v>2</v>
      </c>
      <c r="L1498" s="7">
        <v>282.26</v>
      </c>
    </row>
    <row r="1499" spans="1:12" x14ac:dyDescent="0.2">
      <c r="A1499" s="2">
        <v>42633</v>
      </c>
      <c r="B1499" s="8">
        <f>YEAR(Sales_data[[#This Row],[Order Date]])</f>
        <v>2016</v>
      </c>
      <c r="C1499" s="8">
        <f>MONTH(Sales_data[[#This Row],[Order Date]])</f>
        <v>9</v>
      </c>
      <c r="D1499" s="8" t="str">
        <f>TEXT(Sales_data[[#This Row],[Order Date]],"mmm")</f>
        <v>Sep</v>
      </c>
      <c r="E1499" t="s">
        <v>11</v>
      </c>
      <c r="F1499" t="s">
        <v>31</v>
      </c>
      <c r="G1499" t="s">
        <v>33</v>
      </c>
      <c r="H1499" t="s">
        <v>41</v>
      </c>
      <c r="I1499" t="s">
        <v>52</v>
      </c>
      <c r="J1499" s="7">
        <v>1108.52</v>
      </c>
      <c r="K1499" s="8">
        <v>5</v>
      </c>
      <c r="L1499" s="7">
        <v>115.47</v>
      </c>
    </row>
    <row r="1500" spans="1:12" x14ac:dyDescent="0.2">
      <c r="A1500" s="2">
        <v>42633</v>
      </c>
      <c r="B1500" s="8">
        <f>YEAR(Sales_data[[#This Row],[Order Date]])</f>
        <v>2016</v>
      </c>
      <c r="C1500" s="8">
        <f>MONTH(Sales_data[[#This Row],[Order Date]])</f>
        <v>9</v>
      </c>
      <c r="D1500" s="8" t="str">
        <f>TEXT(Sales_data[[#This Row],[Order Date]],"mmm")</f>
        <v>Sep</v>
      </c>
      <c r="E1500" t="s">
        <v>11</v>
      </c>
      <c r="F1500" t="s">
        <v>24</v>
      </c>
      <c r="G1500" t="s">
        <v>33</v>
      </c>
      <c r="H1500" t="s">
        <v>43</v>
      </c>
      <c r="I1500" t="s">
        <v>50</v>
      </c>
      <c r="J1500" s="7">
        <v>698.75</v>
      </c>
      <c r="K1500" s="8">
        <v>9</v>
      </c>
      <c r="L1500" s="7">
        <v>67.37</v>
      </c>
    </row>
    <row r="1501" spans="1:12" x14ac:dyDescent="0.2">
      <c r="A1501" s="2">
        <v>42638</v>
      </c>
      <c r="B1501" s="8">
        <f>YEAR(Sales_data[[#This Row],[Order Date]])</f>
        <v>2016</v>
      </c>
      <c r="C1501" s="8">
        <f>MONTH(Sales_data[[#This Row],[Order Date]])</f>
        <v>9</v>
      </c>
      <c r="D1501" s="8" t="str">
        <f>TEXT(Sales_data[[#This Row],[Order Date]],"mmm")</f>
        <v>Sep</v>
      </c>
      <c r="E1501" t="s">
        <v>17</v>
      </c>
      <c r="F1501" t="s">
        <v>29</v>
      </c>
      <c r="G1501" t="s">
        <v>34</v>
      </c>
      <c r="H1501" t="s">
        <v>43</v>
      </c>
      <c r="I1501" t="s">
        <v>51</v>
      </c>
      <c r="J1501" s="7">
        <v>510.35</v>
      </c>
      <c r="K1501" s="8">
        <v>8</v>
      </c>
      <c r="L1501" s="7">
        <v>393.3</v>
      </c>
    </row>
    <row r="1502" spans="1:12" x14ac:dyDescent="0.2">
      <c r="A1502" s="2">
        <v>42638</v>
      </c>
      <c r="B1502" s="8">
        <f>YEAR(Sales_data[[#This Row],[Order Date]])</f>
        <v>2016</v>
      </c>
      <c r="C1502" s="8">
        <f>MONTH(Sales_data[[#This Row],[Order Date]])</f>
        <v>9</v>
      </c>
      <c r="D1502" s="8" t="str">
        <f>TEXT(Sales_data[[#This Row],[Order Date]],"mmm")</f>
        <v>Sep</v>
      </c>
      <c r="E1502" t="s">
        <v>15</v>
      </c>
      <c r="F1502" t="s">
        <v>24</v>
      </c>
      <c r="G1502" t="s">
        <v>34</v>
      </c>
      <c r="H1502" t="s">
        <v>41</v>
      </c>
      <c r="I1502" t="s">
        <v>51</v>
      </c>
      <c r="J1502" s="7">
        <v>1961.14</v>
      </c>
      <c r="K1502" s="8">
        <v>2</v>
      </c>
      <c r="L1502" s="7">
        <v>309.92</v>
      </c>
    </row>
    <row r="1503" spans="1:12" x14ac:dyDescent="0.2">
      <c r="A1503" s="2">
        <v>42640</v>
      </c>
      <c r="B1503" s="8">
        <f>YEAR(Sales_data[[#This Row],[Order Date]])</f>
        <v>2016</v>
      </c>
      <c r="C1503" s="8">
        <f>MONTH(Sales_data[[#This Row],[Order Date]])</f>
        <v>9</v>
      </c>
      <c r="D1503" s="8" t="str">
        <f>TEXT(Sales_data[[#This Row],[Order Date]],"mmm")</f>
        <v>Sep</v>
      </c>
      <c r="E1503" t="s">
        <v>14</v>
      </c>
      <c r="F1503" t="s">
        <v>28</v>
      </c>
      <c r="G1503" t="s">
        <v>32</v>
      </c>
      <c r="H1503" t="s">
        <v>42</v>
      </c>
      <c r="I1503" t="s">
        <v>46</v>
      </c>
      <c r="J1503" s="7">
        <v>1868.38</v>
      </c>
      <c r="K1503" s="8">
        <v>2</v>
      </c>
      <c r="L1503" s="7">
        <v>-127.66</v>
      </c>
    </row>
    <row r="1504" spans="1:12" x14ac:dyDescent="0.2">
      <c r="A1504" s="2">
        <v>42640</v>
      </c>
      <c r="B1504" s="8">
        <f>YEAR(Sales_data[[#This Row],[Order Date]])</f>
        <v>2016</v>
      </c>
      <c r="C1504" s="8">
        <f>MONTH(Sales_data[[#This Row],[Order Date]])</f>
        <v>9</v>
      </c>
      <c r="D1504" s="8" t="str">
        <f>TEXT(Sales_data[[#This Row],[Order Date]],"mmm")</f>
        <v>Sep</v>
      </c>
      <c r="E1504" t="s">
        <v>9</v>
      </c>
      <c r="F1504" t="s">
        <v>25</v>
      </c>
      <c r="G1504" t="s">
        <v>34</v>
      </c>
      <c r="H1504" t="s">
        <v>39</v>
      </c>
      <c r="I1504" t="s">
        <v>51</v>
      </c>
      <c r="J1504" s="7">
        <v>28.41</v>
      </c>
      <c r="K1504" s="8">
        <v>2</v>
      </c>
      <c r="L1504" s="7">
        <v>185.67</v>
      </c>
    </row>
    <row r="1505" spans="1:12" x14ac:dyDescent="0.2">
      <c r="A1505" s="2">
        <v>42640</v>
      </c>
      <c r="B1505" s="8">
        <f>YEAR(Sales_data[[#This Row],[Order Date]])</f>
        <v>2016</v>
      </c>
      <c r="C1505" s="8">
        <f>MONTH(Sales_data[[#This Row],[Order Date]])</f>
        <v>9</v>
      </c>
      <c r="D1505" s="8" t="str">
        <f>TEXT(Sales_data[[#This Row],[Order Date]],"mmm")</f>
        <v>Sep</v>
      </c>
      <c r="E1505" t="s">
        <v>14</v>
      </c>
      <c r="F1505" t="s">
        <v>22</v>
      </c>
      <c r="G1505" t="s">
        <v>32</v>
      </c>
      <c r="H1505" t="s">
        <v>40</v>
      </c>
      <c r="I1505" t="s">
        <v>47</v>
      </c>
      <c r="J1505" s="7">
        <v>1769.16</v>
      </c>
      <c r="K1505" s="8">
        <v>8</v>
      </c>
      <c r="L1505" s="7">
        <v>59.8</v>
      </c>
    </row>
    <row r="1506" spans="1:12" x14ac:dyDescent="0.2">
      <c r="A1506" s="2">
        <v>42642</v>
      </c>
      <c r="B1506" s="8">
        <f>YEAR(Sales_data[[#This Row],[Order Date]])</f>
        <v>2016</v>
      </c>
      <c r="C1506" s="8">
        <f>MONTH(Sales_data[[#This Row],[Order Date]])</f>
        <v>9</v>
      </c>
      <c r="D1506" s="8" t="str">
        <f>TEXT(Sales_data[[#This Row],[Order Date]],"mmm")</f>
        <v>Sep</v>
      </c>
      <c r="E1506" t="s">
        <v>21</v>
      </c>
      <c r="F1506" t="s">
        <v>29</v>
      </c>
      <c r="G1506" t="s">
        <v>32</v>
      </c>
      <c r="H1506" t="s">
        <v>37</v>
      </c>
      <c r="I1506" t="s">
        <v>44</v>
      </c>
      <c r="J1506" s="7">
        <v>835.55</v>
      </c>
      <c r="K1506" s="8">
        <v>6</v>
      </c>
      <c r="L1506" s="7">
        <v>-121.48</v>
      </c>
    </row>
    <row r="1507" spans="1:12" x14ac:dyDescent="0.2">
      <c r="A1507" s="2">
        <v>42642</v>
      </c>
      <c r="B1507" s="8">
        <f>YEAR(Sales_data[[#This Row],[Order Date]])</f>
        <v>2016</v>
      </c>
      <c r="C1507" s="8">
        <f>MONTH(Sales_data[[#This Row],[Order Date]])</f>
        <v>9</v>
      </c>
      <c r="D1507" s="8" t="str">
        <f>TEXT(Sales_data[[#This Row],[Order Date]],"mmm")</f>
        <v>Sep</v>
      </c>
      <c r="E1507" t="s">
        <v>20</v>
      </c>
      <c r="F1507" t="s">
        <v>30</v>
      </c>
      <c r="G1507" t="s">
        <v>33</v>
      </c>
      <c r="H1507" t="s">
        <v>35</v>
      </c>
      <c r="I1507" t="s">
        <v>51</v>
      </c>
      <c r="J1507" s="7">
        <v>191.22</v>
      </c>
      <c r="K1507" s="8">
        <v>3</v>
      </c>
      <c r="L1507" s="7">
        <v>296.27999999999997</v>
      </c>
    </row>
    <row r="1508" spans="1:12" x14ac:dyDescent="0.2">
      <c r="A1508" s="2">
        <v>42642</v>
      </c>
      <c r="B1508" s="8">
        <f>YEAR(Sales_data[[#This Row],[Order Date]])</f>
        <v>2016</v>
      </c>
      <c r="C1508" s="8">
        <f>MONTH(Sales_data[[#This Row],[Order Date]])</f>
        <v>9</v>
      </c>
      <c r="D1508" s="8" t="str">
        <f>TEXT(Sales_data[[#This Row],[Order Date]],"mmm")</f>
        <v>Sep</v>
      </c>
      <c r="E1508" t="s">
        <v>10</v>
      </c>
      <c r="F1508" t="s">
        <v>28</v>
      </c>
      <c r="G1508" t="s">
        <v>33</v>
      </c>
      <c r="H1508" t="s">
        <v>37</v>
      </c>
      <c r="I1508" t="s">
        <v>49</v>
      </c>
      <c r="J1508" s="7">
        <v>1077.74</v>
      </c>
      <c r="K1508" s="8">
        <v>9</v>
      </c>
      <c r="L1508" s="7">
        <v>-96.6</v>
      </c>
    </row>
    <row r="1509" spans="1:12" x14ac:dyDescent="0.2">
      <c r="A1509" s="2">
        <v>42644</v>
      </c>
      <c r="B1509" s="8">
        <f>YEAR(Sales_data[[#This Row],[Order Date]])</f>
        <v>2016</v>
      </c>
      <c r="C1509" s="8">
        <f>MONTH(Sales_data[[#This Row],[Order Date]])</f>
        <v>10</v>
      </c>
      <c r="D1509" s="8" t="str">
        <f>TEXT(Sales_data[[#This Row],[Order Date]],"mmm")</f>
        <v>Oct</v>
      </c>
      <c r="E1509" t="s">
        <v>13</v>
      </c>
      <c r="F1509" t="s">
        <v>31</v>
      </c>
      <c r="G1509" t="s">
        <v>32</v>
      </c>
      <c r="H1509" t="s">
        <v>43</v>
      </c>
      <c r="I1509" t="s">
        <v>47</v>
      </c>
      <c r="J1509" s="7">
        <v>211.05</v>
      </c>
      <c r="K1509" s="8">
        <v>5</v>
      </c>
      <c r="L1509" s="7">
        <v>-37.74</v>
      </c>
    </row>
    <row r="1510" spans="1:12" x14ac:dyDescent="0.2">
      <c r="A1510" s="2">
        <v>42644</v>
      </c>
      <c r="B1510" s="8">
        <f>YEAR(Sales_data[[#This Row],[Order Date]])</f>
        <v>2016</v>
      </c>
      <c r="C1510" s="8">
        <f>MONTH(Sales_data[[#This Row],[Order Date]])</f>
        <v>10</v>
      </c>
      <c r="D1510" s="8" t="str">
        <f>TEXT(Sales_data[[#This Row],[Order Date]],"mmm")</f>
        <v>Oct</v>
      </c>
      <c r="E1510" t="s">
        <v>16</v>
      </c>
      <c r="F1510" t="s">
        <v>30</v>
      </c>
      <c r="G1510" t="s">
        <v>33</v>
      </c>
      <c r="H1510" t="s">
        <v>35</v>
      </c>
      <c r="I1510" t="s">
        <v>51</v>
      </c>
      <c r="J1510" s="7">
        <v>1637.79</v>
      </c>
      <c r="K1510" s="8">
        <v>3</v>
      </c>
      <c r="L1510" s="7">
        <v>287.11</v>
      </c>
    </row>
    <row r="1511" spans="1:12" x14ac:dyDescent="0.2">
      <c r="A1511" s="2">
        <v>42644</v>
      </c>
      <c r="B1511" s="8">
        <f>YEAR(Sales_data[[#This Row],[Order Date]])</f>
        <v>2016</v>
      </c>
      <c r="C1511" s="8">
        <f>MONTH(Sales_data[[#This Row],[Order Date]])</f>
        <v>10</v>
      </c>
      <c r="D1511" s="8" t="str">
        <f>TEXT(Sales_data[[#This Row],[Order Date]],"mmm")</f>
        <v>Oct</v>
      </c>
      <c r="E1511" t="s">
        <v>15</v>
      </c>
      <c r="F1511" t="s">
        <v>29</v>
      </c>
      <c r="G1511" t="s">
        <v>34</v>
      </c>
      <c r="H1511" t="s">
        <v>37</v>
      </c>
      <c r="I1511" t="s">
        <v>46</v>
      </c>
      <c r="J1511" s="7">
        <v>913.65</v>
      </c>
      <c r="K1511" s="8">
        <v>4</v>
      </c>
      <c r="L1511" s="7">
        <v>-106.81</v>
      </c>
    </row>
    <row r="1512" spans="1:12" x14ac:dyDescent="0.2">
      <c r="A1512" s="2">
        <v>42644</v>
      </c>
      <c r="B1512" s="8">
        <f>YEAR(Sales_data[[#This Row],[Order Date]])</f>
        <v>2016</v>
      </c>
      <c r="C1512" s="8">
        <f>MONTH(Sales_data[[#This Row],[Order Date]])</f>
        <v>10</v>
      </c>
      <c r="D1512" s="8" t="str">
        <f>TEXT(Sales_data[[#This Row],[Order Date]],"mmm")</f>
        <v>Oct</v>
      </c>
      <c r="E1512" t="s">
        <v>20</v>
      </c>
      <c r="F1512" t="s">
        <v>28</v>
      </c>
      <c r="G1512" t="s">
        <v>34</v>
      </c>
      <c r="H1512" t="s">
        <v>41</v>
      </c>
      <c r="I1512" t="s">
        <v>52</v>
      </c>
      <c r="J1512" s="7">
        <v>1439.88</v>
      </c>
      <c r="K1512" s="8">
        <v>5</v>
      </c>
      <c r="L1512" s="7">
        <v>-111.42</v>
      </c>
    </row>
    <row r="1513" spans="1:12" x14ac:dyDescent="0.2">
      <c r="A1513" s="2">
        <v>42646</v>
      </c>
      <c r="B1513" s="8">
        <f>YEAR(Sales_data[[#This Row],[Order Date]])</f>
        <v>2016</v>
      </c>
      <c r="C1513" s="8">
        <f>MONTH(Sales_data[[#This Row],[Order Date]])</f>
        <v>10</v>
      </c>
      <c r="D1513" s="8" t="str">
        <f>TEXT(Sales_data[[#This Row],[Order Date]],"mmm")</f>
        <v>Oct</v>
      </c>
      <c r="E1513" t="s">
        <v>11</v>
      </c>
      <c r="F1513" t="s">
        <v>30</v>
      </c>
      <c r="G1513" t="s">
        <v>34</v>
      </c>
      <c r="H1513" t="s">
        <v>35</v>
      </c>
      <c r="I1513" t="s">
        <v>48</v>
      </c>
      <c r="J1513" s="7">
        <v>1161.3800000000001</v>
      </c>
      <c r="K1513" s="8">
        <v>7</v>
      </c>
      <c r="L1513" s="7">
        <v>40.81</v>
      </c>
    </row>
    <row r="1514" spans="1:12" x14ac:dyDescent="0.2">
      <c r="A1514" s="2">
        <v>42646</v>
      </c>
      <c r="B1514" s="8">
        <f>YEAR(Sales_data[[#This Row],[Order Date]])</f>
        <v>2016</v>
      </c>
      <c r="C1514" s="8">
        <f>MONTH(Sales_data[[#This Row],[Order Date]])</f>
        <v>10</v>
      </c>
      <c r="D1514" s="8" t="str">
        <f>TEXT(Sales_data[[#This Row],[Order Date]],"mmm")</f>
        <v>Oct</v>
      </c>
      <c r="E1514" t="s">
        <v>13</v>
      </c>
      <c r="F1514" t="s">
        <v>29</v>
      </c>
      <c r="G1514" t="s">
        <v>34</v>
      </c>
      <c r="H1514" t="s">
        <v>35</v>
      </c>
      <c r="I1514" t="s">
        <v>50</v>
      </c>
      <c r="J1514" s="7">
        <v>764.53</v>
      </c>
      <c r="K1514" s="8">
        <v>6</v>
      </c>
      <c r="L1514" s="7">
        <v>-52.7</v>
      </c>
    </row>
    <row r="1515" spans="1:12" x14ac:dyDescent="0.2">
      <c r="A1515" s="2">
        <v>42646</v>
      </c>
      <c r="B1515" s="8">
        <f>YEAR(Sales_data[[#This Row],[Order Date]])</f>
        <v>2016</v>
      </c>
      <c r="C1515" s="8">
        <f>MONTH(Sales_data[[#This Row],[Order Date]])</f>
        <v>10</v>
      </c>
      <c r="D1515" s="8" t="str">
        <f>TEXT(Sales_data[[#This Row],[Order Date]],"mmm")</f>
        <v>Oct</v>
      </c>
      <c r="E1515" t="s">
        <v>10</v>
      </c>
      <c r="F1515" t="s">
        <v>28</v>
      </c>
      <c r="G1515" t="s">
        <v>32</v>
      </c>
      <c r="H1515" t="s">
        <v>35</v>
      </c>
      <c r="I1515" t="s">
        <v>44</v>
      </c>
      <c r="J1515" s="7">
        <v>399.19</v>
      </c>
      <c r="K1515" s="8">
        <v>4</v>
      </c>
      <c r="L1515" s="7">
        <v>-12.66</v>
      </c>
    </row>
    <row r="1516" spans="1:12" x14ac:dyDescent="0.2">
      <c r="A1516" s="2">
        <v>42647</v>
      </c>
      <c r="B1516" s="8">
        <f>YEAR(Sales_data[[#This Row],[Order Date]])</f>
        <v>2016</v>
      </c>
      <c r="C1516" s="8">
        <f>MONTH(Sales_data[[#This Row],[Order Date]])</f>
        <v>10</v>
      </c>
      <c r="D1516" s="8" t="str">
        <f>TEXT(Sales_data[[#This Row],[Order Date]],"mmm")</f>
        <v>Oct</v>
      </c>
      <c r="E1516" t="s">
        <v>16</v>
      </c>
      <c r="F1516" t="s">
        <v>28</v>
      </c>
      <c r="G1516" t="s">
        <v>34</v>
      </c>
      <c r="H1516" t="s">
        <v>38</v>
      </c>
      <c r="I1516" t="s">
        <v>47</v>
      </c>
      <c r="J1516" s="7">
        <v>1278.52</v>
      </c>
      <c r="K1516" s="8">
        <v>3</v>
      </c>
      <c r="L1516" s="7">
        <v>127.14</v>
      </c>
    </row>
    <row r="1517" spans="1:12" x14ac:dyDescent="0.2">
      <c r="A1517" s="2">
        <v>42647</v>
      </c>
      <c r="B1517" s="8">
        <f>YEAR(Sales_data[[#This Row],[Order Date]])</f>
        <v>2016</v>
      </c>
      <c r="C1517" s="8">
        <f>MONTH(Sales_data[[#This Row],[Order Date]])</f>
        <v>10</v>
      </c>
      <c r="D1517" s="8" t="str">
        <f>TEXT(Sales_data[[#This Row],[Order Date]],"mmm")</f>
        <v>Oct</v>
      </c>
      <c r="E1517" t="s">
        <v>17</v>
      </c>
      <c r="F1517" t="s">
        <v>28</v>
      </c>
      <c r="G1517" t="s">
        <v>32</v>
      </c>
      <c r="H1517" t="s">
        <v>41</v>
      </c>
      <c r="I1517" t="s">
        <v>47</v>
      </c>
      <c r="J1517" s="7">
        <v>1209.5899999999999</v>
      </c>
      <c r="K1517" s="8">
        <v>1</v>
      </c>
      <c r="L1517" s="7">
        <v>-18.36</v>
      </c>
    </row>
    <row r="1518" spans="1:12" x14ac:dyDescent="0.2">
      <c r="A1518" s="2">
        <v>42647</v>
      </c>
      <c r="B1518" s="8">
        <f>YEAR(Sales_data[[#This Row],[Order Date]])</f>
        <v>2016</v>
      </c>
      <c r="C1518" s="8">
        <f>MONTH(Sales_data[[#This Row],[Order Date]])</f>
        <v>10</v>
      </c>
      <c r="D1518" s="8" t="str">
        <f>TEXT(Sales_data[[#This Row],[Order Date]],"mmm")</f>
        <v>Oct</v>
      </c>
      <c r="E1518" t="s">
        <v>19</v>
      </c>
      <c r="F1518" t="s">
        <v>24</v>
      </c>
      <c r="G1518" t="s">
        <v>33</v>
      </c>
      <c r="H1518" t="s">
        <v>38</v>
      </c>
      <c r="I1518" t="s">
        <v>49</v>
      </c>
      <c r="J1518" s="7">
        <v>130.27000000000001</v>
      </c>
      <c r="K1518" s="8">
        <v>9</v>
      </c>
      <c r="L1518" s="7">
        <v>54.78</v>
      </c>
    </row>
    <row r="1519" spans="1:12" x14ac:dyDescent="0.2">
      <c r="A1519" s="2">
        <v>42647</v>
      </c>
      <c r="B1519" s="8">
        <f>YEAR(Sales_data[[#This Row],[Order Date]])</f>
        <v>2016</v>
      </c>
      <c r="C1519" s="8">
        <f>MONTH(Sales_data[[#This Row],[Order Date]])</f>
        <v>10</v>
      </c>
      <c r="D1519" s="8" t="str">
        <f>TEXT(Sales_data[[#This Row],[Order Date]],"mmm")</f>
        <v>Oct</v>
      </c>
      <c r="E1519" t="s">
        <v>13</v>
      </c>
      <c r="F1519" t="s">
        <v>27</v>
      </c>
      <c r="G1519" t="s">
        <v>33</v>
      </c>
      <c r="H1519" t="s">
        <v>40</v>
      </c>
      <c r="I1519" t="s">
        <v>44</v>
      </c>
      <c r="J1519" s="7">
        <v>435.87</v>
      </c>
      <c r="K1519" s="8">
        <v>8</v>
      </c>
      <c r="L1519" s="7">
        <v>-79</v>
      </c>
    </row>
    <row r="1520" spans="1:12" x14ac:dyDescent="0.2">
      <c r="A1520" s="2">
        <v>42647</v>
      </c>
      <c r="B1520" s="8">
        <f>YEAR(Sales_data[[#This Row],[Order Date]])</f>
        <v>2016</v>
      </c>
      <c r="C1520" s="8">
        <f>MONTH(Sales_data[[#This Row],[Order Date]])</f>
        <v>10</v>
      </c>
      <c r="D1520" s="8" t="str">
        <f>TEXT(Sales_data[[#This Row],[Order Date]],"mmm")</f>
        <v>Oct</v>
      </c>
      <c r="E1520" t="s">
        <v>11</v>
      </c>
      <c r="F1520" t="s">
        <v>24</v>
      </c>
      <c r="G1520" t="s">
        <v>34</v>
      </c>
      <c r="H1520" t="s">
        <v>37</v>
      </c>
      <c r="I1520" t="s">
        <v>49</v>
      </c>
      <c r="J1520" s="7">
        <v>667.96</v>
      </c>
      <c r="K1520" s="8">
        <v>8</v>
      </c>
      <c r="L1520" s="7">
        <v>264.41000000000003</v>
      </c>
    </row>
    <row r="1521" spans="1:12" x14ac:dyDescent="0.2">
      <c r="A1521" s="2">
        <v>42648</v>
      </c>
      <c r="B1521" s="8">
        <f>YEAR(Sales_data[[#This Row],[Order Date]])</f>
        <v>2016</v>
      </c>
      <c r="C1521" s="8">
        <f>MONTH(Sales_data[[#This Row],[Order Date]])</f>
        <v>10</v>
      </c>
      <c r="D1521" s="8" t="str">
        <f>TEXT(Sales_data[[#This Row],[Order Date]],"mmm")</f>
        <v>Oct</v>
      </c>
      <c r="E1521" t="s">
        <v>9</v>
      </c>
      <c r="F1521" t="s">
        <v>25</v>
      </c>
      <c r="G1521" t="s">
        <v>33</v>
      </c>
      <c r="H1521" t="s">
        <v>42</v>
      </c>
      <c r="I1521" t="s">
        <v>50</v>
      </c>
      <c r="J1521" s="7">
        <v>665.54</v>
      </c>
      <c r="K1521" s="8">
        <v>4</v>
      </c>
      <c r="L1521" s="7">
        <v>-168.52</v>
      </c>
    </row>
    <row r="1522" spans="1:12" x14ac:dyDescent="0.2">
      <c r="A1522" s="2">
        <v>42648</v>
      </c>
      <c r="B1522" s="8">
        <f>YEAR(Sales_data[[#This Row],[Order Date]])</f>
        <v>2016</v>
      </c>
      <c r="C1522" s="8">
        <f>MONTH(Sales_data[[#This Row],[Order Date]])</f>
        <v>10</v>
      </c>
      <c r="D1522" s="8" t="str">
        <f>TEXT(Sales_data[[#This Row],[Order Date]],"mmm")</f>
        <v>Oct</v>
      </c>
      <c r="E1522" t="s">
        <v>17</v>
      </c>
      <c r="F1522" t="s">
        <v>22</v>
      </c>
      <c r="G1522" t="s">
        <v>34</v>
      </c>
      <c r="H1522" t="s">
        <v>36</v>
      </c>
      <c r="I1522" t="s">
        <v>49</v>
      </c>
      <c r="J1522" s="7">
        <v>125.75</v>
      </c>
      <c r="K1522" s="8">
        <v>1</v>
      </c>
      <c r="L1522" s="7">
        <v>-66.849999999999994</v>
      </c>
    </row>
    <row r="1523" spans="1:12" x14ac:dyDescent="0.2">
      <c r="A1523" s="2">
        <v>42652</v>
      </c>
      <c r="B1523" s="8">
        <f>YEAR(Sales_data[[#This Row],[Order Date]])</f>
        <v>2016</v>
      </c>
      <c r="C1523" s="8">
        <f>MONTH(Sales_data[[#This Row],[Order Date]])</f>
        <v>10</v>
      </c>
      <c r="D1523" s="8" t="str">
        <f>TEXT(Sales_data[[#This Row],[Order Date]],"mmm")</f>
        <v>Oct</v>
      </c>
      <c r="E1523" t="s">
        <v>10</v>
      </c>
      <c r="F1523" t="s">
        <v>24</v>
      </c>
      <c r="G1523" t="s">
        <v>34</v>
      </c>
      <c r="H1523" t="s">
        <v>36</v>
      </c>
      <c r="I1523" t="s">
        <v>52</v>
      </c>
      <c r="J1523" s="7">
        <v>1130.6199999999999</v>
      </c>
      <c r="K1523" s="8">
        <v>5</v>
      </c>
      <c r="L1523" s="7">
        <v>223.26</v>
      </c>
    </row>
    <row r="1524" spans="1:12" x14ac:dyDescent="0.2">
      <c r="A1524" s="2">
        <v>42654</v>
      </c>
      <c r="B1524" s="8">
        <f>YEAR(Sales_data[[#This Row],[Order Date]])</f>
        <v>2016</v>
      </c>
      <c r="C1524" s="8">
        <f>MONTH(Sales_data[[#This Row],[Order Date]])</f>
        <v>10</v>
      </c>
      <c r="D1524" s="8" t="str">
        <f>TEXT(Sales_data[[#This Row],[Order Date]],"mmm")</f>
        <v>Oct</v>
      </c>
      <c r="E1524" t="s">
        <v>14</v>
      </c>
      <c r="F1524" t="s">
        <v>25</v>
      </c>
      <c r="G1524" t="s">
        <v>34</v>
      </c>
      <c r="H1524" t="s">
        <v>35</v>
      </c>
      <c r="I1524" t="s">
        <v>46</v>
      </c>
      <c r="J1524" s="7">
        <v>1381.57</v>
      </c>
      <c r="K1524" s="8">
        <v>6</v>
      </c>
      <c r="L1524" s="7">
        <v>362.94</v>
      </c>
    </row>
    <row r="1525" spans="1:12" x14ac:dyDescent="0.2">
      <c r="A1525" s="2">
        <v>42655</v>
      </c>
      <c r="B1525" s="8">
        <f>YEAR(Sales_data[[#This Row],[Order Date]])</f>
        <v>2016</v>
      </c>
      <c r="C1525" s="8">
        <f>MONTH(Sales_data[[#This Row],[Order Date]])</f>
        <v>10</v>
      </c>
      <c r="D1525" s="8" t="str">
        <f>TEXT(Sales_data[[#This Row],[Order Date]],"mmm")</f>
        <v>Oct</v>
      </c>
      <c r="E1525" t="s">
        <v>11</v>
      </c>
      <c r="F1525" t="s">
        <v>25</v>
      </c>
      <c r="G1525" t="s">
        <v>34</v>
      </c>
      <c r="H1525" t="s">
        <v>39</v>
      </c>
      <c r="I1525" t="s">
        <v>51</v>
      </c>
      <c r="J1525" s="7">
        <v>1182</v>
      </c>
      <c r="K1525" s="8">
        <v>8</v>
      </c>
      <c r="L1525" s="7">
        <v>6.86</v>
      </c>
    </row>
    <row r="1526" spans="1:12" x14ac:dyDescent="0.2">
      <c r="A1526" s="2">
        <v>42657</v>
      </c>
      <c r="B1526" s="8">
        <f>YEAR(Sales_data[[#This Row],[Order Date]])</f>
        <v>2016</v>
      </c>
      <c r="C1526" s="8">
        <f>MONTH(Sales_data[[#This Row],[Order Date]])</f>
        <v>10</v>
      </c>
      <c r="D1526" s="8" t="str">
        <f>TEXT(Sales_data[[#This Row],[Order Date]],"mmm")</f>
        <v>Oct</v>
      </c>
      <c r="E1526" t="s">
        <v>12</v>
      </c>
      <c r="F1526" t="s">
        <v>23</v>
      </c>
      <c r="G1526" t="s">
        <v>33</v>
      </c>
      <c r="H1526" t="s">
        <v>35</v>
      </c>
      <c r="I1526" t="s">
        <v>47</v>
      </c>
      <c r="J1526" s="7">
        <v>1467.26</v>
      </c>
      <c r="K1526" s="8">
        <v>6</v>
      </c>
      <c r="L1526" s="7">
        <v>28</v>
      </c>
    </row>
    <row r="1527" spans="1:12" x14ac:dyDescent="0.2">
      <c r="A1527" s="2">
        <v>42657</v>
      </c>
      <c r="B1527" s="8">
        <f>YEAR(Sales_data[[#This Row],[Order Date]])</f>
        <v>2016</v>
      </c>
      <c r="C1527" s="8">
        <f>MONTH(Sales_data[[#This Row],[Order Date]])</f>
        <v>10</v>
      </c>
      <c r="D1527" s="8" t="str">
        <f>TEXT(Sales_data[[#This Row],[Order Date]],"mmm")</f>
        <v>Oct</v>
      </c>
      <c r="E1527" t="s">
        <v>13</v>
      </c>
      <c r="F1527" t="s">
        <v>22</v>
      </c>
      <c r="G1527" t="s">
        <v>34</v>
      </c>
      <c r="H1527" t="s">
        <v>41</v>
      </c>
      <c r="I1527" t="s">
        <v>48</v>
      </c>
      <c r="J1527" s="7">
        <v>187.12</v>
      </c>
      <c r="K1527" s="8">
        <v>7</v>
      </c>
      <c r="L1527" s="7">
        <v>90.43</v>
      </c>
    </row>
    <row r="1528" spans="1:12" x14ac:dyDescent="0.2">
      <c r="A1528" s="2">
        <v>42657</v>
      </c>
      <c r="B1528" s="8">
        <f>YEAR(Sales_data[[#This Row],[Order Date]])</f>
        <v>2016</v>
      </c>
      <c r="C1528" s="8">
        <f>MONTH(Sales_data[[#This Row],[Order Date]])</f>
        <v>10</v>
      </c>
      <c r="D1528" s="8" t="str">
        <f>TEXT(Sales_data[[#This Row],[Order Date]],"mmm")</f>
        <v>Oct</v>
      </c>
      <c r="E1528" t="s">
        <v>16</v>
      </c>
      <c r="F1528" t="s">
        <v>22</v>
      </c>
      <c r="G1528" t="s">
        <v>34</v>
      </c>
      <c r="H1528" t="s">
        <v>41</v>
      </c>
      <c r="I1528" t="s">
        <v>47</v>
      </c>
      <c r="J1528" s="7">
        <v>263.47000000000003</v>
      </c>
      <c r="K1528" s="8">
        <v>7</v>
      </c>
      <c r="L1528" s="7">
        <v>-85.73</v>
      </c>
    </row>
    <row r="1529" spans="1:12" x14ac:dyDescent="0.2">
      <c r="A1529" s="2">
        <v>42658</v>
      </c>
      <c r="B1529" s="8">
        <f>YEAR(Sales_data[[#This Row],[Order Date]])</f>
        <v>2016</v>
      </c>
      <c r="C1529" s="8">
        <f>MONTH(Sales_data[[#This Row],[Order Date]])</f>
        <v>10</v>
      </c>
      <c r="D1529" s="8" t="str">
        <f>TEXT(Sales_data[[#This Row],[Order Date]],"mmm")</f>
        <v>Oct</v>
      </c>
      <c r="E1529" t="s">
        <v>21</v>
      </c>
      <c r="F1529" t="s">
        <v>22</v>
      </c>
      <c r="G1529" t="s">
        <v>34</v>
      </c>
      <c r="H1529" t="s">
        <v>40</v>
      </c>
      <c r="I1529" t="s">
        <v>53</v>
      </c>
      <c r="J1529" s="7">
        <v>349.42</v>
      </c>
      <c r="K1529" s="8">
        <v>4</v>
      </c>
      <c r="L1529" s="7">
        <v>221.74</v>
      </c>
    </row>
    <row r="1530" spans="1:12" x14ac:dyDescent="0.2">
      <c r="A1530" s="2">
        <v>42659</v>
      </c>
      <c r="B1530" s="8">
        <f>YEAR(Sales_data[[#This Row],[Order Date]])</f>
        <v>2016</v>
      </c>
      <c r="C1530" s="8">
        <f>MONTH(Sales_data[[#This Row],[Order Date]])</f>
        <v>10</v>
      </c>
      <c r="D1530" s="8" t="str">
        <f>TEXT(Sales_data[[#This Row],[Order Date]],"mmm")</f>
        <v>Oct</v>
      </c>
      <c r="E1530" t="s">
        <v>17</v>
      </c>
      <c r="F1530" t="s">
        <v>25</v>
      </c>
      <c r="G1530" t="s">
        <v>34</v>
      </c>
      <c r="H1530" t="s">
        <v>39</v>
      </c>
      <c r="I1530" t="s">
        <v>46</v>
      </c>
      <c r="J1530" s="7">
        <v>932.71</v>
      </c>
      <c r="K1530" s="8">
        <v>7</v>
      </c>
      <c r="L1530" s="7">
        <v>125.87</v>
      </c>
    </row>
    <row r="1531" spans="1:12" x14ac:dyDescent="0.2">
      <c r="A1531" s="2">
        <v>42659</v>
      </c>
      <c r="B1531" s="8">
        <f>YEAR(Sales_data[[#This Row],[Order Date]])</f>
        <v>2016</v>
      </c>
      <c r="C1531" s="8">
        <f>MONTH(Sales_data[[#This Row],[Order Date]])</f>
        <v>10</v>
      </c>
      <c r="D1531" s="8" t="str">
        <f>TEXT(Sales_data[[#This Row],[Order Date]],"mmm")</f>
        <v>Oct</v>
      </c>
      <c r="E1531" t="s">
        <v>9</v>
      </c>
      <c r="F1531" t="s">
        <v>31</v>
      </c>
      <c r="G1531" t="s">
        <v>32</v>
      </c>
      <c r="H1531" t="s">
        <v>37</v>
      </c>
      <c r="I1531" t="s">
        <v>50</v>
      </c>
      <c r="J1531" s="7">
        <v>1361.84</v>
      </c>
      <c r="K1531" s="8">
        <v>3</v>
      </c>
      <c r="L1531" s="7">
        <v>14.29</v>
      </c>
    </row>
    <row r="1532" spans="1:12" x14ac:dyDescent="0.2">
      <c r="A1532" s="2">
        <v>42661</v>
      </c>
      <c r="B1532" s="8">
        <f>YEAR(Sales_data[[#This Row],[Order Date]])</f>
        <v>2016</v>
      </c>
      <c r="C1532" s="8">
        <f>MONTH(Sales_data[[#This Row],[Order Date]])</f>
        <v>10</v>
      </c>
      <c r="D1532" s="8" t="str">
        <f>TEXT(Sales_data[[#This Row],[Order Date]],"mmm")</f>
        <v>Oct</v>
      </c>
      <c r="E1532" t="s">
        <v>17</v>
      </c>
      <c r="F1532" t="s">
        <v>28</v>
      </c>
      <c r="G1532" t="s">
        <v>34</v>
      </c>
      <c r="H1532" t="s">
        <v>35</v>
      </c>
      <c r="I1532" t="s">
        <v>50</v>
      </c>
      <c r="J1532" s="7">
        <v>269.61</v>
      </c>
      <c r="K1532" s="8">
        <v>1</v>
      </c>
      <c r="L1532" s="7">
        <v>79.260000000000005</v>
      </c>
    </row>
    <row r="1533" spans="1:12" x14ac:dyDescent="0.2">
      <c r="A1533" s="2">
        <v>42662</v>
      </c>
      <c r="B1533" s="8">
        <f>YEAR(Sales_data[[#This Row],[Order Date]])</f>
        <v>2016</v>
      </c>
      <c r="C1533" s="8">
        <f>MONTH(Sales_data[[#This Row],[Order Date]])</f>
        <v>10</v>
      </c>
      <c r="D1533" s="8" t="str">
        <f>TEXT(Sales_data[[#This Row],[Order Date]],"mmm")</f>
        <v>Oct</v>
      </c>
      <c r="E1533" t="s">
        <v>11</v>
      </c>
      <c r="F1533" t="s">
        <v>26</v>
      </c>
      <c r="G1533" t="s">
        <v>33</v>
      </c>
      <c r="H1533" t="s">
        <v>43</v>
      </c>
      <c r="I1533" t="s">
        <v>51</v>
      </c>
      <c r="J1533" s="7">
        <v>1421.45</v>
      </c>
      <c r="K1533" s="8">
        <v>5</v>
      </c>
      <c r="L1533" s="7">
        <v>-7.88</v>
      </c>
    </row>
    <row r="1534" spans="1:12" x14ac:dyDescent="0.2">
      <c r="A1534" s="2">
        <v>42663</v>
      </c>
      <c r="B1534" s="8">
        <f>YEAR(Sales_data[[#This Row],[Order Date]])</f>
        <v>2016</v>
      </c>
      <c r="C1534" s="8">
        <f>MONTH(Sales_data[[#This Row],[Order Date]])</f>
        <v>10</v>
      </c>
      <c r="D1534" s="8" t="str">
        <f>TEXT(Sales_data[[#This Row],[Order Date]],"mmm")</f>
        <v>Oct</v>
      </c>
      <c r="E1534" t="s">
        <v>11</v>
      </c>
      <c r="F1534" t="s">
        <v>27</v>
      </c>
      <c r="G1534" t="s">
        <v>34</v>
      </c>
      <c r="H1534" t="s">
        <v>37</v>
      </c>
      <c r="I1534" t="s">
        <v>46</v>
      </c>
      <c r="J1534" s="7">
        <v>944.99</v>
      </c>
      <c r="K1534" s="8">
        <v>9</v>
      </c>
      <c r="L1534" s="7">
        <v>271.77999999999997</v>
      </c>
    </row>
    <row r="1535" spans="1:12" x14ac:dyDescent="0.2">
      <c r="A1535" s="2">
        <v>42663</v>
      </c>
      <c r="B1535" s="8">
        <f>YEAR(Sales_data[[#This Row],[Order Date]])</f>
        <v>2016</v>
      </c>
      <c r="C1535" s="8">
        <f>MONTH(Sales_data[[#This Row],[Order Date]])</f>
        <v>10</v>
      </c>
      <c r="D1535" s="8" t="str">
        <f>TEXT(Sales_data[[#This Row],[Order Date]],"mmm")</f>
        <v>Oct</v>
      </c>
      <c r="E1535" t="s">
        <v>13</v>
      </c>
      <c r="F1535" t="s">
        <v>28</v>
      </c>
      <c r="G1535" t="s">
        <v>32</v>
      </c>
      <c r="H1535" t="s">
        <v>39</v>
      </c>
      <c r="I1535" t="s">
        <v>49</v>
      </c>
      <c r="J1535" s="7">
        <v>1382.89</v>
      </c>
      <c r="K1535" s="8">
        <v>4</v>
      </c>
      <c r="L1535" s="7">
        <v>-75.52</v>
      </c>
    </row>
    <row r="1536" spans="1:12" x14ac:dyDescent="0.2">
      <c r="A1536" s="2">
        <v>42664</v>
      </c>
      <c r="B1536" s="8">
        <f>YEAR(Sales_data[[#This Row],[Order Date]])</f>
        <v>2016</v>
      </c>
      <c r="C1536" s="8">
        <f>MONTH(Sales_data[[#This Row],[Order Date]])</f>
        <v>10</v>
      </c>
      <c r="D1536" s="8" t="str">
        <f>TEXT(Sales_data[[#This Row],[Order Date]],"mmm")</f>
        <v>Oct</v>
      </c>
      <c r="E1536" t="s">
        <v>19</v>
      </c>
      <c r="F1536" t="s">
        <v>25</v>
      </c>
      <c r="G1536" t="s">
        <v>34</v>
      </c>
      <c r="H1536" t="s">
        <v>36</v>
      </c>
      <c r="I1536" t="s">
        <v>44</v>
      </c>
      <c r="J1536" s="7">
        <v>1677.94</v>
      </c>
      <c r="K1536" s="8">
        <v>7</v>
      </c>
      <c r="L1536" s="7">
        <v>241.37</v>
      </c>
    </row>
    <row r="1537" spans="1:12" x14ac:dyDescent="0.2">
      <c r="A1537" s="2">
        <v>42665</v>
      </c>
      <c r="B1537" s="8">
        <f>YEAR(Sales_data[[#This Row],[Order Date]])</f>
        <v>2016</v>
      </c>
      <c r="C1537" s="8">
        <f>MONTH(Sales_data[[#This Row],[Order Date]])</f>
        <v>10</v>
      </c>
      <c r="D1537" s="8" t="str">
        <f>TEXT(Sales_data[[#This Row],[Order Date]],"mmm")</f>
        <v>Oct</v>
      </c>
      <c r="E1537" t="s">
        <v>14</v>
      </c>
      <c r="F1537" t="s">
        <v>22</v>
      </c>
      <c r="G1537" t="s">
        <v>34</v>
      </c>
      <c r="H1537" t="s">
        <v>42</v>
      </c>
      <c r="I1537" t="s">
        <v>51</v>
      </c>
      <c r="J1537" s="7">
        <v>1916.09</v>
      </c>
      <c r="K1537" s="8">
        <v>8</v>
      </c>
      <c r="L1537" s="7">
        <v>-157.16</v>
      </c>
    </row>
    <row r="1538" spans="1:12" x14ac:dyDescent="0.2">
      <c r="A1538" s="2">
        <v>42665</v>
      </c>
      <c r="B1538" s="8">
        <f>YEAR(Sales_data[[#This Row],[Order Date]])</f>
        <v>2016</v>
      </c>
      <c r="C1538" s="8">
        <f>MONTH(Sales_data[[#This Row],[Order Date]])</f>
        <v>10</v>
      </c>
      <c r="D1538" s="8" t="str">
        <f>TEXT(Sales_data[[#This Row],[Order Date]],"mmm")</f>
        <v>Oct</v>
      </c>
      <c r="E1538" t="s">
        <v>18</v>
      </c>
      <c r="F1538" t="s">
        <v>29</v>
      </c>
      <c r="G1538" t="s">
        <v>34</v>
      </c>
      <c r="H1538" t="s">
        <v>42</v>
      </c>
      <c r="I1538" t="s">
        <v>51</v>
      </c>
      <c r="J1538" s="7">
        <v>151.03</v>
      </c>
      <c r="K1538" s="8">
        <v>3</v>
      </c>
      <c r="L1538" s="7">
        <v>132.08000000000001</v>
      </c>
    </row>
    <row r="1539" spans="1:12" x14ac:dyDescent="0.2">
      <c r="A1539" s="2">
        <v>42667</v>
      </c>
      <c r="B1539" s="8">
        <f>YEAR(Sales_data[[#This Row],[Order Date]])</f>
        <v>2016</v>
      </c>
      <c r="C1539" s="8">
        <f>MONTH(Sales_data[[#This Row],[Order Date]])</f>
        <v>10</v>
      </c>
      <c r="D1539" s="8" t="str">
        <f>TEXT(Sales_data[[#This Row],[Order Date]],"mmm")</f>
        <v>Oct</v>
      </c>
      <c r="E1539" t="s">
        <v>16</v>
      </c>
      <c r="F1539" t="s">
        <v>25</v>
      </c>
      <c r="G1539" t="s">
        <v>33</v>
      </c>
      <c r="H1539" t="s">
        <v>35</v>
      </c>
      <c r="I1539" t="s">
        <v>51</v>
      </c>
      <c r="J1539" s="7">
        <v>1074.4000000000001</v>
      </c>
      <c r="K1539" s="8">
        <v>3</v>
      </c>
      <c r="L1539" s="7">
        <v>-104.42</v>
      </c>
    </row>
    <row r="1540" spans="1:12" x14ac:dyDescent="0.2">
      <c r="A1540" s="2">
        <v>42667</v>
      </c>
      <c r="B1540" s="8">
        <f>YEAR(Sales_data[[#This Row],[Order Date]])</f>
        <v>2016</v>
      </c>
      <c r="C1540" s="8">
        <f>MONTH(Sales_data[[#This Row],[Order Date]])</f>
        <v>10</v>
      </c>
      <c r="D1540" s="8" t="str">
        <f>TEXT(Sales_data[[#This Row],[Order Date]],"mmm")</f>
        <v>Oct</v>
      </c>
      <c r="E1540" t="s">
        <v>18</v>
      </c>
      <c r="F1540" t="s">
        <v>23</v>
      </c>
      <c r="G1540" t="s">
        <v>32</v>
      </c>
      <c r="H1540" t="s">
        <v>37</v>
      </c>
      <c r="I1540" t="s">
        <v>53</v>
      </c>
      <c r="J1540" s="7">
        <v>1399.45</v>
      </c>
      <c r="K1540" s="8">
        <v>7</v>
      </c>
      <c r="L1540" s="7">
        <v>359.38</v>
      </c>
    </row>
    <row r="1541" spans="1:12" x14ac:dyDescent="0.2">
      <c r="A1541" s="2">
        <v>42667</v>
      </c>
      <c r="B1541" s="8">
        <f>YEAR(Sales_data[[#This Row],[Order Date]])</f>
        <v>2016</v>
      </c>
      <c r="C1541" s="8">
        <f>MONTH(Sales_data[[#This Row],[Order Date]])</f>
        <v>10</v>
      </c>
      <c r="D1541" s="8" t="str">
        <f>TEXT(Sales_data[[#This Row],[Order Date]],"mmm")</f>
        <v>Oct</v>
      </c>
      <c r="E1541" t="s">
        <v>10</v>
      </c>
      <c r="F1541" t="s">
        <v>23</v>
      </c>
      <c r="G1541" t="s">
        <v>34</v>
      </c>
      <c r="H1541" t="s">
        <v>37</v>
      </c>
      <c r="I1541" t="s">
        <v>51</v>
      </c>
      <c r="J1541" s="7">
        <v>1946.06</v>
      </c>
      <c r="K1541" s="8">
        <v>3</v>
      </c>
      <c r="L1541" s="7">
        <v>399.89</v>
      </c>
    </row>
    <row r="1542" spans="1:12" x14ac:dyDescent="0.2">
      <c r="A1542" s="2">
        <v>42669</v>
      </c>
      <c r="B1542" s="8">
        <f>YEAR(Sales_data[[#This Row],[Order Date]])</f>
        <v>2016</v>
      </c>
      <c r="C1542" s="8">
        <f>MONTH(Sales_data[[#This Row],[Order Date]])</f>
        <v>10</v>
      </c>
      <c r="D1542" s="8" t="str">
        <f>TEXT(Sales_data[[#This Row],[Order Date]],"mmm")</f>
        <v>Oct</v>
      </c>
      <c r="E1542" t="s">
        <v>15</v>
      </c>
      <c r="F1542" t="s">
        <v>27</v>
      </c>
      <c r="G1542" t="s">
        <v>34</v>
      </c>
      <c r="H1542" t="s">
        <v>35</v>
      </c>
      <c r="I1542" t="s">
        <v>50</v>
      </c>
      <c r="J1542" s="7">
        <v>1145.07</v>
      </c>
      <c r="K1542" s="8">
        <v>2</v>
      </c>
      <c r="L1542" s="7">
        <v>36.92</v>
      </c>
    </row>
    <row r="1543" spans="1:12" x14ac:dyDescent="0.2">
      <c r="A1543" s="2">
        <v>42669</v>
      </c>
      <c r="B1543" s="8">
        <f>YEAR(Sales_data[[#This Row],[Order Date]])</f>
        <v>2016</v>
      </c>
      <c r="C1543" s="8">
        <f>MONTH(Sales_data[[#This Row],[Order Date]])</f>
        <v>10</v>
      </c>
      <c r="D1543" s="8" t="str">
        <f>TEXT(Sales_data[[#This Row],[Order Date]],"mmm")</f>
        <v>Oct</v>
      </c>
      <c r="E1543" t="s">
        <v>9</v>
      </c>
      <c r="F1543" t="s">
        <v>27</v>
      </c>
      <c r="G1543" t="s">
        <v>33</v>
      </c>
      <c r="H1543" t="s">
        <v>38</v>
      </c>
      <c r="I1543" t="s">
        <v>48</v>
      </c>
      <c r="J1543" s="7">
        <v>1087.96</v>
      </c>
      <c r="K1543" s="8">
        <v>8</v>
      </c>
      <c r="L1543" s="7">
        <v>261.77</v>
      </c>
    </row>
    <row r="1544" spans="1:12" x14ac:dyDescent="0.2">
      <c r="A1544" s="2">
        <v>42671</v>
      </c>
      <c r="B1544" s="8">
        <f>YEAR(Sales_data[[#This Row],[Order Date]])</f>
        <v>2016</v>
      </c>
      <c r="C1544" s="8">
        <f>MONTH(Sales_data[[#This Row],[Order Date]])</f>
        <v>10</v>
      </c>
      <c r="D1544" s="8" t="str">
        <f>TEXT(Sales_data[[#This Row],[Order Date]],"mmm")</f>
        <v>Oct</v>
      </c>
      <c r="E1544" t="s">
        <v>11</v>
      </c>
      <c r="F1544" t="s">
        <v>23</v>
      </c>
      <c r="G1544" t="s">
        <v>33</v>
      </c>
      <c r="H1544" t="s">
        <v>42</v>
      </c>
      <c r="I1544" t="s">
        <v>46</v>
      </c>
      <c r="J1544" s="7">
        <v>1215.46</v>
      </c>
      <c r="K1544" s="8">
        <v>2</v>
      </c>
      <c r="L1544" s="7">
        <v>237.95</v>
      </c>
    </row>
    <row r="1545" spans="1:12" x14ac:dyDescent="0.2">
      <c r="A1545" s="2">
        <v>42671</v>
      </c>
      <c r="B1545" s="8">
        <f>YEAR(Sales_data[[#This Row],[Order Date]])</f>
        <v>2016</v>
      </c>
      <c r="C1545" s="8">
        <f>MONTH(Sales_data[[#This Row],[Order Date]])</f>
        <v>10</v>
      </c>
      <c r="D1545" s="8" t="str">
        <f>TEXT(Sales_data[[#This Row],[Order Date]],"mmm")</f>
        <v>Oct</v>
      </c>
      <c r="E1545" t="s">
        <v>21</v>
      </c>
      <c r="F1545" t="s">
        <v>23</v>
      </c>
      <c r="G1545" t="s">
        <v>32</v>
      </c>
      <c r="H1545" t="s">
        <v>42</v>
      </c>
      <c r="I1545" t="s">
        <v>44</v>
      </c>
      <c r="J1545" s="7">
        <v>1887.16</v>
      </c>
      <c r="K1545" s="8">
        <v>9</v>
      </c>
      <c r="L1545" s="7">
        <v>-97.23</v>
      </c>
    </row>
    <row r="1546" spans="1:12" x14ac:dyDescent="0.2">
      <c r="A1546" s="2">
        <v>42671</v>
      </c>
      <c r="B1546" s="8">
        <f>YEAR(Sales_data[[#This Row],[Order Date]])</f>
        <v>2016</v>
      </c>
      <c r="C1546" s="8">
        <f>MONTH(Sales_data[[#This Row],[Order Date]])</f>
        <v>10</v>
      </c>
      <c r="D1546" s="8" t="str">
        <f>TEXT(Sales_data[[#This Row],[Order Date]],"mmm")</f>
        <v>Oct</v>
      </c>
      <c r="E1546" t="s">
        <v>18</v>
      </c>
      <c r="F1546" t="s">
        <v>27</v>
      </c>
      <c r="G1546" t="s">
        <v>34</v>
      </c>
      <c r="H1546" t="s">
        <v>41</v>
      </c>
      <c r="I1546" t="s">
        <v>51</v>
      </c>
      <c r="J1546" s="7">
        <v>299.8</v>
      </c>
      <c r="K1546" s="8">
        <v>2</v>
      </c>
      <c r="L1546" s="7">
        <v>-187.98</v>
      </c>
    </row>
    <row r="1547" spans="1:12" x14ac:dyDescent="0.2">
      <c r="A1547" s="2">
        <v>42672</v>
      </c>
      <c r="B1547" s="8">
        <f>YEAR(Sales_data[[#This Row],[Order Date]])</f>
        <v>2016</v>
      </c>
      <c r="C1547" s="8">
        <f>MONTH(Sales_data[[#This Row],[Order Date]])</f>
        <v>10</v>
      </c>
      <c r="D1547" s="8" t="str">
        <f>TEXT(Sales_data[[#This Row],[Order Date]],"mmm")</f>
        <v>Oct</v>
      </c>
      <c r="E1547" t="s">
        <v>9</v>
      </c>
      <c r="F1547" t="s">
        <v>31</v>
      </c>
      <c r="G1547" t="s">
        <v>34</v>
      </c>
      <c r="H1547" t="s">
        <v>43</v>
      </c>
      <c r="I1547" t="s">
        <v>48</v>
      </c>
      <c r="J1547" s="7">
        <v>86.02</v>
      </c>
      <c r="K1547" s="8">
        <v>3</v>
      </c>
      <c r="L1547" s="7">
        <v>-48.53</v>
      </c>
    </row>
    <row r="1548" spans="1:12" x14ac:dyDescent="0.2">
      <c r="A1548" s="2">
        <v>42672</v>
      </c>
      <c r="B1548" s="8">
        <f>YEAR(Sales_data[[#This Row],[Order Date]])</f>
        <v>2016</v>
      </c>
      <c r="C1548" s="8">
        <f>MONTH(Sales_data[[#This Row],[Order Date]])</f>
        <v>10</v>
      </c>
      <c r="D1548" s="8" t="str">
        <f>TEXT(Sales_data[[#This Row],[Order Date]],"mmm")</f>
        <v>Oct</v>
      </c>
      <c r="E1548" t="s">
        <v>17</v>
      </c>
      <c r="F1548" t="s">
        <v>27</v>
      </c>
      <c r="G1548" t="s">
        <v>33</v>
      </c>
      <c r="H1548" t="s">
        <v>37</v>
      </c>
      <c r="I1548" t="s">
        <v>53</v>
      </c>
      <c r="J1548" s="7">
        <v>46.53</v>
      </c>
      <c r="K1548" s="8">
        <v>8</v>
      </c>
      <c r="L1548" s="7">
        <v>221.68</v>
      </c>
    </row>
    <row r="1549" spans="1:12" x14ac:dyDescent="0.2">
      <c r="A1549" s="2">
        <v>42673</v>
      </c>
      <c r="B1549" s="8">
        <f>YEAR(Sales_data[[#This Row],[Order Date]])</f>
        <v>2016</v>
      </c>
      <c r="C1549" s="8">
        <f>MONTH(Sales_data[[#This Row],[Order Date]])</f>
        <v>10</v>
      </c>
      <c r="D1549" s="8" t="str">
        <f>TEXT(Sales_data[[#This Row],[Order Date]],"mmm")</f>
        <v>Oct</v>
      </c>
      <c r="E1549" t="s">
        <v>21</v>
      </c>
      <c r="F1549" t="s">
        <v>28</v>
      </c>
      <c r="G1549" t="s">
        <v>32</v>
      </c>
      <c r="H1549" t="s">
        <v>38</v>
      </c>
      <c r="I1549" t="s">
        <v>44</v>
      </c>
      <c r="J1549" s="7">
        <v>1484.15</v>
      </c>
      <c r="K1549" s="8">
        <v>6</v>
      </c>
      <c r="L1549" s="7">
        <v>375.83</v>
      </c>
    </row>
    <row r="1550" spans="1:12" x14ac:dyDescent="0.2">
      <c r="A1550" s="2">
        <v>42674</v>
      </c>
      <c r="B1550" s="8">
        <f>YEAR(Sales_data[[#This Row],[Order Date]])</f>
        <v>2016</v>
      </c>
      <c r="C1550" s="8">
        <f>MONTH(Sales_data[[#This Row],[Order Date]])</f>
        <v>10</v>
      </c>
      <c r="D1550" s="8" t="str">
        <f>TEXT(Sales_data[[#This Row],[Order Date]],"mmm")</f>
        <v>Oct</v>
      </c>
      <c r="E1550" t="s">
        <v>20</v>
      </c>
      <c r="F1550" t="s">
        <v>23</v>
      </c>
      <c r="G1550" t="s">
        <v>32</v>
      </c>
      <c r="H1550" t="s">
        <v>35</v>
      </c>
      <c r="I1550" t="s">
        <v>52</v>
      </c>
      <c r="J1550" s="7">
        <v>1044.96</v>
      </c>
      <c r="K1550" s="8">
        <v>1</v>
      </c>
      <c r="L1550" s="7">
        <v>346.86</v>
      </c>
    </row>
    <row r="1551" spans="1:12" x14ac:dyDescent="0.2">
      <c r="A1551" s="2">
        <v>42675</v>
      </c>
      <c r="B1551" s="8">
        <f>YEAR(Sales_data[[#This Row],[Order Date]])</f>
        <v>2016</v>
      </c>
      <c r="C1551" s="8">
        <f>MONTH(Sales_data[[#This Row],[Order Date]])</f>
        <v>11</v>
      </c>
      <c r="D1551" s="8" t="str">
        <f>TEXT(Sales_data[[#This Row],[Order Date]],"mmm")</f>
        <v>Nov</v>
      </c>
      <c r="E1551" t="s">
        <v>17</v>
      </c>
      <c r="F1551" t="s">
        <v>22</v>
      </c>
      <c r="G1551" t="s">
        <v>33</v>
      </c>
      <c r="H1551" t="s">
        <v>39</v>
      </c>
      <c r="I1551" t="s">
        <v>48</v>
      </c>
      <c r="J1551" s="7">
        <v>1513.32</v>
      </c>
      <c r="K1551" s="8">
        <v>3</v>
      </c>
      <c r="L1551" s="7">
        <v>-135.5</v>
      </c>
    </row>
    <row r="1552" spans="1:12" x14ac:dyDescent="0.2">
      <c r="A1552" s="2">
        <v>42675</v>
      </c>
      <c r="B1552" s="8">
        <f>YEAR(Sales_data[[#This Row],[Order Date]])</f>
        <v>2016</v>
      </c>
      <c r="C1552" s="8">
        <f>MONTH(Sales_data[[#This Row],[Order Date]])</f>
        <v>11</v>
      </c>
      <c r="D1552" s="8" t="str">
        <f>TEXT(Sales_data[[#This Row],[Order Date]],"mmm")</f>
        <v>Nov</v>
      </c>
      <c r="E1552" t="s">
        <v>11</v>
      </c>
      <c r="F1552" t="s">
        <v>26</v>
      </c>
      <c r="G1552" t="s">
        <v>34</v>
      </c>
      <c r="H1552" t="s">
        <v>38</v>
      </c>
      <c r="I1552" t="s">
        <v>44</v>
      </c>
      <c r="J1552" s="7">
        <v>861.37</v>
      </c>
      <c r="K1552" s="8">
        <v>5</v>
      </c>
      <c r="L1552" s="7">
        <v>323.37</v>
      </c>
    </row>
    <row r="1553" spans="1:12" x14ac:dyDescent="0.2">
      <c r="A1553" s="2">
        <v>42676</v>
      </c>
      <c r="B1553" s="8">
        <f>YEAR(Sales_data[[#This Row],[Order Date]])</f>
        <v>2016</v>
      </c>
      <c r="C1553" s="8">
        <f>MONTH(Sales_data[[#This Row],[Order Date]])</f>
        <v>11</v>
      </c>
      <c r="D1553" s="8" t="str">
        <f>TEXT(Sales_data[[#This Row],[Order Date]],"mmm")</f>
        <v>Nov</v>
      </c>
      <c r="E1553" t="s">
        <v>21</v>
      </c>
      <c r="F1553" t="s">
        <v>29</v>
      </c>
      <c r="G1553" t="s">
        <v>34</v>
      </c>
      <c r="H1553" t="s">
        <v>41</v>
      </c>
      <c r="I1553" t="s">
        <v>46</v>
      </c>
      <c r="J1553" s="7">
        <v>343.57</v>
      </c>
      <c r="K1553" s="8">
        <v>3</v>
      </c>
      <c r="L1553" s="7">
        <v>110.7</v>
      </c>
    </row>
    <row r="1554" spans="1:12" x14ac:dyDescent="0.2">
      <c r="A1554" s="2">
        <v>42676</v>
      </c>
      <c r="B1554" s="8">
        <f>YEAR(Sales_data[[#This Row],[Order Date]])</f>
        <v>2016</v>
      </c>
      <c r="C1554" s="8">
        <f>MONTH(Sales_data[[#This Row],[Order Date]])</f>
        <v>11</v>
      </c>
      <c r="D1554" s="8" t="str">
        <f>TEXT(Sales_data[[#This Row],[Order Date]],"mmm")</f>
        <v>Nov</v>
      </c>
      <c r="E1554" t="s">
        <v>14</v>
      </c>
      <c r="F1554" t="s">
        <v>23</v>
      </c>
      <c r="G1554" t="s">
        <v>34</v>
      </c>
      <c r="H1554" t="s">
        <v>39</v>
      </c>
      <c r="I1554" t="s">
        <v>45</v>
      </c>
      <c r="J1554" s="7">
        <v>1271.22</v>
      </c>
      <c r="K1554" s="8">
        <v>3</v>
      </c>
      <c r="L1554" s="7">
        <v>71.67</v>
      </c>
    </row>
    <row r="1555" spans="1:12" x14ac:dyDescent="0.2">
      <c r="A1555" s="2">
        <v>42677</v>
      </c>
      <c r="B1555" s="8">
        <f>YEAR(Sales_data[[#This Row],[Order Date]])</f>
        <v>2016</v>
      </c>
      <c r="C1555" s="8">
        <f>MONTH(Sales_data[[#This Row],[Order Date]])</f>
        <v>11</v>
      </c>
      <c r="D1555" s="8" t="str">
        <f>TEXT(Sales_data[[#This Row],[Order Date]],"mmm")</f>
        <v>Nov</v>
      </c>
      <c r="E1555" t="s">
        <v>20</v>
      </c>
      <c r="F1555" t="s">
        <v>29</v>
      </c>
      <c r="G1555" t="s">
        <v>32</v>
      </c>
      <c r="H1555" t="s">
        <v>43</v>
      </c>
      <c r="I1555" t="s">
        <v>44</v>
      </c>
      <c r="J1555" s="7">
        <v>1742.1</v>
      </c>
      <c r="K1555" s="8">
        <v>8</v>
      </c>
      <c r="L1555" s="7">
        <v>69.69</v>
      </c>
    </row>
    <row r="1556" spans="1:12" x14ac:dyDescent="0.2">
      <c r="A1556" s="2">
        <v>42678</v>
      </c>
      <c r="B1556" s="8">
        <f>YEAR(Sales_data[[#This Row],[Order Date]])</f>
        <v>2016</v>
      </c>
      <c r="C1556" s="8">
        <f>MONTH(Sales_data[[#This Row],[Order Date]])</f>
        <v>11</v>
      </c>
      <c r="D1556" s="8" t="str">
        <f>TEXT(Sales_data[[#This Row],[Order Date]],"mmm")</f>
        <v>Nov</v>
      </c>
      <c r="E1556" t="s">
        <v>17</v>
      </c>
      <c r="F1556" t="s">
        <v>23</v>
      </c>
      <c r="G1556" t="s">
        <v>34</v>
      </c>
      <c r="H1556" t="s">
        <v>37</v>
      </c>
      <c r="I1556" t="s">
        <v>46</v>
      </c>
      <c r="J1556" s="7">
        <v>1601.16</v>
      </c>
      <c r="K1556" s="8">
        <v>8</v>
      </c>
      <c r="L1556" s="7">
        <v>131.91</v>
      </c>
    </row>
    <row r="1557" spans="1:12" x14ac:dyDescent="0.2">
      <c r="A1557" s="2">
        <v>42678</v>
      </c>
      <c r="B1557" s="8">
        <f>YEAR(Sales_data[[#This Row],[Order Date]])</f>
        <v>2016</v>
      </c>
      <c r="C1557" s="8">
        <f>MONTH(Sales_data[[#This Row],[Order Date]])</f>
        <v>11</v>
      </c>
      <c r="D1557" s="8" t="str">
        <f>TEXT(Sales_data[[#This Row],[Order Date]],"mmm")</f>
        <v>Nov</v>
      </c>
      <c r="E1557" t="s">
        <v>11</v>
      </c>
      <c r="F1557" t="s">
        <v>22</v>
      </c>
      <c r="G1557" t="s">
        <v>32</v>
      </c>
      <c r="H1557" t="s">
        <v>35</v>
      </c>
      <c r="I1557" t="s">
        <v>50</v>
      </c>
      <c r="J1557" s="7">
        <v>813.48</v>
      </c>
      <c r="K1557" s="8">
        <v>3</v>
      </c>
      <c r="L1557" s="7">
        <v>254.04</v>
      </c>
    </row>
    <row r="1558" spans="1:12" x14ac:dyDescent="0.2">
      <c r="A1558" s="2">
        <v>42679</v>
      </c>
      <c r="B1558" s="8">
        <f>YEAR(Sales_data[[#This Row],[Order Date]])</f>
        <v>2016</v>
      </c>
      <c r="C1558" s="8">
        <f>MONTH(Sales_data[[#This Row],[Order Date]])</f>
        <v>11</v>
      </c>
      <c r="D1558" s="8" t="str">
        <f>TEXT(Sales_data[[#This Row],[Order Date]],"mmm")</f>
        <v>Nov</v>
      </c>
      <c r="E1558" t="s">
        <v>13</v>
      </c>
      <c r="F1558" t="s">
        <v>25</v>
      </c>
      <c r="G1558" t="s">
        <v>34</v>
      </c>
      <c r="H1558" t="s">
        <v>42</v>
      </c>
      <c r="I1558" t="s">
        <v>49</v>
      </c>
      <c r="J1558" s="7">
        <v>226.91</v>
      </c>
      <c r="K1558" s="8">
        <v>8</v>
      </c>
      <c r="L1558" s="7">
        <v>-133.75</v>
      </c>
    </row>
    <row r="1559" spans="1:12" x14ac:dyDescent="0.2">
      <c r="A1559" s="2">
        <v>42682</v>
      </c>
      <c r="B1559" s="8">
        <f>YEAR(Sales_data[[#This Row],[Order Date]])</f>
        <v>2016</v>
      </c>
      <c r="C1559" s="8">
        <f>MONTH(Sales_data[[#This Row],[Order Date]])</f>
        <v>11</v>
      </c>
      <c r="D1559" s="8" t="str">
        <f>TEXT(Sales_data[[#This Row],[Order Date]],"mmm")</f>
        <v>Nov</v>
      </c>
      <c r="E1559" t="s">
        <v>18</v>
      </c>
      <c r="F1559" t="s">
        <v>28</v>
      </c>
      <c r="G1559" t="s">
        <v>33</v>
      </c>
      <c r="H1559" t="s">
        <v>37</v>
      </c>
      <c r="I1559" t="s">
        <v>53</v>
      </c>
      <c r="J1559" s="7">
        <v>1345.24</v>
      </c>
      <c r="K1559" s="8">
        <v>2</v>
      </c>
      <c r="L1559" s="7">
        <v>274.17</v>
      </c>
    </row>
    <row r="1560" spans="1:12" x14ac:dyDescent="0.2">
      <c r="A1560" s="2">
        <v>42683</v>
      </c>
      <c r="B1560" s="8">
        <f>YEAR(Sales_data[[#This Row],[Order Date]])</f>
        <v>2016</v>
      </c>
      <c r="C1560" s="8">
        <f>MONTH(Sales_data[[#This Row],[Order Date]])</f>
        <v>11</v>
      </c>
      <c r="D1560" s="8" t="str">
        <f>TEXT(Sales_data[[#This Row],[Order Date]],"mmm")</f>
        <v>Nov</v>
      </c>
      <c r="E1560" t="s">
        <v>12</v>
      </c>
      <c r="F1560" t="s">
        <v>23</v>
      </c>
      <c r="G1560" t="s">
        <v>34</v>
      </c>
      <c r="H1560" t="s">
        <v>42</v>
      </c>
      <c r="I1560" t="s">
        <v>47</v>
      </c>
      <c r="J1560" s="7">
        <v>1563.24</v>
      </c>
      <c r="K1560" s="8">
        <v>3</v>
      </c>
      <c r="L1560" s="7">
        <v>359.07</v>
      </c>
    </row>
    <row r="1561" spans="1:12" x14ac:dyDescent="0.2">
      <c r="A1561" s="2">
        <v>42684</v>
      </c>
      <c r="B1561" s="8">
        <f>YEAR(Sales_data[[#This Row],[Order Date]])</f>
        <v>2016</v>
      </c>
      <c r="C1561" s="8">
        <f>MONTH(Sales_data[[#This Row],[Order Date]])</f>
        <v>11</v>
      </c>
      <c r="D1561" s="8" t="str">
        <f>TEXT(Sales_data[[#This Row],[Order Date]],"mmm")</f>
        <v>Nov</v>
      </c>
      <c r="E1561" t="s">
        <v>13</v>
      </c>
      <c r="F1561" t="s">
        <v>23</v>
      </c>
      <c r="G1561" t="s">
        <v>34</v>
      </c>
      <c r="H1561" t="s">
        <v>36</v>
      </c>
      <c r="I1561" t="s">
        <v>44</v>
      </c>
      <c r="J1561" s="7">
        <v>1338.53</v>
      </c>
      <c r="K1561" s="8">
        <v>9</v>
      </c>
      <c r="L1561" s="7">
        <v>-49.61</v>
      </c>
    </row>
    <row r="1562" spans="1:12" x14ac:dyDescent="0.2">
      <c r="A1562" s="2">
        <v>42684</v>
      </c>
      <c r="B1562" s="8">
        <f>YEAR(Sales_data[[#This Row],[Order Date]])</f>
        <v>2016</v>
      </c>
      <c r="C1562" s="8">
        <f>MONTH(Sales_data[[#This Row],[Order Date]])</f>
        <v>11</v>
      </c>
      <c r="D1562" s="8" t="str">
        <f>TEXT(Sales_data[[#This Row],[Order Date]],"mmm")</f>
        <v>Nov</v>
      </c>
      <c r="E1562" t="s">
        <v>13</v>
      </c>
      <c r="F1562" t="s">
        <v>23</v>
      </c>
      <c r="G1562" t="s">
        <v>32</v>
      </c>
      <c r="H1562" t="s">
        <v>42</v>
      </c>
      <c r="I1562" t="s">
        <v>50</v>
      </c>
      <c r="J1562" s="7">
        <v>1092.92</v>
      </c>
      <c r="K1562" s="8">
        <v>5</v>
      </c>
      <c r="L1562" s="7">
        <v>-24.56</v>
      </c>
    </row>
    <row r="1563" spans="1:12" x14ac:dyDescent="0.2">
      <c r="A1563" s="2">
        <v>42684</v>
      </c>
      <c r="B1563" s="8">
        <f>YEAR(Sales_data[[#This Row],[Order Date]])</f>
        <v>2016</v>
      </c>
      <c r="C1563" s="8">
        <f>MONTH(Sales_data[[#This Row],[Order Date]])</f>
        <v>11</v>
      </c>
      <c r="D1563" s="8" t="str">
        <f>TEXT(Sales_data[[#This Row],[Order Date]],"mmm")</f>
        <v>Nov</v>
      </c>
      <c r="E1563" t="s">
        <v>19</v>
      </c>
      <c r="F1563" t="s">
        <v>23</v>
      </c>
      <c r="G1563" t="s">
        <v>32</v>
      </c>
      <c r="H1563" t="s">
        <v>41</v>
      </c>
      <c r="I1563" t="s">
        <v>44</v>
      </c>
      <c r="J1563" s="7">
        <v>408.02</v>
      </c>
      <c r="K1563" s="8">
        <v>9</v>
      </c>
      <c r="L1563" s="7">
        <v>90.34</v>
      </c>
    </row>
    <row r="1564" spans="1:12" x14ac:dyDescent="0.2">
      <c r="A1564" s="2">
        <v>42684</v>
      </c>
      <c r="B1564" s="8">
        <f>YEAR(Sales_data[[#This Row],[Order Date]])</f>
        <v>2016</v>
      </c>
      <c r="C1564" s="8">
        <f>MONTH(Sales_data[[#This Row],[Order Date]])</f>
        <v>11</v>
      </c>
      <c r="D1564" s="8" t="str">
        <f>TEXT(Sales_data[[#This Row],[Order Date]],"mmm")</f>
        <v>Nov</v>
      </c>
      <c r="E1564" t="s">
        <v>18</v>
      </c>
      <c r="F1564" t="s">
        <v>28</v>
      </c>
      <c r="G1564" t="s">
        <v>34</v>
      </c>
      <c r="H1564" t="s">
        <v>37</v>
      </c>
      <c r="I1564" t="s">
        <v>53</v>
      </c>
      <c r="J1564" s="7">
        <v>1749.47</v>
      </c>
      <c r="K1564" s="8">
        <v>4</v>
      </c>
      <c r="L1564" s="7">
        <v>-111.98</v>
      </c>
    </row>
    <row r="1565" spans="1:12" x14ac:dyDescent="0.2">
      <c r="A1565" s="2">
        <v>42685</v>
      </c>
      <c r="B1565" s="8">
        <f>YEAR(Sales_data[[#This Row],[Order Date]])</f>
        <v>2016</v>
      </c>
      <c r="C1565" s="8">
        <f>MONTH(Sales_data[[#This Row],[Order Date]])</f>
        <v>11</v>
      </c>
      <c r="D1565" s="8" t="str">
        <f>TEXT(Sales_data[[#This Row],[Order Date]],"mmm")</f>
        <v>Nov</v>
      </c>
      <c r="E1565" t="s">
        <v>14</v>
      </c>
      <c r="F1565" t="s">
        <v>22</v>
      </c>
      <c r="G1565" t="s">
        <v>33</v>
      </c>
      <c r="H1565" t="s">
        <v>35</v>
      </c>
      <c r="I1565" t="s">
        <v>51</v>
      </c>
      <c r="J1565" s="7">
        <v>1222.8</v>
      </c>
      <c r="K1565" s="8">
        <v>7</v>
      </c>
      <c r="L1565" s="7">
        <v>-116.16</v>
      </c>
    </row>
    <row r="1566" spans="1:12" x14ac:dyDescent="0.2">
      <c r="A1566" s="2">
        <v>42686</v>
      </c>
      <c r="B1566" s="8">
        <f>YEAR(Sales_data[[#This Row],[Order Date]])</f>
        <v>2016</v>
      </c>
      <c r="C1566" s="8">
        <f>MONTH(Sales_data[[#This Row],[Order Date]])</f>
        <v>11</v>
      </c>
      <c r="D1566" s="8" t="str">
        <f>TEXT(Sales_data[[#This Row],[Order Date]],"mmm")</f>
        <v>Nov</v>
      </c>
      <c r="E1566" t="s">
        <v>14</v>
      </c>
      <c r="F1566" t="s">
        <v>30</v>
      </c>
      <c r="G1566" t="s">
        <v>32</v>
      </c>
      <c r="H1566" t="s">
        <v>37</v>
      </c>
      <c r="I1566" t="s">
        <v>46</v>
      </c>
      <c r="J1566" s="7">
        <v>337.14</v>
      </c>
      <c r="K1566" s="8">
        <v>1</v>
      </c>
      <c r="L1566" s="7">
        <v>388.33</v>
      </c>
    </row>
    <row r="1567" spans="1:12" x14ac:dyDescent="0.2">
      <c r="A1567" s="2">
        <v>42688</v>
      </c>
      <c r="B1567" s="8">
        <f>YEAR(Sales_data[[#This Row],[Order Date]])</f>
        <v>2016</v>
      </c>
      <c r="C1567" s="8">
        <f>MONTH(Sales_data[[#This Row],[Order Date]])</f>
        <v>11</v>
      </c>
      <c r="D1567" s="8" t="str">
        <f>TEXT(Sales_data[[#This Row],[Order Date]],"mmm")</f>
        <v>Nov</v>
      </c>
      <c r="E1567" t="s">
        <v>19</v>
      </c>
      <c r="F1567" t="s">
        <v>24</v>
      </c>
      <c r="G1567" t="s">
        <v>34</v>
      </c>
      <c r="H1567" t="s">
        <v>39</v>
      </c>
      <c r="I1567" t="s">
        <v>45</v>
      </c>
      <c r="J1567" s="7">
        <v>263.08999999999997</v>
      </c>
      <c r="K1567" s="8">
        <v>5</v>
      </c>
      <c r="L1567" s="7">
        <v>-1.48</v>
      </c>
    </row>
    <row r="1568" spans="1:12" x14ac:dyDescent="0.2">
      <c r="A1568" s="2">
        <v>42689</v>
      </c>
      <c r="B1568" s="8">
        <f>YEAR(Sales_data[[#This Row],[Order Date]])</f>
        <v>2016</v>
      </c>
      <c r="C1568" s="8">
        <f>MONTH(Sales_data[[#This Row],[Order Date]])</f>
        <v>11</v>
      </c>
      <c r="D1568" s="8" t="str">
        <f>TEXT(Sales_data[[#This Row],[Order Date]],"mmm")</f>
        <v>Nov</v>
      </c>
      <c r="E1568" t="s">
        <v>18</v>
      </c>
      <c r="F1568" t="s">
        <v>30</v>
      </c>
      <c r="G1568" t="s">
        <v>33</v>
      </c>
      <c r="H1568" t="s">
        <v>41</v>
      </c>
      <c r="I1568" t="s">
        <v>45</v>
      </c>
      <c r="J1568" s="7">
        <v>1096.74</v>
      </c>
      <c r="K1568" s="8">
        <v>2</v>
      </c>
      <c r="L1568" s="7">
        <v>159.08000000000001</v>
      </c>
    </row>
    <row r="1569" spans="1:12" x14ac:dyDescent="0.2">
      <c r="A1569" s="2">
        <v>42690</v>
      </c>
      <c r="B1569" s="8">
        <f>YEAR(Sales_data[[#This Row],[Order Date]])</f>
        <v>2016</v>
      </c>
      <c r="C1569" s="8">
        <f>MONTH(Sales_data[[#This Row],[Order Date]])</f>
        <v>11</v>
      </c>
      <c r="D1569" s="8" t="str">
        <f>TEXT(Sales_data[[#This Row],[Order Date]],"mmm")</f>
        <v>Nov</v>
      </c>
      <c r="E1569" t="s">
        <v>19</v>
      </c>
      <c r="F1569" t="s">
        <v>29</v>
      </c>
      <c r="G1569" t="s">
        <v>32</v>
      </c>
      <c r="H1569" t="s">
        <v>36</v>
      </c>
      <c r="I1569" t="s">
        <v>46</v>
      </c>
      <c r="J1569" s="7">
        <v>934.02</v>
      </c>
      <c r="K1569" s="8">
        <v>4</v>
      </c>
      <c r="L1569" s="7">
        <v>275.89999999999998</v>
      </c>
    </row>
    <row r="1570" spans="1:12" x14ac:dyDescent="0.2">
      <c r="A1570" s="2">
        <v>42690</v>
      </c>
      <c r="B1570" s="8">
        <f>YEAR(Sales_data[[#This Row],[Order Date]])</f>
        <v>2016</v>
      </c>
      <c r="C1570" s="8">
        <f>MONTH(Sales_data[[#This Row],[Order Date]])</f>
        <v>11</v>
      </c>
      <c r="D1570" s="8" t="str">
        <f>TEXT(Sales_data[[#This Row],[Order Date]],"mmm")</f>
        <v>Nov</v>
      </c>
      <c r="E1570" t="s">
        <v>19</v>
      </c>
      <c r="F1570" t="s">
        <v>26</v>
      </c>
      <c r="G1570" t="s">
        <v>34</v>
      </c>
      <c r="H1570" t="s">
        <v>37</v>
      </c>
      <c r="I1570" t="s">
        <v>52</v>
      </c>
      <c r="J1570" s="7">
        <v>663.01</v>
      </c>
      <c r="K1570" s="8">
        <v>8</v>
      </c>
      <c r="L1570" s="7">
        <v>355.64</v>
      </c>
    </row>
    <row r="1571" spans="1:12" x14ac:dyDescent="0.2">
      <c r="A1571" s="2">
        <v>42691</v>
      </c>
      <c r="B1571" s="8">
        <f>YEAR(Sales_data[[#This Row],[Order Date]])</f>
        <v>2016</v>
      </c>
      <c r="C1571" s="8">
        <f>MONTH(Sales_data[[#This Row],[Order Date]])</f>
        <v>11</v>
      </c>
      <c r="D1571" s="8" t="str">
        <f>TEXT(Sales_data[[#This Row],[Order Date]],"mmm")</f>
        <v>Nov</v>
      </c>
      <c r="E1571" t="s">
        <v>20</v>
      </c>
      <c r="F1571" t="s">
        <v>31</v>
      </c>
      <c r="G1571" t="s">
        <v>32</v>
      </c>
      <c r="H1571" t="s">
        <v>43</v>
      </c>
      <c r="I1571" t="s">
        <v>53</v>
      </c>
      <c r="J1571" s="7">
        <v>278.22000000000003</v>
      </c>
      <c r="K1571" s="8">
        <v>4</v>
      </c>
      <c r="L1571" s="7">
        <v>-53.64</v>
      </c>
    </row>
    <row r="1572" spans="1:12" x14ac:dyDescent="0.2">
      <c r="A1572" s="2">
        <v>42691</v>
      </c>
      <c r="B1572" s="8">
        <f>YEAR(Sales_data[[#This Row],[Order Date]])</f>
        <v>2016</v>
      </c>
      <c r="C1572" s="8">
        <f>MONTH(Sales_data[[#This Row],[Order Date]])</f>
        <v>11</v>
      </c>
      <c r="D1572" s="8" t="str">
        <f>TEXT(Sales_data[[#This Row],[Order Date]],"mmm")</f>
        <v>Nov</v>
      </c>
      <c r="E1572" t="s">
        <v>10</v>
      </c>
      <c r="F1572" t="s">
        <v>25</v>
      </c>
      <c r="G1572" t="s">
        <v>33</v>
      </c>
      <c r="H1572" t="s">
        <v>42</v>
      </c>
      <c r="I1572" t="s">
        <v>44</v>
      </c>
      <c r="J1572" s="7">
        <v>1383.03</v>
      </c>
      <c r="K1572" s="8">
        <v>8</v>
      </c>
      <c r="L1572" s="7">
        <v>273.8</v>
      </c>
    </row>
    <row r="1573" spans="1:12" x14ac:dyDescent="0.2">
      <c r="A1573" s="2">
        <v>42691</v>
      </c>
      <c r="B1573" s="8">
        <f>YEAR(Sales_data[[#This Row],[Order Date]])</f>
        <v>2016</v>
      </c>
      <c r="C1573" s="8">
        <f>MONTH(Sales_data[[#This Row],[Order Date]])</f>
        <v>11</v>
      </c>
      <c r="D1573" s="8" t="str">
        <f>TEXT(Sales_data[[#This Row],[Order Date]],"mmm")</f>
        <v>Nov</v>
      </c>
      <c r="E1573" t="s">
        <v>19</v>
      </c>
      <c r="F1573" t="s">
        <v>28</v>
      </c>
      <c r="G1573" t="s">
        <v>34</v>
      </c>
      <c r="H1573" t="s">
        <v>41</v>
      </c>
      <c r="I1573" t="s">
        <v>52</v>
      </c>
      <c r="J1573" s="7">
        <v>690.01</v>
      </c>
      <c r="K1573" s="8">
        <v>4</v>
      </c>
      <c r="L1573" s="7">
        <v>-128.86000000000001</v>
      </c>
    </row>
    <row r="1574" spans="1:12" x14ac:dyDescent="0.2">
      <c r="A1574" s="2">
        <v>42692</v>
      </c>
      <c r="B1574" s="8">
        <f>YEAR(Sales_data[[#This Row],[Order Date]])</f>
        <v>2016</v>
      </c>
      <c r="C1574" s="8">
        <f>MONTH(Sales_data[[#This Row],[Order Date]])</f>
        <v>11</v>
      </c>
      <c r="D1574" s="8" t="str">
        <f>TEXT(Sales_data[[#This Row],[Order Date]],"mmm")</f>
        <v>Nov</v>
      </c>
      <c r="E1574" t="s">
        <v>14</v>
      </c>
      <c r="F1574" t="s">
        <v>24</v>
      </c>
      <c r="G1574" t="s">
        <v>34</v>
      </c>
      <c r="H1574" t="s">
        <v>38</v>
      </c>
      <c r="I1574" t="s">
        <v>49</v>
      </c>
      <c r="J1574" s="7">
        <v>1613.11</v>
      </c>
      <c r="K1574" s="8">
        <v>4</v>
      </c>
      <c r="L1574" s="7">
        <v>308.64999999999998</v>
      </c>
    </row>
    <row r="1575" spans="1:12" x14ac:dyDescent="0.2">
      <c r="A1575" s="2">
        <v>42692</v>
      </c>
      <c r="B1575" s="8">
        <f>YEAR(Sales_data[[#This Row],[Order Date]])</f>
        <v>2016</v>
      </c>
      <c r="C1575" s="8">
        <f>MONTH(Sales_data[[#This Row],[Order Date]])</f>
        <v>11</v>
      </c>
      <c r="D1575" s="8" t="str">
        <f>TEXT(Sales_data[[#This Row],[Order Date]],"mmm")</f>
        <v>Nov</v>
      </c>
      <c r="E1575" t="s">
        <v>15</v>
      </c>
      <c r="F1575" t="s">
        <v>24</v>
      </c>
      <c r="G1575" t="s">
        <v>32</v>
      </c>
      <c r="H1575" t="s">
        <v>40</v>
      </c>
      <c r="I1575" t="s">
        <v>51</v>
      </c>
      <c r="J1575" s="7">
        <v>1623.92</v>
      </c>
      <c r="K1575" s="8">
        <v>5</v>
      </c>
      <c r="L1575" s="7">
        <v>-132.26</v>
      </c>
    </row>
    <row r="1576" spans="1:12" x14ac:dyDescent="0.2">
      <c r="A1576" s="2">
        <v>42695</v>
      </c>
      <c r="B1576" s="8">
        <f>YEAR(Sales_data[[#This Row],[Order Date]])</f>
        <v>2016</v>
      </c>
      <c r="C1576" s="8">
        <f>MONTH(Sales_data[[#This Row],[Order Date]])</f>
        <v>11</v>
      </c>
      <c r="D1576" s="8" t="str">
        <f>TEXT(Sales_data[[#This Row],[Order Date]],"mmm")</f>
        <v>Nov</v>
      </c>
      <c r="E1576" t="s">
        <v>20</v>
      </c>
      <c r="F1576" t="s">
        <v>25</v>
      </c>
      <c r="G1576" t="s">
        <v>34</v>
      </c>
      <c r="H1576" t="s">
        <v>43</v>
      </c>
      <c r="I1576" t="s">
        <v>53</v>
      </c>
      <c r="J1576" s="7">
        <v>963.29</v>
      </c>
      <c r="K1576" s="8">
        <v>4</v>
      </c>
      <c r="L1576" s="7">
        <v>-126.67</v>
      </c>
    </row>
    <row r="1577" spans="1:12" x14ac:dyDescent="0.2">
      <c r="A1577" s="2">
        <v>42699</v>
      </c>
      <c r="B1577" s="8">
        <f>YEAR(Sales_data[[#This Row],[Order Date]])</f>
        <v>2016</v>
      </c>
      <c r="C1577" s="8">
        <f>MONTH(Sales_data[[#This Row],[Order Date]])</f>
        <v>11</v>
      </c>
      <c r="D1577" s="8" t="str">
        <f>TEXT(Sales_data[[#This Row],[Order Date]],"mmm")</f>
        <v>Nov</v>
      </c>
      <c r="E1577" t="s">
        <v>20</v>
      </c>
      <c r="F1577" t="s">
        <v>28</v>
      </c>
      <c r="G1577" t="s">
        <v>33</v>
      </c>
      <c r="H1577" t="s">
        <v>37</v>
      </c>
      <c r="I1577" t="s">
        <v>49</v>
      </c>
      <c r="J1577" s="7">
        <v>438.02</v>
      </c>
      <c r="K1577" s="8">
        <v>9</v>
      </c>
      <c r="L1577" s="7">
        <v>-84.74</v>
      </c>
    </row>
    <row r="1578" spans="1:12" x14ac:dyDescent="0.2">
      <c r="A1578" s="2">
        <v>42699</v>
      </c>
      <c r="B1578" s="8">
        <f>YEAR(Sales_data[[#This Row],[Order Date]])</f>
        <v>2016</v>
      </c>
      <c r="C1578" s="8">
        <f>MONTH(Sales_data[[#This Row],[Order Date]])</f>
        <v>11</v>
      </c>
      <c r="D1578" s="8" t="str">
        <f>TEXT(Sales_data[[#This Row],[Order Date]],"mmm")</f>
        <v>Nov</v>
      </c>
      <c r="E1578" t="s">
        <v>21</v>
      </c>
      <c r="F1578" t="s">
        <v>30</v>
      </c>
      <c r="G1578" t="s">
        <v>34</v>
      </c>
      <c r="H1578" t="s">
        <v>40</v>
      </c>
      <c r="I1578" t="s">
        <v>47</v>
      </c>
      <c r="J1578" s="7">
        <v>365.01</v>
      </c>
      <c r="K1578" s="8">
        <v>7</v>
      </c>
      <c r="L1578" s="7">
        <v>-108.39</v>
      </c>
    </row>
    <row r="1579" spans="1:12" x14ac:dyDescent="0.2">
      <c r="A1579" s="2">
        <v>42700</v>
      </c>
      <c r="B1579" s="8">
        <f>YEAR(Sales_data[[#This Row],[Order Date]])</f>
        <v>2016</v>
      </c>
      <c r="C1579" s="8">
        <f>MONTH(Sales_data[[#This Row],[Order Date]])</f>
        <v>11</v>
      </c>
      <c r="D1579" s="8" t="str">
        <f>TEXT(Sales_data[[#This Row],[Order Date]],"mmm")</f>
        <v>Nov</v>
      </c>
      <c r="E1579" t="s">
        <v>18</v>
      </c>
      <c r="F1579" t="s">
        <v>29</v>
      </c>
      <c r="G1579" t="s">
        <v>32</v>
      </c>
      <c r="H1579" t="s">
        <v>36</v>
      </c>
      <c r="I1579" t="s">
        <v>53</v>
      </c>
      <c r="J1579" s="7">
        <v>77.239999999999995</v>
      </c>
      <c r="K1579" s="8">
        <v>7</v>
      </c>
      <c r="L1579" s="7">
        <v>189.05</v>
      </c>
    </row>
    <row r="1580" spans="1:12" x14ac:dyDescent="0.2">
      <c r="A1580" s="2">
        <v>42701</v>
      </c>
      <c r="B1580" s="8">
        <f>YEAR(Sales_data[[#This Row],[Order Date]])</f>
        <v>2016</v>
      </c>
      <c r="C1580" s="8">
        <f>MONTH(Sales_data[[#This Row],[Order Date]])</f>
        <v>11</v>
      </c>
      <c r="D1580" s="8" t="str">
        <f>TEXT(Sales_data[[#This Row],[Order Date]],"mmm")</f>
        <v>Nov</v>
      </c>
      <c r="E1580" t="s">
        <v>16</v>
      </c>
      <c r="F1580" t="s">
        <v>23</v>
      </c>
      <c r="G1580" t="s">
        <v>34</v>
      </c>
      <c r="H1580" t="s">
        <v>37</v>
      </c>
      <c r="I1580" t="s">
        <v>48</v>
      </c>
      <c r="J1580" s="7">
        <v>556.34</v>
      </c>
      <c r="K1580" s="8">
        <v>3</v>
      </c>
      <c r="L1580" s="7">
        <v>61.97</v>
      </c>
    </row>
    <row r="1581" spans="1:12" x14ac:dyDescent="0.2">
      <c r="A1581" s="2">
        <v>42701</v>
      </c>
      <c r="B1581" s="8">
        <f>YEAR(Sales_data[[#This Row],[Order Date]])</f>
        <v>2016</v>
      </c>
      <c r="C1581" s="8">
        <f>MONTH(Sales_data[[#This Row],[Order Date]])</f>
        <v>11</v>
      </c>
      <c r="D1581" s="8" t="str">
        <f>TEXT(Sales_data[[#This Row],[Order Date]],"mmm")</f>
        <v>Nov</v>
      </c>
      <c r="E1581" t="s">
        <v>17</v>
      </c>
      <c r="F1581" t="s">
        <v>28</v>
      </c>
      <c r="G1581" t="s">
        <v>33</v>
      </c>
      <c r="H1581" t="s">
        <v>42</v>
      </c>
      <c r="I1581" t="s">
        <v>51</v>
      </c>
      <c r="J1581" s="7">
        <v>988.8</v>
      </c>
      <c r="K1581" s="8">
        <v>9</v>
      </c>
      <c r="L1581" s="7">
        <v>105.3</v>
      </c>
    </row>
    <row r="1582" spans="1:12" x14ac:dyDescent="0.2">
      <c r="A1582" s="2">
        <v>42703</v>
      </c>
      <c r="B1582" s="8">
        <f>YEAR(Sales_data[[#This Row],[Order Date]])</f>
        <v>2016</v>
      </c>
      <c r="C1582" s="8">
        <f>MONTH(Sales_data[[#This Row],[Order Date]])</f>
        <v>11</v>
      </c>
      <c r="D1582" s="8" t="str">
        <f>TEXT(Sales_data[[#This Row],[Order Date]],"mmm")</f>
        <v>Nov</v>
      </c>
      <c r="E1582" t="s">
        <v>11</v>
      </c>
      <c r="F1582" t="s">
        <v>24</v>
      </c>
      <c r="G1582" t="s">
        <v>34</v>
      </c>
      <c r="H1582" t="s">
        <v>39</v>
      </c>
      <c r="I1582" t="s">
        <v>46</v>
      </c>
      <c r="J1582" s="7">
        <v>1155.29</v>
      </c>
      <c r="K1582" s="8">
        <v>2</v>
      </c>
      <c r="L1582" s="7">
        <v>398.45</v>
      </c>
    </row>
    <row r="1583" spans="1:12" x14ac:dyDescent="0.2">
      <c r="A1583" s="2">
        <v>42703</v>
      </c>
      <c r="B1583" s="8">
        <f>YEAR(Sales_data[[#This Row],[Order Date]])</f>
        <v>2016</v>
      </c>
      <c r="C1583" s="8">
        <f>MONTH(Sales_data[[#This Row],[Order Date]])</f>
        <v>11</v>
      </c>
      <c r="D1583" s="8" t="str">
        <f>TEXT(Sales_data[[#This Row],[Order Date]],"mmm")</f>
        <v>Nov</v>
      </c>
      <c r="E1583" t="s">
        <v>17</v>
      </c>
      <c r="F1583" t="s">
        <v>29</v>
      </c>
      <c r="G1583" t="s">
        <v>32</v>
      </c>
      <c r="H1583" t="s">
        <v>43</v>
      </c>
      <c r="I1583" t="s">
        <v>44</v>
      </c>
      <c r="J1583" s="7">
        <v>1782.43</v>
      </c>
      <c r="K1583" s="8">
        <v>6</v>
      </c>
      <c r="L1583" s="7">
        <v>226.87</v>
      </c>
    </row>
    <row r="1584" spans="1:12" x14ac:dyDescent="0.2">
      <c r="A1584" s="2">
        <v>42705</v>
      </c>
      <c r="B1584" s="8">
        <f>YEAR(Sales_data[[#This Row],[Order Date]])</f>
        <v>2016</v>
      </c>
      <c r="C1584" s="8">
        <f>MONTH(Sales_data[[#This Row],[Order Date]])</f>
        <v>12</v>
      </c>
      <c r="D1584" s="8" t="str">
        <f>TEXT(Sales_data[[#This Row],[Order Date]],"mmm")</f>
        <v>Dec</v>
      </c>
      <c r="E1584" t="s">
        <v>17</v>
      </c>
      <c r="F1584" t="s">
        <v>22</v>
      </c>
      <c r="G1584" t="s">
        <v>32</v>
      </c>
      <c r="H1584" t="s">
        <v>35</v>
      </c>
      <c r="I1584" t="s">
        <v>47</v>
      </c>
      <c r="J1584" s="7">
        <v>706.97</v>
      </c>
      <c r="K1584" s="8">
        <v>2</v>
      </c>
      <c r="L1584" s="7">
        <v>137.68</v>
      </c>
    </row>
    <row r="1585" spans="1:12" x14ac:dyDescent="0.2">
      <c r="A1585" s="2">
        <v>42705</v>
      </c>
      <c r="B1585" s="8">
        <f>YEAR(Sales_data[[#This Row],[Order Date]])</f>
        <v>2016</v>
      </c>
      <c r="C1585" s="8">
        <f>MONTH(Sales_data[[#This Row],[Order Date]])</f>
        <v>12</v>
      </c>
      <c r="D1585" s="8" t="str">
        <f>TEXT(Sales_data[[#This Row],[Order Date]],"mmm")</f>
        <v>Dec</v>
      </c>
      <c r="E1585" t="s">
        <v>17</v>
      </c>
      <c r="F1585" t="s">
        <v>31</v>
      </c>
      <c r="G1585" t="s">
        <v>32</v>
      </c>
      <c r="H1585" t="s">
        <v>41</v>
      </c>
      <c r="I1585" t="s">
        <v>45</v>
      </c>
      <c r="J1585" s="7">
        <v>197.48</v>
      </c>
      <c r="K1585" s="8">
        <v>7</v>
      </c>
      <c r="L1585" s="7">
        <v>-116.34</v>
      </c>
    </row>
    <row r="1586" spans="1:12" x14ac:dyDescent="0.2">
      <c r="A1586" s="2">
        <v>42706</v>
      </c>
      <c r="B1586" s="8">
        <f>YEAR(Sales_data[[#This Row],[Order Date]])</f>
        <v>2016</v>
      </c>
      <c r="C1586" s="8">
        <f>MONTH(Sales_data[[#This Row],[Order Date]])</f>
        <v>12</v>
      </c>
      <c r="D1586" s="8" t="str">
        <f>TEXT(Sales_data[[#This Row],[Order Date]],"mmm")</f>
        <v>Dec</v>
      </c>
      <c r="E1586" t="s">
        <v>19</v>
      </c>
      <c r="F1586" t="s">
        <v>24</v>
      </c>
      <c r="G1586" t="s">
        <v>32</v>
      </c>
      <c r="H1586" t="s">
        <v>42</v>
      </c>
      <c r="I1586" t="s">
        <v>53</v>
      </c>
      <c r="J1586" s="7">
        <v>1177.77</v>
      </c>
      <c r="K1586" s="8">
        <v>9</v>
      </c>
      <c r="L1586" s="7">
        <v>204.26</v>
      </c>
    </row>
    <row r="1587" spans="1:12" x14ac:dyDescent="0.2">
      <c r="A1587" s="2">
        <v>42707</v>
      </c>
      <c r="B1587" s="8">
        <f>YEAR(Sales_data[[#This Row],[Order Date]])</f>
        <v>2016</v>
      </c>
      <c r="C1587" s="8">
        <f>MONTH(Sales_data[[#This Row],[Order Date]])</f>
        <v>12</v>
      </c>
      <c r="D1587" s="8" t="str">
        <f>TEXT(Sales_data[[#This Row],[Order Date]],"mmm")</f>
        <v>Dec</v>
      </c>
      <c r="E1587" t="s">
        <v>14</v>
      </c>
      <c r="F1587" t="s">
        <v>22</v>
      </c>
      <c r="G1587" t="s">
        <v>34</v>
      </c>
      <c r="H1587" t="s">
        <v>37</v>
      </c>
      <c r="I1587" t="s">
        <v>44</v>
      </c>
      <c r="J1587" s="7">
        <v>1251.31</v>
      </c>
      <c r="K1587" s="8">
        <v>2</v>
      </c>
      <c r="L1587" s="7">
        <v>160.74</v>
      </c>
    </row>
    <row r="1588" spans="1:12" x14ac:dyDescent="0.2">
      <c r="A1588" s="2">
        <v>42708</v>
      </c>
      <c r="B1588" s="8">
        <f>YEAR(Sales_data[[#This Row],[Order Date]])</f>
        <v>2016</v>
      </c>
      <c r="C1588" s="8">
        <f>MONTH(Sales_data[[#This Row],[Order Date]])</f>
        <v>12</v>
      </c>
      <c r="D1588" s="8" t="str">
        <f>TEXT(Sales_data[[#This Row],[Order Date]],"mmm")</f>
        <v>Dec</v>
      </c>
      <c r="E1588" t="s">
        <v>10</v>
      </c>
      <c r="F1588" t="s">
        <v>31</v>
      </c>
      <c r="G1588" t="s">
        <v>32</v>
      </c>
      <c r="H1588" t="s">
        <v>35</v>
      </c>
      <c r="I1588" t="s">
        <v>46</v>
      </c>
      <c r="J1588" s="7">
        <v>431.94</v>
      </c>
      <c r="K1588" s="8">
        <v>3</v>
      </c>
      <c r="L1588" s="7">
        <v>89.09</v>
      </c>
    </row>
    <row r="1589" spans="1:12" x14ac:dyDescent="0.2">
      <c r="A1589" s="2">
        <v>42708</v>
      </c>
      <c r="B1589" s="8">
        <f>YEAR(Sales_data[[#This Row],[Order Date]])</f>
        <v>2016</v>
      </c>
      <c r="C1589" s="8">
        <f>MONTH(Sales_data[[#This Row],[Order Date]])</f>
        <v>12</v>
      </c>
      <c r="D1589" s="8" t="str">
        <f>TEXT(Sales_data[[#This Row],[Order Date]],"mmm")</f>
        <v>Dec</v>
      </c>
      <c r="E1589" t="s">
        <v>10</v>
      </c>
      <c r="F1589" t="s">
        <v>22</v>
      </c>
      <c r="G1589" t="s">
        <v>32</v>
      </c>
      <c r="H1589" t="s">
        <v>40</v>
      </c>
      <c r="I1589" t="s">
        <v>44</v>
      </c>
      <c r="J1589" s="7">
        <v>656.35</v>
      </c>
      <c r="K1589" s="8">
        <v>8</v>
      </c>
      <c r="L1589" s="7">
        <v>-121.57</v>
      </c>
    </row>
    <row r="1590" spans="1:12" x14ac:dyDescent="0.2">
      <c r="A1590" s="2">
        <v>42709</v>
      </c>
      <c r="B1590" s="8">
        <f>YEAR(Sales_data[[#This Row],[Order Date]])</f>
        <v>2016</v>
      </c>
      <c r="C1590" s="8">
        <f>MONTH(Sales_data[[#This Row],[Order Date]])</f>
        <v>12</v>
      </c>
      <c r="D1590" s="8" t="str">
        <f>TEXT(Sales_data[[#This Row],[Order Date]],"mmm")</f>
        <v>Dec</v>
      </c>
      <c r="E1590" t="s">
        <v>18</v>
      </c>
      <c r="F1590" t="s">
        <v>26</v>
      </c>
      <c r="G1590" t="s">
        <v>33</v>
      </c>
      <c r="H1590" t="s">
        <v>37</v>
      </c>
      <c r="I1590" t="s">
        <v>44</v>
      </c>
      <c r="J1590" s="7">
        <v>439.12</v>
      </c>
      <c r="K1590" s="8">
        <v>3</v>
      </c>
      <c r="L1590" s="7">
        <v>232.72</v>
      </c>
    </row>
    <row r="1591" spans="1:12" x14ac:dyDescent="0.2">
      <c r="A1591" s="2">
        <v>42709</v>
      </c>
      <c r="B1591" s="8">
        <f>YEAR(Sales_data[[#This Row],[Order Date]])</f>
        <v>2016</v>
      </c>
      <c r="C1591" s="8">
        <f>MONTH(Sales_data[[#This Row],[Order Date]])</f>
        <v>12</v>
      </c>
      <c r="D1591" s="8" t="str">
        <f>TEXT(Sales_data[[#This Row],[Order Date]],"mmm")</f>
        <v>Dec</v>
      </c>
      <c r="E1591" t="s">
        <v>18</v>
      </c>
      <c r="F1591" t="s">
        <v>22</v>
      </c>
      <c r="G1591" t="s">
        <v>33</v>
      </c>
      <c r="H1591" t="s">
        <v>41</v>
      </c>
      <c r="I1591" t="s">
        <v>48</v>
      </c>
      <c r="J1591" s="7">
        <v>590.12</v>
      </c>
      <c r="K1591" s="8">
        <v>8</v>
      </c>
      <c r="L1591" s="7">
        <v>156.91</v>
      </c>
    </row>
    <row r="1592" spans="1:12" x14ac:dyDescent="0.2">
      <c r="A1592" s="2">
        <v>42709</v>
      </c>
      <c r="B1592" s="8">
        <f>YEAR(Sales_data[[#This Row],[Order Date]])</f>
        <v>2016</v>
      </c>
      <c r="C1592" s="8">
        <f>MONTH(Sales_data[[#This Row],[Order Date]])</f>
        <v>12</v>
      </c>
      <c r="D1592" s="8" t="str">
        <f>TEXT(Sales_data[[#This Row],[Order Date]],"mmm")</f>
        <v>Dec</v>
      </c>
      <c r="E1592" t="s">
        <v>19</v>
      </c>
      <c r="F1592" t="s">
        <v>25</v>
      </c>
      <c r="G1592" t="s">
        <v>32</v>
      </c>
      <c r="H1592" t="s">
        <v>41</v>
      </c>
      <c r="I1592" t="s">
        <v>53</v>
      </c>
      <c r="J1592" s="7">
        <v>1311.12</v>
      </c>
      <c r="K1592" s="8">
        <v>9</v>
      </c>
      <c r="L1592" s="7">
        <v>-87.61</v>
      </c>
    </row>
    <row r="1593" spans="1:12" x14ac:dyDescent="0.2">
      <c r="A1593" s="2">
        <v>42712</v>
      </c>
      <c r="B1593" s="8">
        <f>YEAR(Sales_data[[#This Row],[Order Date]])</f>
        <v>2016</v>
      </c>
      <c r="C1593" s="8">
        <f>MONTH(Sales_data[[#This Row],[Order Date]])</f>
        <v>12</v>
      </c>
      <c r="D1593" s="8" t="str">
        <f>TEXT(Sales_data[[#This Row],[Order Date]],"mmm")</f>
        <v>Dec</v>
      </c>
      <c r="E1593" t="s">
        <v>17</v>
      </c>
      <c r="F1593" t="s">
        <v>29</v>
      </c>
      <c r="G1593" t="s">
        <v>33</v>
      </c>
      <c r="H1593" t="s">
        <v>37</v>
      </c>
      <c r="I1593" t="s">
        <v>53</v>
      </c>
      <c r="J1593" s="7">
        <v>1013.8</v>
      </c>
      <c r="K1593" s="8">
        <v>3</v>
      </c>
      <c r="L1593" s="7">
        <v>-3.97</v>
      </c>
    </row>
    <row r="1594" spans="1:12" x14ac:dyDescent="0.2">
      <c r="A1594" s="2">
        <v>42713</v>
      </c>
      <c r="B1594" s="8">
        <f>YEAR(Sales_data[[#This Row],[Order Date]])</f>
        <v>2016</v>
      </c>
      <c r="C1594" s="8">
        <f>MONTH(Sales_data[[#This Row],[Order Date]])</f>
        <v>12</v>
      </c>
      <c r="D1594" s="8" t="str">
        <f>TEXT(Sales_data[[#This Row],[Order Date]],"mmm")</f>
        <v>Dec</v>
      </c>
      <c r="E1594" t="s">
        <v>9</v>
      </c>
      <c r="F1594" t="s">
        <v>31</v>
      </c>
      <c r="G1594" t="s">
        <v>33</v>
      </c>
      <c r="H1594" t="s">
        <v>40</v>
      </c>
      <c r="I1594" t="s">
        <v>44</v>
      </c>
      <c r="J1594" s="7">
        <v>1263.77</v>
      </c>
      <c r="K1594" s="8">
        <v>1</v>
      </c>
      <c r="L1594" s="7">
        <v>-44.75</v>
      </c>
    </row>
    <row r="1595" spans="1:12" x14ac:dyDescent="0.2">
      <c r="A1595" s="2">
        <v>42713</v>
      </c>
      <c r="B1595" s="8">
        <f>YEAR(Sales_data[[#This Row],[Order Date]])</f>
        <v>2016</v>
      </c>
      <c r="C1595" s="8">
        <f>MONTH(Sales_data[[#This Row],[Order Date]])</f>
        <v>12</v>
      </c>
      <c r="D1595" s="8" t="str">
        <f>TEXT(Sales_data[[#This Row],[Order Date]],"mmm")</f>
        <v>Dec</v>
      </c>
      <c r="E1595" t="s">
        <v>15</v>
      </c>
      <c r="F1595" t="s">
        <v>28</v>
      </c>
      <c r="G1595" t="s">
        <v>34</v>
      </c>
      <c r="H1595" t="s">
        <v>40</v>
      </c>
      <c r="I1595" t="s">
        <v>45</v>
      </c>
      <c r="J1595" s="7">
        <v>1232.23</v>
      </c>
      <c r="K1595" s="8">
        <v>5</v>
      </c>
      <c r="L1595" s="7">
        <v>3.5</v>
      </c>
    </row>
    <row r="1596" spans="1:12" x14ac:dyDescent="0.2">
      <c r="A1596" s="2">
        <v>42713</v>
      </c>
      <c r="B1596" s="8">
        <f>YEAR(Sales_data[[#This Row],[Order Date]])</f>
        <v>2016</v>
      </c>
      <c r="C1596" s="8">
        <f>MONTH(Sales_data[[#This Row],[Order Date]])</f>
        <v>12</v>
      </c>
      <c r="D1596" s="8" t="str">
        <f>TEXT(Sales_data[[#This Row],[Order Date]],"mmm")</f>
        <v>Dec</v>
      </c>
      <c r="E1596" t="s">
        <v>17</v>
      </c>
      <c r="F1596" t="s">
        <v>25</v>
      </c>
      <c r="G1596" t="s">
        <v>34</v>
      </c>
      <c r="H1596" t="s">
        <v>43</v>
      </c>
      <c r="I1596" t="s">
        <v>52</v>
      </c>
      <c r="J1596" s="7">
        <v>674.93</v>
      </c>
      <c r="K1596" s="8">
        <v>4</v>
      </c>
      <c r="L1596" s="7">
        <v>-93.68</v>
      </c>
    </row>
    <row r="1597" spans="1:12" x14ac:dyDescent="0.2">
      <c r="A1597" s="2">
        <v>42714</v>
      </c>
      <c r="B1597" s="8">
        <f>YEAR(Sales_data[[#This Row],[Order Date]])</f>
        <v>2016</v>
      </c>
      <c r="C1597" s="8">
        <f>MONTH(Sales_data[[#This Row],[Order Date]])</f>
        <v>12</v>
      </c>
      <c r="D1597" s="8" t="str">
        <f>TEXT(Sales_data[[#This Row],[Order Date]],"mmm")</f>
        <v>Dec</v>
      </c>
      <c r="E1597" t="s">
        <v>9</v>
      </c>
      <c r="F1597" t="s">
        <v>27</v>
      </c>
      <c r="G1597" t="s">
        <v>32</v>
      </c>
      <c r="H1597" t="s">
        <v>42</v>
      </c>
      <c r="I1597" t="s">
        <v>47</v>
      </c>
      <c r="J1597" s="7">
        <v>1222.3</v>
      </c>
      <c r="K1597" s="8">
        <v>2</v>
      </c>
      <c r="L1597" s="7">
        <v>167.81</v>
      </c>
    </row>
    <row r="1598" spans="1:12" x14ac:dyDescent="0.2">
      <c r="A1598" s="2">
        <v>42714</v>
      </c>
      <c r="B1598" s="8">
        <f>YEAR(Sales_data[[#This Row],[Order Date]])</f>
        <v>2016</v>
      </c>
      <c r="C1598" s="8">
        <f>MONTH(Sales_data[[#This Row],[Order Date]])</f>
        <v>12</v>
      </c>
      <c r="D1598" s="8" t="str">
        <f>TEXT(Sales_data[[#This Row],[Order Date]],"mmm")</f>
        <v>Dec</v>
      </c>
      <c r="E1598" t="s">
        <v>12</v>
      </c>
      <c r="F1598" t="s">
        <v>31</v>
      </c>
      <c r="G1598" t="s">
        <v>32</v>
      </c>
      <c r="H1598" t="s">
        <v>38</v>
      </c>
      <c r="I1598" t="s">
        <v>49</v>
      </c>
      <c r="J1598" s="7">
        <v>626.42999999999995</v>
      </c>
      <c r="K1598" s="8">
        <v>9</v>
      </c>
      <c r="L1598" s="7">
        <v>285.75</v>
      </c>
    </row>
    <row r="1599" spans="1:12" x14ac:dyDescent="0.2">
      <c r="A1599" s="2">
        <v>42715</v>
      </c>
      <c r="B1599" s="8">
        <f>YEAR(Sales_data[[#This Row],[Order Date]])</f>
        <v>2016</v>
      </c>
      <c r="C1599" s="8">
        <f>MONTH(Sales_data[[#This Row],[Order Date]])</f>
        <v>12</v>
      </c>
      <c r="D1599" s="8" t="str">
        <f>TEXT(Sales_data[[#This Row],[Order Date]],"mmm")</f>
        <v>Dec</v>
      </c>
      <c r="E1599" t="s">
        <v>17</v>
      </c>
      <c r="F1599" t="s">
        <v>29</v>
      </c>
      <c r="G1599" t="s">
        <v>32</v>
      </c>
      <c r="H1599" t="s">
        <v>39</v>
      </c>
      <c r="I1599" t="s">
        <v>53</v>
      </c>
      <c r="J1599" s="7">
        <v>1621.25</v>
      </c>
      <c r="K1599" s="8">
        <v>7</v>
      </c>
      <c r="L1599" s="7">
        <v>385.37</v>
      </c>
    </row>
    <row r="1600" spans="1:12" x14ac:dyDescent="0.2">
      <c r="A1600" s="2">
        <v>42716</v>
      </c>
      <c r="B1600" s="8">
        <f>YEAR(Sales_data[[#This Row],[Order Date]])</f>
        <v>2016</v>
      </c>
      <c r="C1600" s="8">
        <f>MONTH(Sales_data[[#This Row],[Order Date]])</f>
        <v>12</v>
      </c>
      <c r="D1600" s="8" t="str">
        <f>TEXT(Sales_data[[#This Row],[Order Date]],"mmm")</f>
        <v>Dec</v>
      </c>
      <c r="E1600" t="s">
        <v>19</v>
      </c>
      <c r="F1600" t="s">
        <v>24</v>
      </c>
      <c r="G1600" t="s">
        <v>32</v>
      </c>
      <c r="H1600" t="s">
        <v>43</v>
      </c>
      <c r="I1600" t="s">
        <v>49</v>
      </c>
      <c r="J1600" s="7">
        <v>177.16</v>
      </c>
      <c r="K1600" s="8">
        <v>5</v>
      </c>
      <c r="L1600" s="7">
        <v>-93.94</v>
      </c>
    </row>
    <row r="1601" spans="1:12" x14ac:dyDescent="0.2">
      <c r="A1601" s="2">
        <v>42717</v>
      </c>
      <c r="B1601" s="8">
        <f>YEAR(Sales_data[[#This Row],[Order Date]])</f>
        <v>2016</v>
      </c>
      <c r="C1601" s="8">
        <f>MONTH(Sales_data[[#This Row],[Order Date]])</f>
        <v>12</v>
      </c>
      <c r="D1601" s="8" t="str">
        <f>TEXT(Sales_data[[#This Row],[Order Date]],"mmm")</f>
        <v>Dec</v>
      </c>
      <c r="E1601" t="s">
        <v>10</v>
      </c>
      <c r="F1601" t="s">
        <v>25</v>
      </c>
      <c r="G1601" t="s">
        <v>33</v>
      </c>
      <c r="H1601" t="s">
        <v>38</v>
      </c>
      <c r="I1601" t="s">
        <v>44</v>
      </c>
      <c r="J1601" s="7">
        <v>1486.19</v>
      </c>
      <c r="K1601" s="8">
        <v>7</v>
      </c>
      <c r="L1601" s="7">
        <v>339.41</v>
      </c>
    </row>
    <row r="1602" spans="1:12" x14ac:dyDescent="0.2">
      <c r="A1602" s="2">
        <v>42718</v>
      </c>
      <c r="B1602" s="8">
        <f>YEAR(Sales_data[[#This Row],[Order Date]])</f>
        <v>2016</v>
      </c>
      <c r="C1602" s="8">
        <f>MONTH(Sales_data[[#This Row],[Order Date]])</f>
        <v>12</v>
      </c>
      <c r="D1602" s="8" t="str">
        <f>TEXT(Sales_data[[#This Row],[Order Date]],"mmm")</f>
        <v>Dec</v>
      </c>
      <c r="E1602" t="s">
        <v>14</v>
      </c>
      <c r="F1602" t="s">
        <v>29</v>
      </c>
      <c r="G1602" t="s">
        <v>33</v>
      </c>
      <c r="H1602" t="s">
        <v>37</v>
      </c>
      <c r="I1602" t="s">
        <v>49</v>
      </c>
      <c r="J1602" s="7">
        <v>431.32</v>
      </c>
      <c r="K1602" s="8">
        <v>9</v>
      </c>
      <c r="L1602" s="7">
        <v>84.01</v>
      </c>
    </row>
    <row r="1603" spans="1:12" x14ac:dyDescent="0.2">
      <c r="A1603" s="2">
        <v>42718</v>
      </c>
      <c r="B1603" s="8">
        <f>YEAR(Sales_data[[#This Row],[Order Date]])</f>
        <v>2016</v>
      </c>
      <c r="C1603" s="8">
        <f>MONTH(Sales_data[[#This Row],[Order Date]])</f>
        <v>12</v>
      </c>
      <c r="D1603" s="8" t="str">
        <f>TEXT(Sales_data[[#This Row],[Order Date]],"mmm")</f>
        <v>Dec</v>
      </c>
      <c r="E1603" t="s">
        <v>20</v>
      </c>
      <c r="F1603" t="s">
        <v>30</v>
      </c>
      <c r="G1603" t="s">
        <v>32</v>
      </c>
      <c r="H1603" t="s">
        <v>37</v>
      </c>
      <c r="I1603" t="s">
        <v>53</v>
      </c>
      <c r="J1603" s="7">
        <v>1662.2</v>
      </c>
      <c r="K1603" s="8">
        <v>7</v>
      </c>
      <c r="L1603" s="7">
        <v>100.94</v>
      </c>
    </row>
    <row r="1604" spans="1:12" x14ac:dyDescent="0.2">
      <c r="A1604" s="2">
        <v>42720</v>
      </c>
      <c r="B1604" s="8">
        <f>YEAR(Sales_data[[#This Row],[Order Date]])</f>
        <v>2016</v>
      </c>
      <c r="C1604" s="8">
        <f>MONTH(Sales_data[[#This Row],[Order Date]])</f>
        <v>12</v>
      </c>
      <c r="D1604" s="8" t="str">
        <f>TEXT(Sales_data[[#This Row],[Order Date]],"mmm")</f>
        <v>Dec</v>
      </c>
      <c r="E1604" t="s">
        <v>14</v>
      </c>
      <c r="F1604" t="s">
        <v>29</v>
      </c>
      <c r="G1604" t="s">
        <v>33</v>
      </c>
      <c r="H1604" t="s">
        <v>42</v>
      </c>
      <c r="I1604" t="s">
        <v>50</v>
      </c>
      <c r="J1604" s="7">
        <v>299.12</v>
      </c>
      <c r="K1604" s="8">
        <v>1</v>
      </c>
      <c r="L1604" s="7">
        <v>246.53</v>
      </c>
    </row>
    <row r="1605" spans="1:12" x14ac:dyDescent="0.2">
      <c r="A1605" s="2">
        <v>42720</v>
      </c>
      <c r="B1605" s="8">
        <f>YEAR(Sales_data[[#This Row],[Order Date]])</f>
        <v>2016</v>
      </c>
      <c r="C1605" s="8">
        <f>MONTH(Sales_data[[#This Row],[Order Date]])</f>
        <v>12</v>
      </c>
      <c r="D1605" s="8" t="str">
        <f>TEXT(Sales_data[[#This Row],[Order Date]],"mmm")</f>
        <v>Dec</v>
      </c>
      <c r="E1605" t="s">
        <v>20</v>
      </c>
      <c r="F1605" t="s">
        <v>31</v>
      </c>
      <c r="G1605" t="s">
        <v>33</v>
      </c>
      <c r="H1605" t="s">
        <v>35</v>
      </c>
      <c r="I1605" t="s">
        <v>47</v>
      </c>
      <c r="J1605" s="7">
        <v>1819.44</v>
      </c>
      <c r="K1605" s="8">
        <v>4</v>
      </c>
      <c r="L1605" s="7">
        <v>310.02</v>
      </c>
    </row>
    <row r="1606" spans="1:12" x14ac:dyDescent="0.2">
      <c r="A1606" s="2">
        <v>42720</v>
      </c>
      <c r="B1606" s="8">
        <f>YEAR(Sales_data[[#This Row],[Order Date]])</f>
        <v>2016</v>
      </c>
      <c r="C1606" s="8">
        <f>MONTH(Sales_data[[#This Row],[Order Date]])</f>
        <v>12</v>
      </c>
      <c r="D1606" s="8" t="str">
        <f>TEXT(Sales_data[[#This Row],[Order Date]],"mmm")</f>
        <v>Dec</v>
      </c>
      <c r="E1606" t="s">
        <v>21</v>
      </c>
      <c r="F1606" t="s">
        <v>30</v>
      </c>
      <c r="G1606" t="s">
        <v>32</v>
      </c>
      <c r="H1606" t="s">
        <v>40</v>
      </c>
      <c r="I1606" t="s">
        <v>51</v>
      </c>
      <c r="J1606" s="7">
        <v>603.1</v>
      </c>
      <c r="K1606" s="8">
        <v>4</v>
      </c>
      <c r="L1606" s="7">
        <v>188.55</v>
      </c>
    </row>
    <row r="1607" spans="1:12" x14ac:dyDescent="0.2">
      <c r="A1607" s="2">
        <v>42722</v>
      </c>
      <c r="B1607" s="8">
        <f>YEAR(Sales_data[[#This Row],[Order Date]])</f>
        <v>2016</v>
      </c>
      <c r="C1607" s="8">
        <f>MONTH(Sales_data[[#This Row],[Order Date]])</f>
        <v>12</v>
      </c>
      <c r="D1607" s="8" t="str">
        <f>TEXT(Sales_data[[#This Row],[Order Date]],"mmm")</f>
        <v>Dec</v>
      </c>
      <c r="E1607" t="s">
        <v>21</v>
      </c>
      <c r="F1607" t="s">
        <v>23</v>
      </c>
      <c r="G1607" t="s">
        <v>34</v>
      </c>
      <c r="H1607" t="s">
        <v>41</v>
      </c>
      <c r="I1607" t="s">
        <v>44</v>
      </c>
      <c r="J1607" s="7">
        <v>66.63</v>
      </c>
      <c r="K1607" s="8">
        <v>3</v>
      </c>
      <c r="L1607" s="7">
        <v>339.47</v>
      </c>
    </row>
    <row r="1608" spans="1:12" x14ac:dyDescent="0.2">
      <c r="A1608" s="2">
        <v>42724</v>
      </c>
      <c r="B1608" s="8">
        <f>YEAR(Sales_data[[#This Row],[Order Date]])</f>
        <v>2016</v>
      </c>
      <c r="C1608" s="8">
        <f>MONTH(Sales_data[[#This Row],[Order Date]])</f>
        <v>12</v>
      </c>
      <c r="D1608" s="8" t="str">
        <f>TEXT(Sales_data[[#This Row],[Order Date]],"mmm")</f>
        <v>Dec</v>
      </c>
      <c r="E1608" t="s">
        <v>21</v>
      </c>
      <c r="F1608" t="s">
        <v>26</v>
      </c>
      <c r="G1608" t="s">
        <v>34</v>
      </c>
      <c r="H1608" t="s">
        <v>36</v>
      </c>
      <c r="I1608" t="s">
        <v>45</v>
      </c>
      <c r="J1608" s="7">
        <v>1811.69</v>
      </c>
      <c r="K1608" s="8">
        <v>7</v>
      </c>
      <c r="L1608" s="7">
        <v>283.06</v>
      </c>
    </row>
    <row r="1609" spans="1:12" x14ac:dyDescent="0.2">
      <c r="A1609" s="2">
        <v>42725</v>
      </c>
      <c r="B1609" s="8">
        <f>YEAR(Sales_data[[#This Row],[Order Date]])</f>
        <v>2016</v>
      </c>
      <c r="C1609" s="8">
        <f>MONTH(Sales_data[[#This Row],[Order Date]])</f>
        <v>12</v>
      </c>
      <c r="D1609" s="8" t="str">
        <f>TEXT(Sales_data[[#This Row],[Order Date]],"mmm")</f>
        <v>Dec</v>
      </c>
      <c r="E1609" t="s">
        <v>17</v>
      </c>
      <c r="F1609" t="s">
        <v>22</v>
      </c>
      <c r="G1609" t="s">
        <v>32</v>
      </c>
      <c r="H1609" t="s">
        <v>40</v>
      </c>
      <c r="I1609" t="s">
        <v>53</v>
      </c>
      <c r="J1609" s="7">
        <v>1885.18</v>
      </c>
      <c r="K1609" s="8">
        <v>4</v>
      </c>
      <c r="L1609" s="7">
        <v>254.85</v>
      </c>
    </row>
    <row r="1610" spans="1:12" x14ac:dyDescent="0.2">
      <c r="A1610" s="2">
        <v>42726</v>
      </c>
      <c r="B1610" s="8">
        <f>YEAR(Sales_data[[#This Row],[Order Date]])</f>
        <v>2016</v>
      </c>
      <c r="C1610" s="8">
        <f>MONTH(Sales_data[[#This Row],[Order Date]])</f>
        <v>12</v>
      </c>
      <c r="D1610" s="8" t="str">
        <f>TEXT(Sales_data[[#This Row],[Order Date]],"mmm")</f>
        <v>Dec</v>
      </c>
      <c r="E1610" t="s">
        <v>17</v>
      </c>
      <c r="F1610" t="s">
        <v>25</v>
      </c>
      <c r="G1610" t="s">
        <v>33</v>
      </c>
      <c r="H1610" t="s">
        <v>36</v>
      </c>
      <c r="I1610" t="s">
        <v>52</v>
      </c>
      <c r="J1610" s="7">
        <v>661.86</v>
      </c>
      <c r="K1610" s="8">
        <v>7</v>
      </c>
      <c r="L1610" s="7">
        <v>334.36</v>
      </c>
    </row>
    <row r="1611" spans="1:12" x14ac:dyDescent="0.2">
      <c r="A1611" s="2">
        <v>42727</v>
      </c>
      <c r="B1611" s="8">
        <f>YEAR(Sales_data[[#This Row],[Order Date]])</f>
        <v>2016</v>
      </c>
      <c r="C1611" s="8">
        <f>MONTH(Sales_data[[#This Row],[Order Date]])</f>
        <v>12</v>
      </c>
      <c r="D1611" s="8" t="str">
        <f>TEXT(Sales_data[[#This Row],[Order Date]],"mmm")</f>
        <v>Dec</v>
      </c>
      <c r="E1611" t="s">
        <v>19</v>
      </c>
      <c r="F1611" t="s">
        <v>24</v>
      </c>
      <c r="G1611" t="s">
        <v>34</v>
      </c>
      <c r="H1611" t="s">
        <v>42</v>
      </c>
      <c r="I1611" t="s">
        <v>44</v>
      </c>
      <c r="J1611" s="7">
        <v>1064.25</v>
      </c>
      <c r="K1611" s="8">
        <v>8</v>
      </c>
      <c r="L1611" s="7">
        <v>232.4</v>
      </c>
    </row>
    <row r="1612" spans="1:12" x14ac:dyDescent="0.2">
      <c r="A1612" s="2">
        <v>42729</v>
      </c>
      <c r="B1612" s="8">
        <f>YEAR(Sales_data[[#This Row],[Order Date]])</f>
        <v>2016</v>
      </c>
      <c r="C1612" s="8">
        <f>MONTH(Sales_data[[#This Row],[Order Date]])</f>
        <v>12</v>
      </c>
      <c r="D1612" s="8" t="str">
        <f>TEXT(Sales_data[[#This Row],[Order Date]],"mmm")</f>
        <v>Dec</v>
      </c>
      <c r="E1612" t="s">
        <v>18</v>
      </c>
      <c r="F1612" t="s">
        <v>24</v>
      </c>
      <c r="G1612" t="s">
        <v>32</v>
      </c>
      <c r="H1612" t="s">
        <v>43</v>
      </c>
      <c r="I1612" t="s">
        <v>49</v>
      </c>
      <c r="J1612" s="7">
        <v>88.51</v>
      </c>
      <c r="K1612" s="8">
        <v>6</v>
      </c>
      <c r="L1612" s="7">
        <v>22.97</v>
      </c>
    </row>
    <row r="1613" spans="1:12" x14ac:dyDescent="0.2">
      <c r="A1613" s="2">
        <v>42733</v>
      </c>
      <c r="B1613" s="8">
        <f>YEAR(Sales_data[[#This Row],[Order Date]])</f>
        <v>2016</v>
      </c>
      <c r="C1613" s="8">
        <f>MONTH(Sales_data[[#This Row],[Order Date]])</f>
        <v>12</v>
      </c>
      <c r="D1613" s="8" t="str">
        <f>TEXT(Sales_data[[#This Row],[Order Date]],"mmm")</f>
        <v>Dec</v>
      </c>
      <c r="E1613" t="s">
        <v>18</v>
      </c>
      <c r="F1613" t="s">
        <v>24</v>
      </c>
      <c r="G1613" t="s">
        <v>33</v>
      </c>
      <c r="H1613" t="s">
        <v>40</v>
      </c>
      <c r="I1613" t="s">
        <v>49</v>
      </c>
      <c r="J1613" s="7">
        <v>599.91999999999996</v>
      </c>
      <c r="K1613" s="8">
        <v>4</v>
      </c>
      <c r="L1613" s="7">
        <v>-132.47</v>
      </c>
    </row>
    <row r="1614" spans="1:12" x14ac:dyDescent="0.2">
      <c r="A1614" s="2">
        <v>42733</v>
      </c>
      <c r="B1614" s="8">
        <f>YEAR(Sales_data[[#This Row],[Order Date]])</f>
        <v>2016</v>
      </c>
      <c r="C1614" s="8">
        <f>MONTH(Sales_data[[#This Row],[Order Date]])</f>
        <v>12</v>
      </c>
      <c r="D1614" s="8" t="str">
        <f>TEXT(Sales_data[[#This Row],[Order Date]],"mmm")</f>
        <v>Dec</v>
      </c>
      <c r="E1614" t="s">
        <v>19</v>
      </c>
      <c r="F1614" t="s">
        <v>24</v>
      </c>
      <c r="G1614" t="s">
        <v>32</v>
      </c>
      <c r="H1614" t="s">
        <v>42</v>
      </c>
      <c r="I1614" t="s">
        <v>49</v>
      </c>
      <c r="J1614" s="7">
        <v>202.93</v>
      </c>
      <c r="K1614" s="8">
        <v>4</v>
      </c>
      <c r="L1614" s="7">
        <v>169.3</v>
      </c>
    </row>
    <row r="1615" spans="1:12" x14ac:dyDescent="0.2">
      <c r="A1615" s="2">
        <v>42733</v>
      </c>
      <c r="B1615" s="8">
        <f>YEAR(Sales_data[[#This Row],[Order Date]])</f>
        <v>2016</v>
      </c>
      <c r="C1615" s="8">
        <f>MONTH(Sales_data[[#This Row],[Order Date]])</f>
        <v>12</v>
      </c>
      <c r="D1615" s="8" t="str">
        <f>TEXT(Sales_data[[#This Row],[Order Date]],"mmm")</f>
        <v>Dec</v>
      </c>
      <c r="E1615" t="s">
        <v>10</v>
      </c>
      <c r="F1615" t="s">
        <v>25</v>
      </c>
      <c r="G1615" t="s">
        <v>34</v>
      </c>
      <c r="H1615" t="s">
        <v>39</v>
      </c>
      <c r="I1615" t="s">
        <v>49</v>
      </c>
      <c r="J1615" s="7">
        <v>957.2</v>
      </c>
      <c r="K1615" s="8">
        <v>7</v>
      </c>
      <c r="L1615" s="7">
        <v>374.27</v>
      </c>
    </row>
    <row r="1616" spans="1:12" x14ac:dyDescent="0.2">
      <c r="A1616" s="2">
        <v>42734</v>
      </c>
      <c r="B1616" s="8">
        <f>YEAR(Sales_data[[#This Row],[Order Date]])</f>
        <v>2016</v>
      </c>
      <c r="C1616" s="8">
        <f>MONTH(Sales_data[[#This Row],[Order Date]])</f>
        <v>12</v>
      </c>
      <c r="D1616" s="8" t="str">
        <f>TEXT(Sales_data[[#This Row],[Order Date]],"mmm")</f>
        <v>Dec</v>
      </c>
      <c r="E1616" t="s">
        <v>10</v>
      </c>
      <c r="F1616" t="s">
        <v>23</v>
      </c>
      <c r="G1616" t="s">
        <v>33</v>
      </c>
      <c r="H1616" t="s">
        <v>36</v>
      </c>
      <c r="I1616" t="s">
        <v>45</v>
      </c>
      <c r="J1616" s="7">
        <v>1618.23</v>
      </c>
      <c r="K1616" s="8">
        <v>9</v>
      </c>
      <c r="L1616" s="7">
        <v>169.78</v>
      </c>
    </row>
    <row r="1617" spans="1:12" x14ac:dyDescent="0.2">
      <c r="A1617" s="2">
        <v>42734</v>
      </c>
      <c r="B1617" s="8">
        <f>YEAR(Sales_data[[#This Row],[Order Date]])</f>
        <v>2016</v>
      </c>
      <c r="C1617" s="8">
        <f>MONTH(Sales_data[[#This Row],[Order Date]])</f>
        <v>12</v>
      </c>
      <c r="D1617" s="8" t="str">
        <f>TEXT(Sales_data[[#This Row],[Order Date]],"mmm")</f>
        <v>Dec</v>
      </c>
      <c r="E1617" t="s">
        <v>9</v>
      </c>
      <c r="F1617" t="s">
        <v>30</v>
      </c>
      <c r="G1617" t="s">
        <v>32</v>
      </c>
      <c r="H1617" t="s">
        <v>42</v>
      </c>
      <c r="I1617" t="s">
        <v>50</v>
      </c>
      <c r="J1617" s="7">
        <v>1111.32</v>
      </c>
      <c r="K1617" s="8">
        <v>7</v>
      </c>
      <c r="L1617" s="7">
        <v>112.59</v>
      </c>
    </row>
    <row r="1618" spans="1:12" x14ac:dyDescent="0.2">
      <c r="A1618" s="2">
        <v>42735</v>
      </c>
      <c r="B1618" s="8">
        <f>YEAR(Sales_data[[#This Row],[Order Date]])</f>
        <v>2016</v>
      </c>
      <c r="C1618" s="8">
        <f>MONTH(Sales_data[[#This Row],[Order Date]])</f>
        <v>12</v>
      </c>
      <c r="D1618" s="8" t="str">
        <f>TEXT(Sales_data[[#This Row],[Order Date]],"mmm")</f>
        <v>Dec</v>
      </c>
      <c r="E1618" t="s">
        <v>17</v>
      </c>
      <c r="F1618" t="s">
        <v>26</v>
      </c>
      <c r="G1618" t="s">
        <v>32</v>
      </c>
      <c r="H1618" t="s">
        <v>42</v>
      </c>
      <c r="I1618" t="s">
        <v>49</v>
      </c>
      <c r="J1618" s="7">
        <v>579.5</v>
      </c>
      <c r="K1618" s="8">
        <v>9</v>
      </c>
      <c r="L1618" s="7">
        <v>262.25</v>
      </c>
    </row>
    <row r="1619" spans="1:12" x14ac:dyDescent="0.2">
      <c r="A1619" s="2">
        <v>42735</v>
      </c>
      <c r="B1619" s="8">
        <f>YEAR(Sales_data[[#This Row],[Order Date]])</f>
        <v>2016</v>
      </c>
      <c r="C1619" s="8">
        <f>MONTH(Sales_data[[#This Row],[Order Date]])</f>
        <v>12</v>
      </c>
      <c r="D1619" s="8" t="str">
        <f>TEXT(Sales_data[[#This Row],[Order Date]],"mmm")</f>
        <v>Dec</v>
      </c>
      <c r="E1619" t="s">
        <v>16</v>
      </c>
      <c r="F1619" t="s">
        <v>23</v>
      </c>
      <c r="G1619" t="s">
        <v>33</v>
      </c>
      <c r="H1619" t="s">
        <v>42</v>
      </c>
      <c r="I1619" t="s">
        <v>45</v>
      </c>
      <c r="J1619" s="7">
        <v>1822.49</v>
      </c>
      <c r="K1619" s="8">
        <v>2</v>
      </c>
      <c r="L1619" s="7">
        <v>135.87</v>
      </c>
    </row>
    <row r="1620" spans="1:12" x14ac:dyDescent="0.2">
      <c r="A1620" s="2">
        <v>42737</v>
      </c>
      <c r="B1620" s="8">
        <f>YEAR(Sales_data[[#This Row],[Order Date]])</f>
        <v>2017</v>
      </c>
      <c r="C1620" s="8">
        <f>MONTH(Sales_data[[#This Row],[Order Date]])</f>
        <v>1</v>
      </c>
      <c r="D1620" s="8" t="str">
        <f>TEXT(Sales_data[[#This Row],[Order Date]],"mmm")</f>
        <v>Jan</v>
      </c>
      <c r="E1620" t="s">
        <v>19</v>
      </c>
      <c r="F1620" t="s">
        <v>26</v>
      </c>
      <c r="G1620" t="s">
        <v>33</v>
      </c>
      <c r="H1620" t="s">
        <v>38</v>
      </c>
      <c r="I1620" t="s">
        <v>45</v>
      </c>
      <c r="J1620" s="7">
        <v>1043.81</v>
      </c>
      <c r="K1620" s="8">
        <v>1</v>
      </c>
      <c r="L1620" s="7">
        <v>-181.05</v>
      </c>
    </row>
    <row r="1621" spans="1:12" x14ac:dyDescent="0.2">
      <c r="A1621" s="2">
        <v>42738</v>
      </c>
      <c r="B1621" s="8">
        <f>YEAR(Sales_data[[#This Row],[Order Date]])</f>
        <v>2017</v>
      </c>
      <c r="C1621" s="8">
        <f>MONTH(Sales_data[[#This Row],[Order Date]])</f>
        <v>1</v>
      </c>
      <c r="D1621" s="8" t="str">
        <f>TEXT(Sales_data[[#This Row],[Order Date]],"mmm")</f>
        <v>Jan</v>
      </c>
      <c r="E1621" t="s">
        <v>14</v>
      </c>
      <c r="F1621" t="s">
        <v>22</v>
      </c>
      <c r="G1621" t="s">
        <v>33</v>
      </c>
      <c r="H1621" t="s">
        <v>38</v>
      </c>
      <c r="I1621" t="s">
        <v>49</v>
      </c>
      <c r="J1621" s="7">
        <v>1692.38</v>
      </c>
      <c r="K1621" s="8">
        <v>2</v>
      </c>
      <c r="L1621" s="7">
        <v>332.99</v>
      </c>
    </row>
    <row r="1622" spans="1:12" x14ac:dyDescent="0.2">
      <c r="A1622" s="2">
        <v>42738</v>
      </c>
      <c r="B1622" s="8">
        <f>YEAR(Sales_data[[#This Row],[Order Date]])</f>
        <v>2017</v>
      </c>
      <c r="C1622" s="8">
        <f>MONTH(Sales_data[[#This Row],[Order Date]])</f>
        <v>1</v>
      </c>
      <c r="D1622" s="8" t="str">
        <f>TEXT(Sales_data[[#This Row],[Order Date]],"mmm")</f>
        <v>Jan</v>
      </c>
      <c r="E1622" t="s">
        <v>12</v>
      </c>
      <c r="F1622" t="s">
        <v>26</v>
      </c>
      <c r="G1622" t="s">
        <v>33</v>
      </c>
      <c r="H1622" t="s">
        <v>42</v>
      </c>
      <c r="I1622" t="s">
        <v>45</v>
      </c>
      <c r="J1622" s="7">
        <v>1743.66</v>
      </c>
      <c r="K1622" s="8">
        <v>5</v>
      </c>
      <c r="L1622" s="7">
        <v>370.59</v>
      </c>
    </row>
    <row r="1623" spans="1:12" x14ac:dyDescent="0.2">
      <c r="A1623" s="2">
        <v>42739</v>
      </c>
      <c r="B1623" s="8">
        <f>YEAR(Sales_data[[#This Row],[Order Date]])</f>
        <v>2017</v>
      </c>
      <c r="C1623" s="8">
        <f>MONTH(Sales_data[[#This Row],[Order Date]])</f>
        <v>1</v>
      </c>
      <c r="D1623" s="8" t="str">
        <f>TEXT(Sales_data[[#This Row],[Order Date]],"mmm")</f>
        <v>Jan</v>
      </c>
      <c r="E1623" t="s">
        <v>21</v>
      </c>
      <c r="F1623" t="s">
        <v>25</v>
      </c>
      <c r="G1623" t="s">
        <v>34</v>
      </c>
      <c r="H1623" t="s">
        <v>42</v>
      </c>
      <c r="I1623" t="s">
        <v>53</v>
      </c>
      <c r="J1623" s="7">
        <v>1551.21</v>
      </c>
      <c r="K1623" s="8">
        <v>2</v>
      </c>
      <c r="L1623" s="7">
        <v>142.06</v>
      </c>
    </row>
    <row r="1624" spans="1:12" x14ac:dyDescent="0.2">
      <c r="A1624" s="2">
        <v>42739</v>
      </c>
      <c r="B1624" s="8">
        <f>YEAR(Sales_data[[#This Row],[Order Date]])</f>
        <v>2017</v>
      </c>
      <c r="C1624" s="8">
        <f>MONTH(Sales_data[[#This Row],[Order Date]])</f>
        <v>1</v>
      </c>
      <c r="D1624" s="8" t="str">
        <f>TEXT(Sales_data[[#This Row],[Order Date]],"mmm")</f>
        <v>Jan</v>
      </c>
      <c r="E1624" t="s">
        <v>11</v>
      </c>
      <c r="F1624" t="s">
        <v>30</v>
      </c>
      <c r="G1624" t="s">
        <v>32</v>
      </c>
      <c r="H1624" t="s">
        <v>36</v>
      </c>
      <c r="I1624" t="s">
        <v>53</v>
      </c>
      <c r="J1624" s="7">
        <v>1691.45</v>
      </c>
      <c r="K1624" s="8">
        <v>1</v>
      </c>
      <c r="L1624" s="7">
        <v>246.78</v>
      </c>
    </row>
    <row r="1625" spans="1:12" x14ac:dyDescent="0.2">
      <c r="A1625" s="2">
        <v>42739</v>
      </c>
      <c r="B1625" s="8">
        <f>YEAR(Sales_data[[#This Row],[Order Date]])</f>
        <v>2017</v>
      </c>
      <c r="C1625" s="8">
        <f>MONTH(Sales_data[[#This Row],[Order Date]])</f>
        <v>1</v>
      </c>
      <c r="D1625" s="8" t="str">
        <f>TEXT(Sales_data[[#This Row],[Order Date]],"mmm")</f>
        <v>Jan</v>
      </c>
      <c r="E1625" t="s">
        <v>10</v>
      </c>
      <c r="F1625" t="s">
        <v>28</v>
      </c>
      <c r="G1625" t="s">
        <v>32</v>
      </c>
      <c r="H1625" t="s">
        <v>40</v>
      </c>
      <c r="I1625" t="s">
        <v>45</v>
      </c>
      <c r="J1625" s="7">
        <v>1791.26</v>
      </c>
      <c r="K1625" s="8">
        <v>3</v>
      </c>
      <c r="L1625" s="7">
        <v>-80.319999999999993</v>
      </c>
    </row>
    <row r="1626" spans="1:12" x14ac:dyDescent="0.2">
      <c r="A1626" s="2">
        <v>42741</v>
      </c>
      <c r="B1626" s="8">
        <f>YEAR(Sales_data[[#This Row],[Order Date]])</f>
        <v>2017</v>
      </c>
      <c r="C1626" s="8">
        <f>MONTH(Sales_data[[#This Row],[Order Date]])</f>
        <v>1</v>
      </c>
      <c r="D1626" s="8" t="str">
        <f>TEXT(Sales_data[[#This Row],[Order Date]],"mmm")</f>
        <v>Jan</v>
      </c>
      <c r="E1626" t="s">
        <v>14</v>
      </c>
      <c r="F1626" t="s">
        <v>26</v>
      </c>
      <c r="G1626" t="s">
        <v>32</v>
      </c>
      <c r="H1626" t="s">
        <v>35</v>
      </c>
      <c r="I1626" t="s">
        <v>52</v>
      </c>
      <c r="J1626" s="7">
        <v>1867.22</v>
      </c>
      <c r="K1626" s="8">
        <v>4</v>
      </c>
      <c r="L1626" s="7">
        <v>273.67</v>
      </c>
    </row>
    <row r="1627" spans="1:12" x14ac:dyDescent="0.2">
      <c r="A1627" s="2">
        <v>42741</v>
      </c>
      <c r="B1627" s="8">
        <f>YEAR(Sales_data[[#This Row],[Order Date]])</f>
        <v>2017</v>
      </c>
      <c r="C1627" s="8">
        <f>MONTH(Sales_data[[#This Row],[Order Date]])</f>
        <v>1</v>
      </c>
      <c r="D1627" s="8" t="str">
        <f>TEXT(Sales_data[[#This Row],[Order Date]],"mmm")</f>
        <v>Jan</v>
      </c>
      <c r="E1627" t="s">
        <v>10</v>
      </c>
      <c r="F1627" t="s">
        <v>25</v>
      </c>
      <c r="G1627" t="s">
        <v>33</v>
      </c>
      <c r="H1627" t="s">
        <v>41</v>
      </c>
      <c r="I1627" t="s">
        <v>48</v>
      </c>
      <c r="J1627" s="7">
        <v>890.56</v>
      </c>
      <c r="K1627" s="8">
        <v>6</v>
      </c>
      <c r="L1627" s="7">
        <v>103.74</v>
      </c>
    </row>
    <row r="1628" spans="1:12" x14ac:dyDescent="0.2">
      <c r="A1628" s="2">
        <v>42744</v>
      </c>
      <c r="B1628" s="8">
        <f>YEAR(Sales_data[[#This Row],[Order Date]])</f>
        <v>2017</v>
      </c>
      <c r="C1628" s="8">
        <f>MONTH(Sales_data[[#This Row],[Order Date]])</f>
        <v>1</v>
      </c>
      <c r="D1628" s="8" t="str">
        <f>TEXT(Sales_data[[#This Row],[Order Date]],"mmm")</f>
        <v>Jan</v>
      </c>
      <c r="E1628" t="s">
        <v>10</v>
      </c>
      <c r="F1628" t="s">
        <v>30</v>
      </c>
      <c r="G1628" t="s">
        <v>33</v>
      </c>
      <c r="H1628" t="s">
        <v>43</v>
      </c>
      <c r="I1628" t="s">
        <v>45</v>
      </c>
      <c r="J1628" s="7">
        <v>332.17</v>
      </c>
      <c r="K1628" s="8">
        <v>4</v>
      </c>
      <c r="L1628" s="7">
        <v>-76.66</v>
      </c>
    </row>
    <row r="1629" spans="1:12" x14ac:dyDescent="0.2">
      <c r="A1629" s="2">
        <v>42744</v>
      </c>
      <c r="B1629" s="8">
        <f>YEAR(Sales_data[[#This Row],[Order Date]])</f>
        <v>2017</v>
      </c>
      <c r="C1629" s="8">
        <f>MONTH(Sales_data[[#This Row],[Order Date]])</f>
        <v>1</v>
      </c>
      <c r="D1629" s="8" t="str">
        <f>TEXT(Sales_data[[#This Row],[Order Date]],"mmm")</f>
        <v>Jan</v>
      </c>
      <c r="E1629" t="s">
        <v>9</v>
      </c>
      <c r="F1629" t="s">
        <v>22</v>
      </c>
      <c r="G1629" t="s">
        <v>33</v>
      </c>
      <c r="H1629" t="s">
        <v>39</v>
      </c>
      <c r="I1629" t="s">
        <v>46</v>
      </c>
      <c r="J1629" s="7">
        <v>1444.12</v>
      </c>
      <c r="K1629" s="8">
        <v>9</v>
      </c>
      <c r="L1629" s="7">
        <v>-137.35</v>
      </c>
    </row>
    <row r="1630" spans="1:12" x14ac:dyDescent="0.2">
      <c r="A1630" s="2">
        <v>42745</v>
      </c>
      <c r="B1630" s="8">
        <f>YEAR(Sales_data[[#This Row],[Order Date]])</f>
        <v>2017</v>
      </c>
      <c r="C1630" s="8">
        <f>MONTH(Sales_data[[#This Row],[Order Date]])</f>
        <v>1</v>
      </c>
      <c r="D1630" s="8" t="str">
        <f>TEXT(Sales_data[[#This Row],[Order Date]],"mmm")</f>
        <v>Jan</v>
      </c>
      <c r="E1630" t="s">
        <v>17</v>
      </c>
      <c r="F1630" t="s">
        <v>31</v>
      </c>
      <c r="G1630" t="s">
        <v>33</v>
      </c>
      <c r="H1630" t="s">
        <v>43</v>
      </c>
      <c r="I1630" t="s">
        <v>46</v>
      </c>
      <c r="J1630" s="7">
        <v>1551.97</v>
      </c>
      <c r="K1630" s="8">
        <v>6</v>
      </c>
      <c r="L1630" s="7">
        <v>287.01</v>
      </c>
    </row>
    <row r="1631" spans="1:12" x14ac:dyDescent="0.2">
      <c r="A1631" s="2">
        <v>42746</v>
      </c>
      <c r="B1631" s="8">
        <f>YEAR(Sales_data[[#This Row],[Order Date]])</f>
        <v>2017</v>
      </c>
      <c r="C1631" s="8">
        <f>MONTH(Sales_data[[#This Row],[Order Date]])</f>
        <v>1</v>
      </c>
      <c r="D1631" s="8" t="str">
        <f>TEXT(Sales_data[[#This Row],[Order Date]],"mmm")</f>
        <v>Jan</v>
      </c>
      <c r="E1631" t="s">
        <v>20</v>
      </c>
      <c r="F1631" t="s">
        <v>23</v>
      </c>
      <c r="G1631" t="s">
        <v>33</v>
      </c>
      <c r="H1631" t="s">
        <v>37</v>
      </c>
      <c r="I1631" t="s">
        <v>44</v>
      </c>
      <c r="J1631" s="7">
        <v>66.75</v>
      </c>
      <c r="K1631" s="8">
        <v>4</v>
      </c>
      <c r="L1631" s="7">
        <v>261.12</v>
      </c>
    </row>
    <row r="1632" spans="1:12" x14ac:dyDescent="0.2">
      <c r="A1632" s="2">
        <v>42748</v>
      </c>
      <c r="B1632" s="8">
        <f>YEAR(Sales_data[[#This Row],[Order Date]])</f>
        <v>2017</v>
      </c>
      <c r="C1632" s="8">
        <f>MONTH(Sales_data[[#This Row],[Order Date]])</f>
        <v>1</v>
      </c>
      <c r="D1632" s="8" t="str">
        <f>TEXT(Sales_data[[#This Row],[Order Date]],"mmm")</f>
        <v>Jan</v>
      </c>
      <c r="E1632" t="s">
        <v>11</v>
      </c>
      <c r="F1632" t="s">
        <v>25</v>
      </c>
      <c r="G1632" t="s">
        <v>33</v>
      </c>
      <c r="H1632" t="s">
        <v>40</v>
      </c>
      <c r="I1632" t="s">
        <v>45</v>
      </c>
      <c r="J1632" s="7">
        <v>1932.69</v>
      </c>
      <c r="K1632" s="8">
        <v>1</v>
      </c>
      <c r="L1632" s="7">
        <v>-55.38</v>
      </c>
    </row>
    <row r="1633" spans="1:12" x14ac:dyDescent="0.2">
      <c r="A1633" s="2">
        <v>42748</v>
      </c>
      <c r="B1633" s="8">
        <f>YEAR(Sales_data[[#This Row],[Order Date]])</f>
        <v>2017</v>
      </c>
      <c r="C1633" s="8">
        <f>MONTH(Sales_data[[#This Row],[Order Date]])</f>
        <v>1</v>
      </c>
      <c r="D1633" s="8" t="str">
        <f>TEXT(Sales_data[[#This Row],[Order Date]],"mmm")</f>
        <v>Jan</v>
      </c>
      <c r="E1633" t="s">
        <v>12</v>
      </c>
      <c r="F1633" t="s">
        <v>29</v>
      </c>
      <c r="G1633" t="s">
        <v>32</v>
      </c>
      <c r="H1633" t="s">
        <v>41</v>
      </c>
      <c r="I1633" t="s">
        <v>52</v>
      </c>
      <c r="J1633" s="7">
        <v>1677.08</v>
      </c>
      <c r="K1633" s="8">
        <v>3</v>
      </c>
      <c r="L1633" s="7">
        <v>97.66</v>
      </c>
    </row>
    <row r="1634" spans="1:12" x14ac:dyDescent="0.2">
      <c r="A1634" s="2">
        <v>42748</v>
      </c>
      <c r="B1634" s="8">
        <f>YEAR(Sales_data[[#This Row],[Order Date]])</f>
        <v>2017</v>
      </c>
      <c r="C1634" s="8">
        <f>MONTH(Sales_data[[#This Row],[Order Date]])</f>
        <v>1</v>
      </c>
      <c r="D1634" s="8" t="str">
        <f>TEXT(Sales_data[[#This Row],[Order Date]],"mmm")</f>
        <v>Jan</v>
      </c>
      <c r="E1634" t="s">
        <v>14</v>
      </c>
      <c r="F1634" t="s">
        <v>23</v>
      </c>
      <c r="G1634" t="s">
        <v>32</v>
      </c>
      <c r="H1634" t="s">
        <v>37</v>
      </c>
      <c r="I1634" t="s">
        <v>52</v>
      </c>
      <c r="J1634" s="7">
        <v>1732.2</v>
      </c>
      <c r="K1634" s="8">
        <v>2</v>
      </c>
      <c r="L1634" s="7">
        <v>207.08</v>
      </c>
    </row>
    <row r="1635" spans="1:12" x14ac:dyDescent="0.2">
      <c r="A1635" s="2">
        <v>42749</v>
      </c>
      <c r="B1635" s="8">
        <f>YEAR(Sales_data[[#This Row],[Order Date]])</f>
        <v>2017</v>
      </c>
      <c r="C1635" s="8">
        <f>MONTH(Sales_data[[#This Row],[Order Date]])</f>
        <v>1</v>
      </c>
      <c r="D1635" s="8" t="str">
        <f>TEXT(Sales_data[[#This Row],[Order Date]],"mmm")</f>
        <v>Jan</v>
      </c>
      <c r="E1635" t="s">
        <v>15</v>
      </c>
      <c r="F1635" t="s">
        <v>29</v>
      </c>
      <c r="G1635" t="s">
        <v>34</v>
      </c>
      <c r="H1635" t="s">
        <v>43</v>
      </c>
      <c r="I1635" t="s">
        <v>52</v>
      </c>
      <c r="J1635" s="7">
        <v>366.57</v>
      </c>
      <c r="K1635" s="8">
        <v>1</v>
      </c>
      <c r="L1635" s="7">
        <v>301.60000000000002</v>
      </c>
    </row>
    <row r="1636" spans="1:12" x14ac:dyDescent="0.2">
      <c r="A1636" s="2">
        <v>42753</v>
      </c>
      <c r="B1636" s="8">
        <f>YEAR(Sales_data[[#This Row],[Order Date]])</f>
        <v>2017</v>
      </c>
      <c r="C1636" s="8">
        <f>MONTH(Sales_data[[#This Row],[Order Date]])</f>
        <v>1</v>
      </c>
      <c r="D1636" s="8" t="str">
        <f>TEXT(Sales_data[[#This Row],[Order Date]],"mmm")</f>
        <v>Jan</v>
      </c>
      <c r="E1636" t="s">
        <v>13</v>
      </c>
      <c r="F1636" t="s">
        <v>30</v>
      </c>
      <c r="G1636" t="s">
        <v>32</v>
      </c>
      <c r="H1636" t="s">
        <v>42</v>
      </c>
      <c r="I1636" t="s">
        <v>48</v>
      </c>
      <c r="J1636" s="7">
        <v>468.68</v>
      </c>
      <c r="K1636" s="8">
        <v>6</v>
      </c>
      <c r="L1636" s="7">
        <v>179.98</v>
      </c>
    </row>
    <row r="1637" spans="1:12" x14ac:dyDescent="0.2">
      <c r="A1637" s="2">
        <v>42754</v>
      </c>
      <c r="B1637" s="8">
        <f>YEAR(Sales_data[[#This Row],[Order Date]])</f>
        <v>2017</v>
      </c>
      <c r="C1637" s="8">
        <f>MONTH(Sales_data[[#This Row],[Order Date]])</f>
        <v>1</v>
      </c>
      <c r="D1637" s="8" t="str">
        <f>TEXT(Sales_data[[#This Row],[Order Date]],"mmm")</f>
        <v>Jan</v>
      </c>
      <c r="E1637" t="s">
        <v>10</v>
      </c>
      <c r="F1637" t="s">
        <v>28</v>
      </c>
      <c r="G1637" t="s">
        <v>32</v>
      </c>
      <c r="H1637" t="s">
        <v>43</v>
      </c>
      <c r="I1637" t="s">
        <v>48</v>
      </c>
      <c r="J1637" s="7">
        <v>1746.2</v>
      </c>
      <c r="K1637" s="8">
        <v>8</v>
      </c>
      <c r="L1637" s="7">
        <v>195.89</v>
      </c>
    </row>
    <row r="1638" spans="1:12" x14ac:dyDescent="0.2">
      <c r="A1638" s="2">
        <v>42756</v>
      </c>
      <c r="B1638" s="8">
        <f>YEAR(Sales_data[[#This Row],[Order Date]])</f>
        <v>2017</v>
      </c>
      <c r="C1638" s="8">
        <f>MONTH(Sales_data[[#This Row],[Order Date]])</f>
        <v>1</v>
      </c>
      <c r="D1638" s="8" t="str">
        <f>TEXT(Sales_data[[#This Row],[Order Date]],"mmm")</f>
        <v>Jan</v>
      </c>
      <c r="E1638" t="s">
        <v>19</v>
      </c>
      <c r="F1638" t="s">
        <v>22</v>
      </c>
      <c r="G1638" t="s">
        <v>34</v>
      </c>
      <c r="H1638" t="s">
        <v>36</v>
      </c>
      <c r="I1638" t="s">
        <v>47</v>
      </c>
      <c r="J1638" s="7">
        <v>972.35</v>
      </c>
      <c r="K1638" s="8">
        <v>9</v>
      </c>
      <c r="L1638" s="7">
        <v>212.13</v>
      </c>
    </row>
    <row r="1639" spans="1:12" x14ac:dyDescent="0.2">
      <c r="A1639" s="2">
        <v>42756</v>
      </c>
      <c r="B1639" s="8">
        <f>YEAR(Sales_data[[#This Row],[Order Date]])</f>
        <v>2017</v>
      </c>
      <c r="C1639" s="8">
        <f>MONTH(Sales_data[[#This Row],[Order Date]])</f>
        <v>1</v>
      </c>
      <c r="D1639" s="8" t="str">
        <f>TEXT(Sales_data[[#This Row],[Order Date]],"mmm")</f>
        <v>Jan</v>
      </c>
      <c r="E1639" t="s">
        <v>14</v>
      </c>
      <c r="F1639" t="s">
        <v>30</v>
      </c>
      <c r="G1639" t="s">
        <v>34</v>
      </c>
      <c r="H1639" t="s">
        <v>37</v>
      </c>
      <c r="I1639" t="s">
        <v>45</v>
      </c>
      <c r="J1639" s="7">
        <v>1722.42</v>
      </c>
      <c r="K1639" s="8">
        <v>8</v>
      </c>
      <c r="L1639" s="7">
        <v>12.83</v>
      </c>
    </row>
    <row r="1640" spans="1:12" x14ac:dyDescent="0.2">
      <c r="A1640" s="2">
        <v>42757</v>
      </c>
      <c r="B1640" s="8">
        <f>YEAR(Sales_data[[#This Row],[Order Date]])</f>
        <v>2017</v>
      </c>
      <c r="C1640" s="8">
        <f>MONTH(Sales_data[[#This Row],[Order Date]])</f>
        <v>1</v>
      </c>
      <c r="D1640" s="8" t="str">
        <f>TEXT(Sales_data[[#This Row],[Order Date]],"mmm")</f>
        <v>Jan</v>
      </c>
      <c r="E1640" t="s">
        <v>13</v>
      </c>
      <c r="F1640" t="s">
        <v>22</v>
      </c>
      <c r="G1640" t="s">
        <v>33</v>
      </c>
      <c r="H1640" t="s">
        <v>35</v>
      </c>
      <c r="I1640" t="s">
        <v>44</v>
      </c>
      <c r="J1640" s="7">
        <v>34.020000000000003</v>
      </c>
      <c r="K1640" s="8">
        <v>6</v>
      </c>
      <c r="L1640" s="7">
        <v>14.98</v>
      </c>
    </row>
    <row r="1641" spans="1:12" x14ac:dyDescent="0.2">
      <c r="A1641" s="2">
        <v>42757</v>
      </c>
      <c r="B1641" s="8">
        <f>YEAR(Sales_data[[#This Row],[Order Date]])</f>
        <v>2017</v>
      </c>
      <c r="C1641" s="8">
        <f>MONTH(Sales_data[[#This Row],[Order Date]])</f>
        <v>1</v>
      </c>
      <c r="D1641" s="8" t="str">
        <f>TEXT(Sales_data[[#This Row],[Order Date]],"mmm")</f>
        <v>Jan</v>
      </c>
      <c r="E1641" t="s">
        <v>11</v>
      </c>
      <c r="F1641" t="s">
        <v>24</v>
      </c>
      <c r="G1641" t="s">
        <v>34</v>
      </c>
      <c r="H1641" t="s">
        <v>43</v>
      </c>
      <c r="I1641" t="s">
        <v>45</v>
      </c>
      <c r="J1641" s="7">
        <v>988.66</v>
      </c>
      <c r="K1641" s="8">
        <v>7</v>
      </c>
      <c r="L1641" s="7">
        <v>-68.5</v>
      </c>
    </row>
    <row r="1642" spans="1:12" x14ac:dyDescent="0.2">
      <c r="A1642" s="2">
        <v>42758</v>
      </c>
      <c r="B1642" s="8">
        <f>YEAR(Sales_data[[#This Row],[Order Date]])</f>
        <v>2017</v>
      </c>
      <c r="C1642" s="8">
        <f>MONTH(Sales_data[[#This Row],[Order Date]])</f>
        <v>1</v>
      </c>
      <c r="D1642" s="8" t="str">
        <f>TEXT(Sales_data[[#This Row],[Order Date]],"mmm")</f>
        <v>Jan</v>
      </c>
      <c r="E1642" t="s">
        <v>14</v>
      </c>
      <c r="F1642" t="s">
        <v>30</v>
      </c>
      <c r="G1642" t="s">
        <v>32</v>
      </c>
      <c r="H1642" t="s">
        <v>38</v>
      </c>
      <c r="I1642" t="s">
        <v>52</v>
      </c>
      <c r="J1642" s="7">
        <v>1444.42</v>
      </c>
      <c r="K1642" s="8">
        <v>4</v>
      </c>
      <c r="L1642" s="7">
        <v>288.58</v>
      </c>
    </row>
    <row r="1643" spans="1:12" x14ac:dyDescent="0.2">
      <c r="A1643" s="2">
        <v>42759</v>
      </c>
      <c r="B1643" s="8">
        <f>YEAR(Sales_data[[#This Row],[Order Date]])</f>
        <v>2017</v>
      </c>
      <c r="C1643" s="8">
        <f>MONTH(Sales_data[[#This Row],[Order Date]])</f>
        <v>1</v>
      </c>
      <c r="D1643" s="8" t="str">
        <f>TEXT(Sales_data[[#This Row],[Order Date]],"mmm")</f>
        <v>Jan</v>
      </c>
      <c r="E1643" t="s">
        <v>18</v>
      </c>
      <c r="F1643" t="s">
        <v>28</v>
      </c>
      <c r="G1643" t="s">
        <v>32</v>
      </c>
      <c r="H1643" t="s">
        <v>42</v>
      </c>
      <c r="I1643" t="s">
        <v>48</v>
      </c>
      <c r="J1643" s="7">
        <v>1152.8399999999999</v>
      </c>
      <c r="K1643" s="8">
        <v>8</v>
      </c>
      <c r="L1643" s="7">
        <v>185.73</v>
      </c>
    </row>
    <row r="1644" spans="1:12" x14ac:dyDescent="0.2">
      <c r="A1644" s="2">
        <v>42759</v>
      </c>
      <c r="B1644" s="8">
        <f>YEAR(Sales_data[[#This Row],[Order Date]])</f>
        <v>2017</v>
      </c>
      <c r="C1644" s="8">
        <f>MONTH(Sales_data[[#This Row],[Order Date]])</f>
        <v>1</v>
      </c>
      <c r="D1644" s="8" t="str">
        <f>TEXT(Sales_data[[#This Row],[Order Date]],"mmm")</f>
        <v>Jan</v>
      </c>
      <c r="E1644" t="s">
        <v>20</v>
      </c>
      <c r="F1644" t="s">
        <v>22</v>
      </c>
      <c r="G1644" t="s">
        <v>34</v>
      </c>
      <c r="H1644" t="s">
        <v>43</v>
      </c>
      <c r="I1644" t="s">
        <v>51</v>
      </c>
      <c r="J1644" s="7">
        <v>152.29</v>
      </c>
      <c r="K1644" s="8">
        <v>4</v>
      </c>
      <c r="L1644" s="7">
        <v>96.45</v>
      </c>
    </row>
    <row r="1645" spans="1:12" x14ac:dyDescent="0.2">
      <c r="A1645" s="2">
        <v>42760</v>
      </c>
      <c r="B1645" s="8">
        <f>YEAR(Sales_data[[#This Row],[Order Date]])</f>
        <v>2017</v>
      </c>
      <c r="C1645" s="8">
        <f>MONTH(Sales_data[[#This Row],[Order Date]])</f>
        <v>1</v>
      </c>
      <c r="D1645" s="8" t="str">
        <f>TEXT(Sales_data[[#This Row],[Order Date]],"mmm")</f>
        <v>Jan</v>
      </c>
      <c r="E1645" t="s">
        <v>20</v>
      </c>
      <c r="F1645" t="s">
        <v>28</v>
      </c>
      <c r="G1645" t="s">
        <v>33</v>
      </c>
      <c r="H1645" t="s">
        <v>38</v>
      </c>
      <c r="I1645" t="s">
        <v>52</v>
      </c>
      <c r="J1645" s="7">
        <v>1321.12</v>
      </c>
      <c r="K1645" s="8">
        <v>2</v>
      </c>
      <c r="L1645" s="7">
        <v>279.57</v>
      </c>
    </row>
    <row r="1646" spans="1:12" x14ac:dyDescent="0.2">
      <c r="A1646" s="2">
        <v>42760</v>
      </c>
      <c r="B1646" s="8">
        <f>YEAR(Sales_data[[#This Row],[Order Date]])</f>
        <v>2017</v>
      </c>
      <c r="C1646" s="8">
        <f>MONTH(Sales_data[[#This Row],[Order Date]])</f>
        <v>1</v>
      </c>
      <c r="D1646" s="8" t="str">
        <f>TEXT(Sales_data[[#This Row],[Order Date]],"mmm")</f>
        <v>Jan</v>
      </c>
      <c r="E1646" t="s">
        <v>12</v>
      </c>
      <c r="F1646" t="s">
        <v>29</v>
      </c>
      <c r="G1646" t="s">
        <v>34</v>
      </c>
      <c r="H1646" t="s">
        <v>40</v>
      </c>
      <c r="I1646" t="s">
        <v>48</v>
      </c>
      <c r="J1646" s="7">
        <v>1753.82</v>
      </c>
      <c r="K1646" s="8">
        <v>9</v>
      </c>
      <c r="L1646" s="7">
        <v>118.2</v>
      </c>
    </row>
    <row r="1647" spans="1:12" x14ac:dyDescent="0.2">
      <c r="A1647" s="2">
        <v>42760</v>
      </c>
      <c r="B1647" s="8">
        <f>YEAR(Sales_data[[#This Row],[Order Date]])</f>
        <v>2017</v>
      </c>
      <c r="C1647" s="8">
        <f>MONTH(Sales_data[[#This Row],[Order Date]])</f>
        <v>1</v>
      </c>
      <c r="D1647" s="8" t="str">
        <f>TEXT(Sales_data[[#This Row],[Order Date]],"mmm")</f>
        <v>Jan</v>
      </c>
      <c r="E1647" t="s">
        <v>9</v>
      </c>
      <c r="F1647" t="s">
        <v>23</v>
      </c>
      <c r="G1647" t="s">
        <v>34</v>
      </c>
      <c r="H1647" t="s">
        <v>41</v>
      </c>
      <c r="I1647" t="s">
        <v>48</v>
      </c>
      <c r="J1647" s="7">
        <v>989.31</v>
      </c>
      <c r="K1647" s="8">
        <v>9</v>
      </c>
      <c r="L1647" s="7">
        <v>-79.349999999999994</v>
      </c>
    </row>
    <row r="1648" spans="1:12" x14ac:dyDescent="0.2">
      <c r="A1648" s="2">
        <v>42764</v>
      </c>
      <c r="B1648" s="8">
        <f>YEAR(Sales_data[[#This Row],[Order Date]])</f>
        <v>2017</v>
      </c>
      <c r="C1648" s="8">
        <f>MONTH(Sales_data[[#This Row],[Order Date]])</f>
        <v>1</v>
      </c>
      <c r="D1648" s="8" t="str">
        <f>TEXT(Sales_data[[#This Row],[Order Date]],"mmm")</f>
        <v>Jan</v>
      </c>
      <c r="E1648" t="s">
        <v>13</v>
      </c>
      <c r="F1648" t="s">
        <v>27</v>
      </c>
      <c r="G1648" t="s">
        <v>34</v>
      </c>
      <c r="H1648" t="s">
        <v>39</v>
      </c>
      <c r="I1648" t="s">
        <v>47</v>
      </c>
      <c r="J1648" s="7">
        <v>546.29</v>
      </c>
      <c r="K1648" s="8">
        <v>3</v>
      </c>
      <c r="L1648" s="7">
        <v>379.75</v>
      </c>
    </row>
    <row r="1649" spans="1:12" x14ac:dyDescent="0.2">
      <c r="A1649" s="2">
        <v>42765</v>
      </c>
      <c r="B1649" s="8">
        <f>YEAR(Sales_data[[#This Row],[Order Date]])</f>
        <v>2017</v>
      </c>
      <c r="C1649" s="8">
        <f>MONTH(Sales_data[[#This Row],[Order Date]])</f>
        <v>1</v>
      </c>
      <c r="D1649" s="8" t="str">
        <f>TEXT(Sales_data[[#This Row],[Order Date]],"mmm")</f>
        <v>Jan</v>
      </c>
      <c r="E1649" t="s">
        <v>14</v>
      </c>
      <c r="F1649" t="s">
        <v>27</v>
      </c>
      <c r="G1649" t="s">
        <v>34</v>
      </c>
      <c r="H1649" t="s">
        <v>39</v>
      </c>
      <c r="I1649" t="s">
        <v>47</v>
      </c>
      <c r="J1649" s="7">
        <v>1123.01</v>
      </c>
      <c r="K1649" s="8">
        <v>8</v>
      </c>
      <c r="L1649" s="7">
        <v>387.37</v>
      </c>
    </row>
    <row r="1650" spans="1:12" x14ac:dyDescent="0.2">
      <c r="A1650" s="2">
        <v>42767</v>
      </c>
      <c r="B1650" s="8">
        <f>YEAR(Sales_data[[#This Row],[Order Date]])</f>
        <v>2017</v>
      </c>
      <c r="C1650" s="8">
        <f>MONTH(Sales_data[[#This Row],[Order Date]])</f>
        <v>2</v>
      </c>
      <c r="D1650" s="8" t="str">
        <f>TEXT(Sales_data[[#This Row],[Order Date]],"mmm")</f>
        <v>Feb</v>
      </c>
      <c r="E1650" t="s">
        <v>12</v>
      </c>
      <c r="F1650" t="s">
        <v>26</v>
      </c>
      <c r="G1650" t="s">
        <v>33</v>
      </c>
      <c r="H1650" t="s">
        <v>40</v>
      </c>
      <c r="I1650" t="s">
        <v>46</v>
      </c>
      <c r="J1650" s="7">
        <v>1898.67</v>
      </c>
      <c r="K1650" s="8">
        <v>4</v>
      </c>
      <c r="L1650" s="7">
        <v>52.97</v>
      </c>
    </row>
    <row r="1651" spans="1:12" x14ac:dyDescent="0.2">
      <c r="A1651" s="2">
        <v>42767</v>
      </c>
      <c r="B1651" s="8">
        <f>YEAR(Sales_data[[#This Row],[Order Date]])</f>
        <v>2017</v>
      </c>
      <c r="C1651" s="8">
        <f>MONTH(Sales_data[[#This Row],[Order Date]])</f>
        <v>2</v>
      </c>
      <c r="D1651" s="8" t="str">
        <f>TEXT(Sales_data[[#This Row],[Order Date]],"mmm")</f>
        <v>Feb</v>
      </c>
      <c r="E1651" t="s">
        <v>21</v>
      </c>
      <c r="F1651" t="s">
        <v>30</v>
      </c>
      <c r="G1651" t="s">
        <v>32</v>
      </c>
      <c r="H1651" t="s">
        <v>35</v>
      </c>
      <c r="I1651" t="s">
        <v>44</v>
      </c>
      <c r="J1651" s="7">
        <v>139.02000000000001</v>
      </c>
      <c r="K1651" s="8">
        <v>1</v>
      </c>
      <c r="L1651" s="7">
        <v>-28.44</v>
      </c>
    </row>
    <row r="1652" spans="1:12" x14ac:dyDescent="0.2">
      <c r="A1652" s="2">
        <v>42768</v>
      </c>
      <c r="B1652" s="8">
        <f>YEAR(Sales_data[[#This Row],[Order Date]])</f>
        <v>2017</v>
      </c>
      <c r="C1652" s="8">
        <f>MONTH(Sales_data[[#This Row],[Order Date]])</f>
        <v>2</v>
      </c>
      <c r="D1652" s="8" t="str">
        <f>TEXT(Sales_data[[#This Row],[Order Date]],"mmm")</f>
        <v>Feb</v>
      </c>
      <c r="E1652" t="s">
        <v>9</v>
      </c>
      <c r="F1652" t="s">
        <v>31</v>
      </c>
      <c r="G1652" t="s">
        <v>34</v>
      </c>
      <c r="H1652" t="s">
        <v>43</v>
      </c>
      <c r="I1652" t="s">
        <v>49</v>
      </c>
      <c r="J1652" s="7">
        <v>741.64</v>
      </c>
      <c r="K1652" s="8">
        <v>5</v>
      </c>
      <c r="L1652" s="7">
        <v>331.45</v>
      </c>
    </row>
    <row r="1653" spans="1:12" x14ac:dyDescent="0.2">
      <c r="A1653" s="2">
        <v>42770</v>
      </c>
      <c r="B1653" s="8">
        <f>YEAR(Sales_data[[#This Row],[Order Date]])</f>
        <v>2017</v>
      </c>
      <c r="C1653" s="8">
        <f>MONTH(Sales_data[[#This Row],[Order Date]])</f>
        <v>2</v>
      </c>
      <c r="D1653" s="8" t="str">
        <f>TEXT(Sales_data[[#This Row],[Order Date]],"mmm")</f>
        <v>Feb</v>
      </c>
      <c r="E1653" t="s">
        <v>18</v>
      </c>
      <c r="F1653" t="s">
        <v>28</v>
      </c>
      <c r="G1653" t="s">
        <v>32</v>
      </c>
      <c r="H1653" t="s">
        <v>40</v>
      </c>
      <c r="I1653" t="s">
        <v>44</v>
      </c>
      <c r="J1653" s="7">
        <v>254.59</v>
      </c>
      <c r="K1653" s="8">
        <v>1</v>
      </c>
      <c r="L1653" s="7">
        <v>96.78</v>
      </c>
    </row>
    <row r="1654" spans="1:12" x14ac:dyDescent="0.2">
      <c r="A1654" s="2">
        <v>42770</v>
      </c>
      <c r="B1654" s="8">
        <f>YEAR(Sales_data[[#This Row],[Order Date]])</f>
        <v>2017</v>
      </c>
      <c r="C1654" s="8">
        <f>MONTH(Sales_data[[#This Row],[Order Date]])</f>
        <v>2</v>
      </c>
      <c r="D1654" s="8" t="str">
        <f>TEXT(Sales_data[[#This Row],[Order Date]],"mmm")</f>
        <v>Feb</v>
      </c>
      <c r="E1654" t="s">
        <v>14</v>
      </c>
      <c r="F1654" t="s">
        <v>22</v>
      </c>
      <c r="G1654" t="s">
        <v>32</v>
      </c>
      <c r="H1654" t="s">
        <v>37</v>
      </c>
      <c r="I1654" t="s">
        <v>51</v>
      </c>
      <c r="J1654" s="7">
        <v>323.43</v>
      </c>
      <c r="K1654" s="8">
        <v>1</v>
      </c>
      <c r="L1654" s="7">
        <v>170.69</v>
      </c>
    </row>
    <row r="1655" spans="1:12" x14ac:dyDescent="0.2">
      <c r="A1655" s="2">
        <v>42771</v>
      </c>
      <c r="B1655" s="8">
        <f>YEAR(Sales_data[[#This Row],[Order Date]])</f>
        <v>2017</v>
      </c>
      <c r="C1655" s="8">
        <f>MONTH(Sales_data[[#This Row],[Order Date]])</f>
        <v>2</v>
      </c>
      <c r="D1655" s="8" t="str">
        <f>TEXT(Sales_data[[#This Row],[Order Date]],"mmm")</f>
        <v>Feb</v>
      </c>
      <c r="E1655" t="s">
        <v>11</v>
      </c>
      <c r="F1655" t="s">
        <v>23</v>
      </c>
      <c r="G1655" t="s">
        <v>34</v>
      </c>
      <c r="H1655" t="s">
        <v>36</v>
      </c>
      <c r="I1655" t="s">
        <v>50</v>
      </c>
      <c r="J1655" s="7">
        <v>159.44</v>
      </c>
      <c r="K1655" s="8">
        <v>2</v>
      </c>
      <c r="L1655" s="7">
        <v>231.32</v>
      </c>
    </row>
    <row r="1656" spans="1:12" x14ac:dyDescent="0.2">
      <c r="A1656" s="2">
        <v>42771</v>
      </c>
      <c r="B1656" s="8">
        <f>YEAR(Sales_data[[#This Row],[Order Date]])</f>
        <v>2017</v>
      </c>
      <c r="C1656" s="8">
        <f>MONTH(Sales_data[[#This Row],[Order Date]])</f>
        <v>2</v>
      </c>
      <c r="D1656" s="8" t="str">
        <f>TEXT(Sales_data[[#This Row],[Order Date]],"mmm")</f>
        <v>Feb</v>
      </c>
      <c r="E1656" t="s">
        <v>19</v>
      </c>
      <c r="F1656" t="s">
        <v>26</v>
      </c>
      <c r="G1656" t="s">
        <v>34</v>
      </c>
      <c r="H1656" t="s">
        <v>35</v>
      </c>
      <c r="I1656" t="s">
        <v>53</v>
      </c>
      <c r="J1656" s="7">
        <v>800.48</v>
      </c>
      <c r="K1656" s="8">
        <v>9</v>
      </c>
      <c r="L1656" s="7">
        <v>83.75</v>
      </c>
    </row>
    <row r="1657" spans="1:12" x14ac:dyDescent="0.2">
      <c r="A1657" s="2">
        <v>42772</v>
      </c>
      <c r="B1657" s="8">
        <f>YEAR(Sales_data[[#This Row],[Order Date]])</f>
        <v>2017</v>
      </c>
      <c r="C1657" s="8">
        <f>MONTH(Sales_data[[#This Row],[Order Date]])</f>
        <v>2</v>
      </c>
      <c r="D1657" s="8" t="str">
        <f>TEXT(Sales_data[[#This Row],[Order Date]],"mmm")</f>
        <v>Feb</v>
      </c>
      <c r="E1657" t="s">
        <v>18</v>
      </c>
      <c r="F1657" t="s">
        <v>22</v>
      </c>
      <c r="G1657" t="s">
        <v>33</v>
      </c>
      <c r="H1657" t="s">
        <v>40</v>
      </c>
      <c r="I1657" t="s">
        <v>44</v>
      </c>
      <c r="J1657" s="7">
        <v>740.68</v>
      </c>
      <c r="K1657" s="8">
        <v>7</v>
      </c>
      <c r="L1657" s="7">
        <v>393.9</v>
      </c>
    </row>
    <row r="1658" spans="1:12" x14ac:dyDescent="0.2">
      <c r="A1658" s="2">
        <v>42772</v>
      </c>
      <c r="B1658" s="8">
        <f>YEAR(Sales_data[[#This Row],[Order Date]])</f>
        <v>2017</v>
      </c>
      <c r="C1658" s="8">
        <f>MONTH(Sales_data[[#This Row],[Order Date]])</f>
        <v>2</v>
      </c>
      <c r="D1658" s="8" t="str">
        <f>TEXT(Sales_data[[#This Row],[Order Date]],"mmm")</f>
        <v>Feb</v>
      </c>
      <c r="E1658" t="s">
        <v>21</v>
      </c>
      <c r="F1658" t="s">
        <v>22</v>
      </c>
      <c r="G1658" t="s">
        <v>32</v>
      </c>
      <c r="H1658" t="s">
        <v>37</v>
      </c>
      <c r="I1658" t="s">
        <v>51</v>
      </c>
      <c r="J1658" s="7">
        <v>824.6</v>
      </c>
      <c r="K1658" s="8">
        <v>2</v>
      </c>
      <c r="L1658" s="7">
        <v>-165.06</v>
      </c>
    </row>
    <row r="1659" spans="1:12" x14ac:dyDescent="0.2">
      <c r="A1659" s="2">
        <v>42773</v>
      </c>
      <c r="B1659" s="8">
        <f>YEAR(Sales_data[[#This Row],[Order Date]])</f>
        <v>2017</v>
      </c>
      <c r="C1659" s="8">
        <f>MONTH(Sales_data[[#This Row],[Order Date]])</f>
        <v>2</v>
      </c>
      <c r="D1659" s="8" t="str">
        <f>TEXT(Sales_data[[#This Row],[Order Date]],"mmm")</f>
        <v>Feb</v>
      </c>
      <c r="E1659" t="s">
        <v>21</v>
      </c>
      <c r="F1659" t="s">
        <v>27</v>
      </c>
      <c r="G1659" t="s">
        <v>32</v>
      </c>
      <c r="H1659" t="s">
        <v>37</v>
      </c>
      <c r="I1659" t="s">
        <v>48</v>
      </c>
      <c r="J1659" s="7">
        <v>1611.99</v>
      </c>
      <c r="K1659" s="8">
        <v>9</v>
      </c>
      <c r="L1659" s="7">
        <v>-47.93</v>
      </c>
    </row>
    <row r="1660" spans="1:12" x14ac:dyDescent="0.2">
      <c r="A1660" s="2">
        <v>42774</v>
      </c>
      <c r="B1660" s="8">
        <f>YEAR(Sales_data[[#This Row],[Order Date]])</f>
        <v>2017</v>
      </c>
      <c r="C1660" s="8">
        <f>MONTH(Sales_data[[#This Row],[Order Date]])</f>
        <v>2</v>
      </c>
      <c r="D1660" s="8" t="str">
        <f>TEXT(Sales_data[[#This Row],[Order Date]],"mmm")</f>
        <v>Feb</v>
      </c>
      <c r="E1660" t="s">
        <v>12</v>
      </c>
      <c r="F1660" t="s">
        <v>23</v>
      </c>
      <c r="G1660" t="s">
        <v>32</v>
      </c>
      <c r="H1660" t="s">
        <v>36</v>
      </c>
      <c r="I1660" t="s">
        <v>44</v>
      </c>
      <c r="J1660" s="7">
        <v>783.18</v>
      </c>
      <c r="K1660" s="8">
        <v>8</v>
      </c>
      <c r="L1660" s="7">
        <v>142.21</v>
      </c>
    </row>
    <row r="1661" spans="1:12" x14ac:dyDescent="0.2">
      <c r="A1661" s="2">
        <v>42774</v>
      </c>
      <c r="B1661" s="8">
        <f>YEAR(Sales_data[[#This Row],[Order Date]])</f>
        <v>2017</v>
      </c>
      <c r="C1661" s="8">
        <f>MONTH(Sales_data[[#This Row],[Order Date]])</f>
        <v>2</v>
      </c>
      <c r="D1661" s="8" t="str">
        <f>TEXT(Sales_data[[#This Row],[Order Date]],"mmm")</f>
        <v>Feb</v>
      </c>
      <c r="E1661" t="s">
        <v>16</v>
      </c>
      <c r="F1661" t="s">
        <v>22</v>
      </c>
      <c r="G1661" t="s">
        <v>34</v>
      </c>
      <c r="H1661" t="s">
        <v>42</v>
      </c>
      <c r="I1661" t="s">
        <v>44</v>
      </c>
      <c r="J1661" s="7">
        <v>672.02</v>
      </c>
      <c r="K1661" s="8">
        <v>7</v>
      </c>
      <c r="L1661" s="7">
        <v>346.28</v>
      </c>
    </row>
    <row r="1662" spans="1:12" x14ac:dyDescent="0.2">
      <c r="A1662" s="2">
        <v>42774</v>
      </c>
      <c r="B1662" s="8">
        <f>YEAR(Sales_data[[#This Row],[Order Date]])</f>
        <v>2017</v>
      </c>
      <c r="C1662" s="8">
        <f>MONTH(Sales_data[[#This Row],[Order Date]])</f>
        <v>2</v>
      </c>
      <c r="D1662" s="8" t="str">
        <f>TEXT(Sales_data[[#This Row],[Order Date]],"mmm")</f>
        <v>Feb</v>
      </c>
      <c r="E1662" t="s">
        <v>11</v>
      </c>
      <c r="F1662" t="s">
        <v>24</v>
      </c>
      <c r="G1662" t="s">
        <v>33</v>
      </c>
      <c r="H1662" t="s">
        <v>41</v>
      </c>
      <c r="I1662" t="s">
        <v>48</v>
      </c>
      <c r="J1662" s="7">
        <v>1555.95</v>
      </c>
      <c r="K1662" s="8">
        <v>7</v>
      </c>
      <c r="L1662" s="7">
        <v>136.56</v>
      </c>
    </row>
    <row r="1663" spans="1:12" x14ac:dyDescent="0.2">
      <c r="A1663" s="2">
        <v>42775</v>
      </c>
      <c r="B1663" s="8">
        <f>YEAR(Sales_data[[#This Row],[Order Date]])</f>
        <v>2017</v>
      </c>
      <c r="C1663" s="8">
        <f>MONTH(Sales_data[[#This Row],[Order Date]])</f>
        <v>2</v>
      </c>
      <c r="D1663" s="8" t="str">
        <f>TEXT(Sales_data[[#This Row],[Order Date]],"mmm")</f>
        <v>Feb</v>
      </c>
      <c r="E1663" t="s">
        <v>16</v>
      </c>
      <c r="F1663" t="s">
        <v>22</v>
      </c>
      <c r="G1663" t="s">
        <v>33</v>
      </c>
      <c r="H1663" t="s">
        <v>35</v>
      </c>
      <c r="I1663" t="s">
        <v>49</v>
      </c>
      <c r="J1663" s="7">
        <v>533.86</v>
      </c>
      <c r="K1663" s="8">
        <v>5</v>
      </c>
      <c r="L1663" s="7">
        <v>42.21</v>
      </c>
    </row>
    <row r="1664" spans="1:12" x14ac:dyDescent="0.2">
      <c r="A1664" s="2">
        <v>42775</v>
      </c>
      <c r="B1664" s="8">
        <f>YEAR(Sales_data[[#This Row],[Order Date]])</f>
        <v>2017</v>
      </c>
      <c r="C1664" s="8">
        <f>MONTH(Sales_data[[#This Row],[Order Date]])</f>
        <v>2</v>
      </c>
      <c r="D1664" s="8" t="str">
        <f>TEXT(Sales_data[[#This Row],[Order Date]],"mmm")</f>
        <v>Feb</v>
      </c>
      <c r="E1664" t="s">
        <v>21</v>
      </c>
      <c r="F1664" t="s">
        <v>30</v>
      </c>
      <c r="G1664" t="s">
        <v>33</v>
      </c>
      <c r="H1664" t="s">
        <v>36</v>
      </c>
      <c r="I1664" t="s">
        <v>48</v>
      </c>
      <c r="J1664" s="7">
        <v>1865.96</v>
      </c>
      <c r="K1664" s="8">
        <v>9</v>
      </c>
      <c r="L1664" s="7">
        <v>365.18</v>
      </c>
    </row>
    <row r="1665" spans="1:12" x14ac:dyDescent="0.2">
      <c r="A1665" s="2">
        <v>42775</v>
      </c>
      <c r="B1665" s="8">
        <f>YEAR(Sales_data[[#This Row],[Order Date]])</f>
        <v>2017</v>
      </c>
      <c r="C1665" s="8">
        <f>MONTH(Sales_data[[#This Row],[Order Date]])</f>
        <v>2</v>
      </c>
      <c r="D1665" s="8" t="str">
        <f>TEXT(Sales_data[[#This Row],[Order Date]],"mmm")</f>
        <v>Feb</v>
      </c>
      <c r="E1665" t="s">
        <v>13</v>
      </c>
      <c r="F1665" t="s">
        <v>22</v>
      </c>
      <c r="G1665" t="s">
        <v>32</v>
      </c>
      <c r="H1665" t="s">
        <v>42</v>
      </c>
      <c r="I1665" t="s">
        <v>44</v>
      </c>
      <c r="J1665" s="7">
        <v>418.31</v>
      </c>
      <c r="K1665" s="8">
        <v>5</v>
      </c>
      <c r="L1665" s="7">
        <v>211.35</v>
      </c>
    </row>
    <row r="1666" spans="1:12" x14ac:dyDescent="0.2">
      <c r="A1666" s="2">
        <v>42775</v>
      </c>
      <c r="B1666" s="8">
        <f>YEAR(Sales_data[[#This Row],[Order Date]])</f>
        <v>2017</v>
      </c>
      <c r="C1666" s="8">
        <f>MONTH(Sales_data[[#This Row],[Order Date]])</f>
        <v>2</v>
      </c>
      <c r="D1666" s="8" t="str">
        <f>TEXT(Sales_data[[#This Row],[Order Date]],"mmm")</f>
        <v>Feb</v>
      </c>
      <c r="E1666" t="s">
        <v>11</v>
      </c>
      <c r="F1666" t="s">
        <v>29</v>
      </c>
      <c r="G1666" t="s">
        <v>34</v>
      </c>
      <c r="H1666" t="s">
        <v>39</v>
      </c>
      <c r="I1666" t="s">
        <v>49</v>
      </c>
      <c r="J1666" s="7">
        <v>869.15</v>
      </c>
      <c r="K1666" s="8">
        <v>8</v>
      </c>
      <c r="L1666" s="7">
        <v>15.17</v>
      </c>
    </row>
    <row r="1667" spans="1:12" x14ac:dyDescent="0.2">
      <c r="A1667" s="2">
        <v>42776</v>
      </c>
      <c r="B1667" s="8">
        <f>YEAR(Sales_data[[#This Row],[Order Date]])</f>
        <v>2017</v>
      </c>
      <c r="C1667" s="8">
        <f>MONTH(Sales_data[[#This Row],[Order Date]])</f>
        <v>2</v>
      </c>
      <c r="D1667" s="8" t="str">
        <f>TEXT(Sales_data[[#This Row],[Order Date]],"mmm")</f>
        <v>Feb</v>
      </c>
      <c r="E1667" t="s">
        <v>19</v>
      </c>
      <c r="F1667" t="s">
        <v>31</v>
      </c>
      <c r="G1667" t="s">
        <v>33</v>
      </c>
      <c r="H1667" t="s">
        <v>42</v>
      </c>
      <c r="I1667" t="s">
        <v>48</v>
      </c>
      <c r="J1667" s="7">
        <v>1987.61</v>
      </c>
      <c r="K1667" s="8">
        <v>1</v>
      </c>
      <c r="L1667" s="7">
        <v>-172.23</v>
      </c>
    </row>
    <row r="1668" spans="1:12" x14ac:dyDescent="0.2">
      <c r="A1668" s="2">
        <v>42779</v>
      </c>
      <c r="B1668" s="8">
        <f>YEAR(Sales_data[[#This Row],[Order Date]])</f>
        <v>2017</v>
      </c>
      <c r="C1668" s="8">
        <f>MONTH(Sales_data[[#This Row],[Order Date]])</f>
        <v>2</v>
      </c>
      <c r="D1668" s="8" t="str">
        <f>TEXT(Sales_data[[#This Row],[Order Date]],"mmm")</f>
        <v>Feb</v>
      </c>
      <c r="E1668" t="s">
        <v>15</v>
      </c>
      <c r="F1668" t="s">
        <v>26</v>
      </c>
      <c r="G1668" t="s">
        <v>34</v>
      </c>
      <c r="H1668" t="s">
        <v>41</v>
      </c>
      <c r="I1668" t="s">
        <v>44</v>
      </c>
      <c r="J1668" s="7">
        <v>1031.31</v>
      </c>
      <c r="K1668" s="8">
        <v>2</v>
      </c>
      <c r="L1668" s="7">
        <v>-25.12</v>
      </c>
    </row>
    <row r="1669" spans="1:12" x14ac:dyDescent="0.2">
      <c r="A1669" s="2">
        <v>42779</v>
      </c>
      <c r="B1669" s="8">
        <f>YEAR(Sales_data[[#This Row],[Order Date]])</f>
        <v>2017</v>
      </c>
      <c r="C1669" s="8">
        <f>MONTH(Sales_data[[#This Row],[Order Date]])</f>
        <v>2</v>
      </c>
      <c r="D1669" s="8" t="str">
        <f>TEXT(Sales_data[[#This Row],[Order Date]],"mmm")</f>
        <v>Feb</v>
      </c>
      <c r="E1669" t="s">
        <v>9</v>
      </c>
      <c r="F1669" t="s">
        <v>29</v>
      </c>
      <c r="G1669" t="s">
        <v>33</v>
      </c>
      <c r="H1669" t="s">
        <v>40</v>
      </c>
      <c r="I1669" t="s">
        <v>45</v>
      </c>
      <c r="J1669" s="7">
        <v>1434.11</v>
      </c>
      <c r="K1669" s="8">
        <v>5</v>
      </c>
      <c r="L1669" s="7">
        <v>8.18</v>
      </c>
    </row>
    <row r="1670" spans="1:12" x14ac:dyDescent="0.2">
      <c r="A1670" s="2">
        <v>42782</v>
      </c>
      <c r="B1670" s="8">
        <f>YEAR(Sales_data[[#This Row],[Order Date]])</f>
        <v>2017</v>
      </c>
      <c r="C1670" s="8">
        <f>MONTH(Sales_data[[#This Row],[Order Date]])</f>
        <v>2</v>
      </c>
      <c r="D1670" s="8" t="str">
        <f>TEXT(Sales_data[[#This Row],[Order Date]],"mmm")</f>
        <v>Feb</v>
      </c>
      <c r="E1670" t="s">
        <v>16</v>
      </c>
      <c r="F1670" t="s">
        <v>31</v>
      </c>
      <c r="G1670" t="s">
        <v>33</v>
      </c>
      <c r="H1670" t="s">
        <v>38</v>
      </c>
      <c r="I1670" t="s">
        <v>46</v>
      </c>
      <c r="J1670" s="7">
        <v>1556.6</v>
      </c>
      <c r="K1670" s="8">
        <v>3</v>
      </c>
      <c r="L1670" s="7">
        <v>36.61</v>
      </c>
    </row>
    <row r="1671" spans="1:12" x14ac:dyDescent="0.2">
      <c r="A1671" s="2">
        <v>42783</v>
      </c>
      <c r="B1671" s="8">
        <f>YEAR(Sales_data[[#This Row],[Order Date]])</f>
        <v>2017</v>
      </c>
      <c r="C1671" s="8">
        <f>MONTH(Sales_data[[#This Row],[Order Date]])</f>
        <v>2</v>
      </c>
      <c r="D1671" s="8" t="str">
        <f>TEXT(Sales_data[[#This Row],[Order Date]],"mmm")</f>
        <v>Feb</v>
      </c>
      <c r="E1671" t="s">
        <v>11</v>
      </c>
      <c r="F1671" t="s">
        <v>29</v>
      </c>
      <c r="G1671" t="s">
        <v>34</v>
      </c>
      <c r="H1671" t="s">
        <v>39</v>
      </c>
      <c r="I1671" t="s">
        <v>53</v>
      </c>
      <c r="J1671" s="7">
        <v>169.17</v>
      </c>
      <c r="K1671" s="8">
        <v>9</v>
      </c>
      <c r="L1671" s="7">
        <v>230.79</v>
      </c>
    </row>
    <row r="1672" spans="1:12" x14ac:dyDescent="0.2">
      <c r="A1672" s="2">
        <v>42783</v>
      </c>
      <c r="B1672" s="8">
        <f>YEAR(Sales_data[[#This Row],[Order Date]])</f>
        <v>2017</v>
      </c>
      <c r="C1672" s="8">
        <f>MONTH(Sales_data[[#This Row],[Order Date]])</f>
        <v>2</v>
      </c>
      <c r="D1672" s="8" t="str">
        <f>TEXT(Sales_data[[#This Row],[Order Date]],"mmm")</f>
        <v>Feb</v>
      </c>
      <c r="E1672" t="s">
        <v>20</v>
      </c>
      <c r="F1672" t="s">
        <v>29</v>
      </c>
      <c r="G1672" t="s">
        <v>33</v>
      </c>
      <c r="H1672" t="s">
        <v>40</v>
      </c>
      <c r="I1672" t="s">
        <v>44</v>
      </c>
      <c r="J1672" s="7">
        <v>1707.5</v>
      </c>
      <c r="K1672" s="8">
        <v>1</v>
      </c>
      <c r="L1672" s="7">
        <v>9.91</v>
      </c>
    </row>
    <row r="1673" spans="1:12" x14ac:dyDescent="0.2">
      <c r="A1673" s="2">
        <v>42788</v>
      </c>
      <c r="B1673" s="8">
        <f>YEAR(Sales_data[[#This Row],[Order Date]])</f>
        <v>2017</v>
      </c>
      <c r="C1673" s="8">
        <f>MONTH(Sales_data[[#This Row],[Order Date]])</f>
        <v>2</v>
      </c>
      <c r="D1673" s="8" t="str">
        <f>TEXT(Sales_data[[#This Row],[Order Date]],"mmm")</f>
        <v>Feb</v>
      </c>
      <c r="E1673" t="s">
        <v>18</v>
      </c>
      <c r="F1673" t="s">
        <v>30</v>
      </c>
      <c r="G1673" t="s">
        <v>32</v>
      </c>
      <c r="H1673" t="s">
        <v>42</v>
      </c>
      <c r="I1673" t="s">
        <v>51</v>
      </c>
      <c r="J1673" s="7">
        <v>176.91</v>
      </c>
      <c r="K1673" s="8">
        <v>4</v>
      </c>
      <c r="L1673" s="7">
        <v>305.18</v>
      </c>
    </row>
    <row r="1674" spans="1:12" x14ac:dyDescent="0.2">
      <c r="A1674" s="2">
        <v>42788</v>
      </c>
      <c r="B1674" s="8">
        <f>YEAR(Sales_data[[#This Row],[Order Date]])</f>
        <v>2017</v>
      </c>
      <c r="C1674" s="8">
        <f>MONTH(Sales_data[[#This Row],[Order Date]])</f>
        <v>2</v>
      </c>
      <c r="D1674" s="8" t="str">
        <f>TEXT(Sales_data[[#This Row],[Order Date]],"mmm")</f>
        <v>Feb</v>
      </c>
      <c r="E1674" t="s">
        <v>17</v>
      </c>
      <c r="F1674" t="s">
        <v>24</v>
      </c>
      <c r="G1674" t="s">
        <v>34</v>
      </c>
      <c r="H1674" t="s">
        <v>39</v>
      </c>
      <c r="I1674" t="s">
        <v>46</v>
      </c>
      <c r="J1674" s="7">
        <v>1297.42</v>
      </c>
      <c r="K1674" s="8">
        <v>2</v>
      </c>
      <c r="L1674" s="7">
        <v>123</v>
      </c>
    </row>
    <row r="1675" spans="1:12" x14ac:dyDescent="0.2">
      <c r="A1675" s="2">
        <v>42788</v>
      </c>
      <c r="B1675" s="8">
        <f>YEAR(Sales_data[[#This Row],[Order Date]])</f>
        <v>2017</v>
      </c>
      <c r="C1675" s="8">
        <f>MONTH(Sales_data[[#This Row],[Order Date]])</f>
        <v>2</v>
      </c>
      <c r="D1675" s="8" t="str">
        <f>TEXT(Sales_data[[#This Row],[Order Date]],"mmm")</f>
        <v>Feb</v>
      </c>
      <c r="E1675" t="s">
        <v>11</v>
      </c>
      <c r="F1675" t="s">
        <v>30</v>
      </c>
      <c r="G1675" t="s">
        <v>32</v>
      </c>
      <c r="H1675" t="s">
        <v>35</v>
      </c>
      <c r="I1675" t="s">
        <v>44</v>
      </c>
      <c r="J1675" s="7">
        <v>1985.25</v>
      </c>
      <c r="K1675" s="8">
        <v>1</v>
      </c>
      <c r="L1675" s="7">
        <v>235.74</v>
      </c>
    </row>
    <row r="1676" spans="1:12" x14ac:dyDescent="0.2">
      <c r="A1676" s="2">
        <v>42789</v>
      </c>
      <c r="B1676" s="8">
        <f>YEAR(Sales_data[[#This Row],[Order Date]])</f>
        <v>2017</v>
      </c>
      <c r="C1676" s="8">
        <f>MONTH(Sales_data[[#This Row],[Order Date]])</f>
        <v>2</v>
      </c>
      <c r="D1676" s="8" t="str">
        <f>TEXT(Sales_data[[#This Row],[Order Date]],"mmm")</f>
        <v>Feb</v>
      </c>
      <c r="E1676" t="s">
        <v>19</v>
      </c>
      <c r="F1676" t="s">
        <v>27</v>
      </c>
      <c r="G1676" t="s">
        <v>34</v>
      </c>
      <c r="H1676" t="s">
        <v>42</v>
      </c>
      <c r="I1676" t="s">
        <v>48</v>
      </c>
      <c r="J1676" s="7">
        <v>1206.04</v>
      </c>
      <c r="K1676" s="8">
        <v>8</v>
      </c>
      <c r="L1676" s="7">
        <v>251.42</v>
      </c>
    </row>
    <row r="1677" spans="1:12" x14ac:dyDescent="0.2">
      <c r="A1677" s="2">
        <v>42790</v>
      </c>
      <c r="B1677" s="8">
        <f>YEAR(Sales_data[[#This Row],[Order Date]])</f>
        <v>2017</v>
      </c>
      <c r="C1677" s="8">
        <f>MONTH(Sales_data[[#This Row],[Order Date]])</f>
        <v>2</v>
      </c>
      <c r="D1677" s="8" t="str">
        <f>TEXT(Sales_data[[#This Row],[Order Date]],"mmm")</f>
        <v>Feb</v>
      </c>
      <c r="E1677" t="s">
        <v>17</v>
      </c>
      <c r="F1677" t="s">
        <v>29</v>
      </c>
      <c r="G1677" t="s">
        <v>32</v>
      </c>
      <c r="H1677" t="s">
        <v>43</v>
      </c>
      <c r="I1677" t="s">
        <v>53</v>
      </c>
      <c r="J1677" s="7">
        <v>532.64</v>
      </c>
      <c r="K1677" s="8">
        <v>2</v>
      </c>
      <c r="L1677" s="7">
        <v>9.2200000000000006</v>
      </c>
    </row>
    <row r="1678" spans="1:12" x14ac:dyDescent="0.2">
      <c r="A1678" s="2">
        <v>42791</v>
      </c>
      <c r="B1678" s="8">
        <f>YEAR(Sales_data[[#This Row],[Order Date]])</f>
        <v>2017</v>
      </c>
      <c r="C1678" s="8">
        <f>MONTH(Sales_data[[#This Row],[Order Date]])</f>
        <v>2</v>
      </c>
      <c r="D1678" s="8" t="str">
        <f>TEXT(Sales_data[[#This Row],[Order Date]],"mmm")</f>
        <v>Feb</v>
      </c>
      <c r="E1678" t="s">
        <v>17</v>
      </c>
      <c r="F1678" t="s">
        <v>23</v>
      </c>
      <c r="G1678" t="s">
        <v>34</v>
      </c>
      <c r="H1678" t="s">
        <v>38</v>
      </c>
      <c r="I1678" t="s">
        <v>51</v>
      </c>
      <c r="J1678" s="7">
        <v>333.68</v>
      </c>
      <c r="K1678" s="8">
        <v>7</v>
      </c>
      <c r="L1678" s="7">
        <v>359.47</v>
      </c>
    </row>
    <row r="1679" spans="1:12" x14ac:dyDescent="0.2">
      <c r="A1679" s="2">
        <v>42791</v>
      </c>
      <c r="B1679" s="8">
        <f>YEAR(Sales_data[[#This Row],[Order Date]])</f>
        <v>2017</v>
      </c>
      <c r="C1679" s="8">
        <f>MONTH(Sales_data[[#This Row],[Order Date]])</f>
        <v>2</v>
      </c>
      <c r="D1679" s="8" t="str">
        <f>TEXT(Sales_data[[#This Row],[Order Date]],"mmm")</f>
        <v>Feb</v>
      </c>
      <c r="E1679" t="s">
        <v>12</v>
      </c>
      <c r="F1679" t="s">
        <v>23</v>
      </c>
      <c r="G1679" t="s">
        <v>33</v>
      </c>
      <c r="H1679" t="s">
        <v>39</v>
      </c>
      <c r="I1679" t="s">
        <v>44</v>
      </c>
      <c r="J1679" s="7">
        <v>1310.67</v>
      </c>
      <c r="K1679" s="8">
        <v>9</v>
      </c>
      <c r="L1679" s="7">
        <v>-27.26</v>
      </c>
    </row>
    <row r="1680" spans="1:12" x14ac:dyDescent="0.2">
      <c r="A1680" s="2">
        <v>42794</v>
      </c>
      <c r="B1680" s="8">
        <f>YEAR(Sales_data[[#This Row],[Order Date]])</f>
        <v>2017</v>
      </c>
      <c r="C1680" s="8">
        <f>MONTH(Sales_data[[#This Row],[Order Date]])</f>
        <v>2</v>
      </c>
      <c r="D1680" s="8" t="str">
        <f>TEXT(Sales_data[[#This Row],[Order Date]],"mmm")</f>
        <v>Feb</v>
      </c>
      <c r="E1680" t="s">
        <v>14</v>
      </c>
      <c r="F1680" t="s">
        <v>28</v>
      </c>
      <c r="G1680" t="s">
        <v>32</v>
      </c>
      <c r="H1680" t="s">
        <v>35</v>
      </c>
      <c r="I1680" t="s">
        <v>44</v>
      </c>
      <c r="J1680" s="7">
        <v>935.42</v>
      </c>
      <c r="K1680" s="8">
        <v>7</v>
      </c>
      <c r="L1680" s="7">
        <v>235.88</v>
      </c>
    </row>
    <row r="1681" spans="1:12" x14ac:dyDescent="0.2">
      <c r="A1681" s="2">
        <v>42795</v>
      </c>
      <c r="B1681" s="8">
        <f>YEAR(Sales_data[[#This Row],[Order Date]])</f>
        <v>2017</v>
      </c>
      <c r="C1681" s="8">
        <f>MONTH(Sales_data[[#This Row],[Order Date]])</f>
        <v>3</v>
      </c>
      <c r="D1681" s="8" t="str">
        <f>TEXT(Sales_data[[#This Row],[Order Date]],"mmm")</f>
        <v>Mar</v>
      </c>
      <c r="E1681" t="s">
        <v>14</v>
      </c>
      <c r="F1681" t="s">
        <v>22</v>
      </c>
      <c r="G1681" t="s">
        <v>33</v>
      </c>
      <c r="H1681" t="s">
        <v>37</v>
      </c>
      <c r="I1681" t="s">
        <v>44</v>
      </c>
      <c r="J1681" s="7">
        <v>255.69</v>
      </c>
      <c r="K1681" s="8">
        <v>3</v>
      </c>
      <c r="L1681" s="7">
        <v>-63.43</v>
      </c>
    </row>
    <row r="1682" spans="1:12" x14ac:dyDescent="0.2">
      <c r="A1682" s="2">
        <v>42795</v>
      </c>
      <c r="B1682" s="8">
        <f>YEAR(Sales_data[[#This Row],[Order Date]])</f>
        <v>2017</v>
      </c>
      <c r="C1682" s="8">
        <f>MONTH(Sales_data[[#This Row],[Order Date]])</f>
        <v>3</v>
      </c>
      <c r="D1682" s="8" t="str">
        <f>TEXT(Sales_data[[#This Row],[Order Date]],"mmm")</f>
        <v>Mar</v>
      </c>
      <c r="E1682" t="s">
        <v>14</v>
      </c>
      <c r="F1682" t="s">
        <v>24</v>
      </c>
      <c r="G1682" t="s">
        <v>33</v>
      </c>
      <c r="H1682" t="s">
        <v>42</v>
      </c>
      <c r="I1682" t="s">
        <v>47</v>
      </c>
      <c r="J1682" s="7">
        <v>1055.25</v>
      </c>
      <c r="K1682" s="8">
        <v>4</v>
      </c>
      <c r="L1682" s="7">
        <v>187.06</v>
      </c>
    </row>
    <row r="1683" spans="1:12" x14ac:dyDescent="0.2">
      <c r="A1683" s="2">
        <v>42796</v>
      </c>
      <c r="B1683" s="8">
        <f>YEAR(Sales_data[[#This Row],[Order Date]])</f>
        <v>2017</v>
      </c>
      <c r="C1683" s="8">
        <f>MONTH(Sales_data[[#This Row],[Order Date]])</f>
        <v>3</v>
      </c>
      <c r="D1683" s="8" t="str">
        <f>TEXT(Sales_data[[#This Row],[Order Date]],"mmm")</f>
        <v>Mar</v>
      </c>
      <c r="E1683" t="s">
        <v>16</v>
      </c>
      <c r="F1683" t="s">
        <v>30</v>
      </c>
      <c r="G1683" t="s">
        <v>34</v>
      </c>
      <c r="H1683" t="s">
        <v>35</v>
      </c>
      <c r="I1683" t="s">
        <v>50</v>
      </c>
      <c r="J1683" s="7">
        <v>540.65</v>
      </c>
      <c r="K1683" s="8">
        <v>4</v>
      </c>
      <c r="L1683" s="7">
        <v>-40.119999999999997</v>
      </c>
    </row>
    <row r="1684" spans="1:12" x14ac:dyDescent="0.2">
      <c r="A1684" s="2">
        <v>42796</v>
      </c>
      <c r="B1684" s="8">
        <f>YEAR(Sales_data[[#This Row],[Order Date]])</f>
        <v>2017</v>
      </c>
      <c r="C1684" s="8">
        <f>MONTH(Sales_data[[#This Row],[Order Date]])</f>
        <v>3</v>
      </c>
      <c r="D1684" s="8" t="str">
        <f>TEXT(Sales_data[[#This Row],[Order Date]],"mmm")</f>
        <v>Mar</v>
      </c>
      <c r="E1684" t="s">
        <v>13</v>
      </c>
      <c r="F1684" t="s">
        <v>24</v>
      </c>
      <c r="G1684" t="s">
        <v>32</v>
      </c>
      <c r="H1684" t="s">
        <v>37</v>
      </c>
      <c r="I1684" t="s">
        <v>44</v>
      </c>
      <c r="J1684" s="7">
        <v>1480.86</v>
      </c>
      <c r="K1684" s="8">
        <v>1</v>
      </c>
      <c r="L1684" s="7">
        <v>-64.83</v>
      </c>
    </row>
    <row r="1685" spans="1:12" x14ac:dyDescent="0.2">
      <c r="A1685" s="2">
        <v>42797</v>
      </c>
      <c r="B1685" s="8">
        <f>YEAR(Sales_data[[#This Row],[Order Date]])</f>
        <v>2017</v>
      </c>
      <c r="C1685" s="8">
        <f>MONTH(Sales_data[[#This Row],[Order Date]])</f>
        <v>3</v>
      </c>
      <c r="D1685" s="8" t="str">
        <f>TEXT(Sales_data[[#This Row],[Order Date]],"mmm")</f>
        <v>Mar</v>
      </c>
      <c r="E1685" t="s">
        <v>12</v>
      </c>
      <c r="F1685" t="s">
        <v>30</v>
      </c>
      <c r="G1685" t="s">
        <v>33</v>
      </c>
      <c r="H1685" t="s">
        <v>42</v>
      </c>
      <c r="I1685" t="s">
        <v>49</v>
      </c>
      <c r="J1685" s="7">
        <v>1693.03</v>
      </c>
      <c r="K1685" s="8">
        <v>6</v>
      </c>
      <c r="L1685" s="7">
        <v>-102.94</v>
      </c>
    </row>
    <row r="1686" spans="1:12" x14ac:dyDescent="0.2">
      <c r="A1686" s="2">
        <v>42798</v>
      </c>
      <c r="B1686" s="8">
        <f>YEAR(Sales_data[[#This Row],[Order Date]])</f>
        <v>2017</v>
      </c>
      <c r="C1686" s="8">
        <f>MONTH(Sales_data[[#This Row],[Order Date]])</f>
        <v>3</v>
      </c>
      <c r="D1686" s="8" t="str">
        <f>TEXT(Sales_data[[#This Row],[Order Date]],"mmm")</f>
        <v>Mar</v>
      </c>
      <c r="E1686" t="s">
        <v>21</v>
      </c>
      <c r="F1686" t="s">
        <v>23</v>
      </c>
      <c r="G1686" t="s">
        <v>34</v>
      </c>
      <c r="H1686" t="s">
        <v>38</v>
      </c>
      <c r="I1686" t="s">
        <v>44</v>
      </c>
      <c r="J1686" s="7">
        <v>1819.52</v>
      </c>
      <c r="K1686" s="8">
        <v>1</v>
      </c>
      <c r="L1686" s="7">
        <v>56.56</v>
      </c>
    </row>
    <row r="1687" spans="1:12" x14ac:dyDescent="0.2">
      <c r="A1687" s="2">
        <v>42798</v>
      </c>
      <c r="B1687" s="8">
        <f>YEAR(Sales_data[[#This Row],[Order Date]])</f>
        <v>2017</v>
      </c>
      <c r="C1687" s="8">
        <f>MONTH(Sales_data[[#This Row],[Order Date]])</f>
        <v>3</v>
      </c>
      <c r="D1687" s="8" t="str">
        <f>TEXT(Sales_data[[#This Row],[Order Date]],"mmm")</f>
        <v>Mar</v>
      </c>
      <c r="E1687" t="s">
        <v>14</v>
      </c>
      <c r="F1687" t="s">
        <v>31</v>
      </c>
      <c r="G1687" t="s">
        <v>32</v>
      </c>
      <c r="H1687" t="s">
        <v>41</v>
      </c>
      <c r="I1687" t="s">
        <v>48</v>
      </c>
      <c r="J1687" s="7">
        <v>627.19000000000005</v>
      </c>
      <c r="K1687" s="8">
        <v>2</v>
      </c>
      <c r="L1687" s="7">
        <v>93.21</v>
      </c>
    </row>
    <row r="1688" spans="1:12" x14ac:dyDescent="0.2">
      <c r="A1688" s="2">
        <v>42798</v>
      </c>
      <c r="B1688" s="8">
        <f>YEAR(Sales_data[[#This Row],[Order Date]])</f>
        <v>2017</v>
      </c>
      <c r="C1688" s="8">
        <f>MONTH(Sales_data[[#This Row],[Order Date]])</f>
        <v>3</v>
      </c>
      <c r="D1688" s="8" t="str">
        <f>TEXT(Sales_data[[#This Row],[Order Date]],"mmm")</f>
        <v>Mar</v>
      </c>
      <c r="E1688" t="s">
        <v>18</v>
      </c>
      <c r="F1688" t="s">
        <v>26</v>
      </c>
      <c r="G1688" t="s">
        <v>33</v>
      </c>
      <c r="H1688" t="s">
        <v>42</v>
      </c>
      <c r="I1688" t="s">
        <v>53</v>
      </c>
      <c r="J1688" s="7">
        <v>569.71</v>
      </c>
      <c r="K1688" s="8">
        <v>2</v>
      </c>
      <c r="L1688" s="7">
        <v>-199.86</v>
      </c>
    </row>
    <row r="1689" spans="1:12" x14ac:dyDescent="0.2">
      <c r="A1689" s="2">
        <v>42799</v>
      </c>
      <c r="B1689" s="8">
        <f>YEAR(Sales_data[[#This Row],[Order Date]])</f>
        <v>2017</v>
      </c>
      <c r="C1689" s="8">
        <f>MONTH(Sales_data[[#This Row],[Order Date]])</f>
        <v>3</v>
      </c>
      <c r="D1689" s="8" t="str">
        <f>TEXT(Sales_data[[#This Row],[Order Date]],"mmm")</f>
        <v>Mar</v>
      </c>
      <c r="E1689" t="s">
        <v>18</v>
      </c>
      <c r="F1689" t="s">
        <v>28</v>
      </c>
      <c r="G1689" t="s">
        <v>33</v>
      </c>
      <c r="H1689" t="s">
        <v>38</v>
      </c>
      <c r="I1689" t="s">
        <v>50</v>
      </c>
      <c r="J1689" s="7">
        <v>1578.36</v>
      </c>
      <c r="K1689" s="8">
        <v>5</v>
      </c>
      <c r="L1689" s="7">
        <v>192.89</v>
      </c>
    </row>
    <row r="1690" spans="1:12" x14ac:dyDescent="0.2">
      <c r="A1690" s="2">
        <v>42799</v>
      </c>
      <c r="B1690" s="8">
        <f>YEAR(Sales_data[[#This Row],[Order Date]])</f>
        <v>2017</v>
      </c>
      <c r="C1690" s="8">
        <f>MONTH(Sales_data[[#This Row],[Order Date]])</f>
        <v>3</v>
      </c>
      <c r="D1690" s="8" t="str">
        <f>TEXT(Sales_data[[#This Row],[Order Date]],"mmm")</f>
        <v>Mar</v>
      </c>
      <c r="E1690" t="s">
        <v>10</v>
      </c>
      <c r="F1690" t="s">
        <v>30</v>
      </c>
      <c r="G1690" t="s">
        <v>32</v>
      </c>
      <c r="H1690" t="s">
        <v>41</v>
      </c>
      <c r="I1690" t="s">
        <v>44</v>
      </c>
      <c r="J1690" s="7">
        <v>842.71</v>
      </c>
      <c r="K1690" s="8">
        <v>8</v>
      </c>
      <c r="L1690" s="7">
        <v>246.78</v>
      </c>
    </row>
    <row r="1691" spans="1:12" x14ac:dyDescent="0.2">
      <c r="A1691" s="2">
        <v>42799</v>
      </c>
      <c r="B1691" s="8">
        <f>YEAR(Sales_data[[#This Row],[Order Date]])</f>
        <v>2017</v>
      </c>
      <c r="C1691" s="8">
        <f>MONTH(Sales_data[[#This Row],[Order Date]])</f>
        <v>3</v>
      </c>
      <c r="D1691" s="8" t="str">
        <f>TEXT(Sales_data[[#This Row],[Order Date]],"mmm")</f>
        <v>Mar</v>
      </c>
      <c r="E1691" t="s">
        <v>13</v>
      </c>
      <c r="F1691" t="s">
        <v>26</v>
      </c>
      <c r="G1691" t="s">
        <v>34</v>
      </c>
      <c r="H1691" t="s">
        <v>43</v>
      </c>
      <c r="I1691" t="s">
        <v>53</v>
      </c>
      <c r="J1691" s="7">
        <v>313.97000000000003</v>
      </c>
      <c r="K1691" s="8">
        <v>4</v>
      </c>
      <c r="L1691" s="7">
        <v>76.569999999999993</v>
      </c>
    </row>
    <row r="1692" spans="1:12" x14ac:dyDescent="0.2">
      <c r="A1692" s="2">
        <v>42801</v>
      </c>
      <c r="B1692" s="8">
        <f>YEAR(Sales_data[[#This Row],[Order Date]])</f>
        <v>2017</v>
      </c>
      <c r="C1692" s="8">
        <f>MONTH(Sales_data[[#This Row],[Order Date]])</f>
        <v>3</v>
      </c>
      <c r="D1692" s="8" t="str">
        <f>TEXT(Sales_data[[#This Row],[Order Date]],"mmm")</f>
        <v>Mar</v>
      </c>
      <c r="E1692" t="s">
        <v>10</v>
      </c>
      <c r="F1692" t="s">
        <v>29</v>
      </c>
      <c r="G1692" t="s">
        <v>34</v>
      </c>
      <c r="H1692" t="s">
        <v>41</v>
      </c>
      <c r="I1692" t="s">
        <v>45</v>
      </c>
      <c r="J1692" s="7">
        <v>427.63</v>
      </c>
      <c r="K1692" s="8">
        <v>4</v>
      </c>
      <c r="L1692" s="7">
        <v>146.38999999999999</v>
      </c>
    </row>
    <row r="1693" spans="1:12" x14ac:dyDescent="0.2">
      <c r="A1693" s="2">
        <v>42802</v>
      </c>
      <c r="B1693" s="8">
        <f>YEAR(Sales_data[[#This Row],[Order Date]])</f>
        <v>2017</v>
      </c>
      <c r="C1693" s="8">
        <f>MONTH(Sales_data[[#This Row],[Order Date]])</f>
        <v>3</v>
      </c>
      <c r="D1693" s="8" t="str">
        <f>TEXT(Sales_data[[#This Row],[Order Date]],"mmm")</f>
        <v>Mar</v>
      </c>
      <c r="E1693" t="s">
        <v>14</v>
      </c>
      <c r="F1693" t="s">
        <v>22</v>
      </c>
      <c r="G1693" t="s">
        <v>33</v>
      </c>
      <c r="H1693" t="s">
        <v>38</v>
      </c>
      <c r="I1693" t="s">
        <v>51</v>
      </c>
      <c r="J1693" s="7">
        <v>1013.72</v>
      </c>
      <c r="K1693" s="8">
        <v>2</v>
      </c>
      <c r="L1693" s="7">
        <v>-110.69</v>
      </c>
    </row>
    <row r="1694" spans="1:12" x14ac:dyDescent="0.2">
      <c r="A1694" s="2">
        <v>42803</v>
      </c>
      <c r="B1694" s="8">
        <f>YEAR(Sales_data[[#This Row],[Order Date]])</f>
        <v>2017</v>
      </c>
      <c r="C1694" s="8">
        <f>MONTH(Sales_data[[#This Row],[Order Date]])</f>
        <v>3</v>
      </c>
      <c r="D1694" s="8" t="str">
        <f>TEXT(Sales_data[[#This Row],[Order Date]],"mmm")</f>
        <v>Mar</v>
      </c>
      <c r="E1694" t="s">
        <v>14</v>
      </c>
      <c r="F1694" t="s">
        <v>22</v>
      </c>
      <c r="G1694" t="s">
        <v>32</v>
      </c>
      <c r="H1694" t="s">
        <v>41</v>
      </c>
      <c r="I1694" t="s">
        <v>48</v>
      </c>
      <c r="J1694" s="7">
        <v>1964.33</v>
      </c>
      <c r="K1694" s="8">
        <v>4</v>
      </c>
      <c r="L1694" s="7">
        <v>292.8</v>
      </c>
    </row>
    <row r="1695" spans="1:12" x14ac:dyDescent="0.2">
      <c r="A1695" s="2">
        <v>42804</v>
      </c>
      <c r="B1695" s="8">
        <f>YEAR(Sales_data[[#This Row],[Order Date]])</f>
        <v>2017</v>
      </c>
      <c r="C1695" s="8">
        <f>MONTH(Sales_data[[#This Row],[Order Date]])</f>
        <v>3</v>
      </c>
      <c r="D1695" s="8" t="str">
        <f>TEXT(Sales_data[[#This Row],[Order Date]],"mmm")</f>
        <v>Mar</v>
      </c>
      <c r="E1695" t="s">
        <v>15</v>
      </c>
      <c r="F1695" t="s">
        <v>26</v>
      </c>
      <c r="G1695" t="s">
        <v>34</v>
      </c>
      <c r="H1695" t="s">
        <v>40</v>
      </c>
      <c r="I1695" t="s">
        <v>51</v>
      </c>
      <c r="J1695" s="7">
        <v>650.94000000000005</v>
      </c>
      <c r="K1695" s="8">
        <v>1</v>
      </c>
      <c r="L1695" s="7">
        <v>-51.59</v>
      </c>
    </row>
    <row r="1696" spans="1:12" x14ac:dyDescent="0.2">
      <c r="A1696" s="2">
        <v>42804</v>
      </c>
      <c r="B1696" s="8">
        <f>YEAR(Sales_data[[#This Row],[Order Date]])</f>
        <v>2017</v>
      </c>
      <c r="C1696" s="8">
        <f>MONTH(Sales_data[[#This Row],[Order Date]])</f>
        <v>3</v>
      </c>
      <c r="D1696" s="8" t="str">
        <f>TEXT(Sales_data[[#This Row],[Order Date]],"mmm")</f>
        <v>Mar</v>
      </c>
      <c r="E1696" t="s">
        <v>18</v>
      </c>
      <c r="F1696" t="s">
        <v>27</v>
      </c>
      <c r="G1696" t="s">
        <v>33</v>
      </c>
      <c r="H1696" t="s">
        <v>38</v>
      </c>
      <c r="I1696" t="s">
        <v>47</v>
      </c>
      <c r="J1696" s="7">
        <v>1920.42</v>
      </c>
      <c r="K1696" s="8">
        <v>4</v>
      </c>
      <c r="L1696" s="7">
        <v>-192.89</v>
      </c>
    </row>
    <row r="1697" spans="1:12" x14ac:dyDescent="0.2">
      <c r="A1697" s="2">
        <v>42804</v>
      </c>
      <c r="B1697" s="8">
        <f>YEAR(Sales_data[[#This Row],[Order Date]])</f>
        <v>2017</v>
      </c>
      <c r="C1697" s="8">
        <f>MONTH(Sales_data[[#This Row],[Order Date]])</f>
        <v>3</v>
      </c>
      <c r="D1697" s="8" t="str">
        <f>TEXT(Sales_data[[#This Row],[Order Date]],"mmm")</f>
        <v>Mar</v>
      </c>
      <c r="E1697" t="s">
        <v>13</v>
      </c>
      <c r="F1697" t="s">
        <v>25</v>
      </c>
      <c r="G1697" t="s">
        <v>33</v>
      </c>
      <c r="H1697" t="s">
        <v>36</v>
      </c>
      <c r="I1697" t="s">
        <v>48</v>
      </c>
      <c r="J1697" s="7">
        <v>940.93</v>
      </c>
      <c r="K1697" s="8">
        <v>4</v>
      </c>
      <c r="L1697" s="7">
        <v>176.07</v>
      </c>
    </row>
    <row r="1698" spans="1:12" x14ac:dyDescent="0.2">
      <c r="A1698" s="2">
        <v>42804</v>
      </c>
      <c r="B1698" s="8">
        <f>YEAR(Sales_data[[#This Row],[Order Date]])</f>
        <v>2017</v>
      </c>
      <c r="C1698" s="8">
        <f>MONTH(Sales_data[[#This Row],[Order Date]])</f>
        <v>3</v>
      </c>
      <c r="D1698" s="8" t="str">
        <f>TEXT(Sales_data[[#This Row],[Order Date]],"mmm")</f>
        <v>Mar</v>
      </c>
      <c r="E1698" t="s">
        <v>9</v>
      </c>
      <c r="F1698" t="s">
        <v>31</v>
      </c>
      <c r="G1698" t="s">
        <v>32</v>
      </c>
      <c r="H1698" t="s">
        <v>39</v>
      </c>
      <c r="I1698" t="s">
        <v>48</v>
      </c>
      <c r="J1698" s="7">
        <v>926.17</v>
      </c>
      <c r="K1698" s="8">
        <v>7</v>
      </c>
      <c r="L1698" s="7">
        <v>182.95</v>
      </c>
    </row>
    <row r="1699" spans="1:12" x14ac:dyDescent="0.2">
      <c r="A1699" s="2">
        <v>42804</v>
      </c>
      <c r="B1699" s="8">
        <f>YEAR(Sales_data[[#This Row],[Order Date]])</f>
        <v>2017</v>
      </c>
      <c r="C1699" s="8">
        <f>MONTH(Sales_data[[#This Row],[Order Date]])</f>
        <v>3</v>
      </c>
      <c r="D1699" s="8" t="str">
        <f>TEXT(Sales_data[[#This Row],[Order Date]],"mmm")</f>
        <v>Mar</v>
      </c>
      <c r="E1699" t="s">
        <v>17</v>
      </c>
      <c r="F1699" t="s">
        <v>31</v>
      </c>
      <c r="G1699" t="s">
        <v>33</v>
      </c>
      <c r="H1699" t="s">
        <v>39</v>
      </c>
      <c r="I1699" t="s">
        <v>51</v>
      </c>
      <c r="J1699" s="7">
        <v>1907.34</v>
      </c>
      <c r="K1699" s="8">
        <v>3</v>
      </c>
      <c r="L1699" s="7">
        <v>283.27999999999997</v>
      </c>
    </row>
    <row r="1700" spans="1:12" x14ac:dyDescent="0.2">
      <c r="A1700" s="2">
        <v>42805</v>
      </c>
      <c r="B1700" s="8">
        <f>YEAR(Sales_data[[#This Row],[Order Date]])</f>
        <v>2017</v>
      </c>
      <c r="C1700" s="8">
        <f>MONTH(Sales_data[[#This Row],[Order Date]])</f>
        <v>3</v>
      </c>
      <c r="D1700" s="8" t="str">
        <f>TEXT(Sales_data[[#This Row],[Order Date]],"mmm")</f>
        <v>Mar</v>
      </c>
      <c r="E1700" t="s">
        <v>15</v>
      </c>
      <c r="F1700" t="s">
        <v>25</v>
      </c>
      <c r="G1700" t="s">
        <v>34</v>
      </c>
      <c r="H1700" t="s">
        <v>38</v>
      </c>
      <c r="I1700" t="s">
        <v>52</v>
      </c>
      <c r="J1700" s="7">
        <v>1564.08</v>
      </c>
      <c r="K1700" s="8">
        <v>8</v>
      </c>
      <c r="L1700" s="7">
        <v>-60.18</v>
      </c>
    </row>
    <row r="1701" spans="1:12" x14ac:dyDescent="0.2">
      <c r="A1701" s="2">
        <v>42806</v>
      </c>
      <c r="B1701" s="8">
        <f>YEAR(Sales_data[[#This Row],[Order Date]])</f>
        <v>2017</v>
      </c>
      <c r="C1701" s="8">
        <f>MONTH(Sales_data[[#This Row],[Order Date]])</f>
        <v>3</v>
      </c>
      <c r="D1701" s="8" t="str">
        <f>TEXT(Sales_data[[#This Row],[Order Date]],"mmm")</f>
        <v>Mar</v>
      </c>
      <c r="E1701" t="s">
        <v>14</v>
      </c>
      <c r="F1701" t="s">
        <v>27</v>
      </c>
      <c r="G1701" t="s">
        <v>34</v>
      </c>
      <c r="H1701" t="s">
        <v>41</v>
      </c>
      <c r="I1701" t="s">
        <v>48</v>
      </c>
      <c r="J1701" s="7">
        <v>160.97999999999999</v>
      </c>
      <c r="K1701" s="8">
        <v>9</v>
      </c>
      <c r="L1701" s="7">
        <v>310.12</v>
      </c>
    </row>
    <row r="1702" spans="1:12" x14ac:dyDescent="0.2">
      <c r="A1702" s="2">
        <v>42806</v>
      </c>
      <c r="B1702" s="8">
        <f>YEAR(Sales_data[[#This Row],[Order Date]])</f>
        <v>2017</v>
      </c>
      <c r="C1702" s="8">
        <f>MONTH(Sales_data[[#This Row],[Order Date]])</f>
        <v>3</v>
      </c>
      <c r="D1702" s="8" t="str">
        <f>TEXT(Sales_data[[#This Row],[Order Date]],"mmm")</f>
        <v>Mar</v>
      </c>
      <c r="E1702" t="s">
        <v>18</v>
      </c>
      <c r="F1702" t="s">
        <v>25</v>
      </c>
      <c r="G1702" t="s">
        <v>32</v>
      </c>
      <c r="H1702" t="s">
        <v>43</v>
      </c>
      <c r="I1702" t="s">
        <v>47</v>
      </c>
      <c r="J1702" s="7">
        <v>1439.74</v>
      </c>
      <c r="K1702" s="8">
        <v>8</v>
      </c>
      <c r="L1702" s="7">
        <v>389.54</v>
      </c>
    </row>
    <row r="1703" spans="1:12" x14ac:dyDescent="0.2">
      <c r="A1703" s="2">
        <v>42806</v>
      </c>
      <c r="B1703" s="8">
        <f>YEAR(Sales_data[[#This Row],[Order Date]])</f>
        <v>2017</v>
      </c>
      <c r="C1703" s="8">
        <f>MONTH(Sales_data[[#This Row],[Order Date]])</f>
        <v>3</v>
      </c>
      <c r="D1703" s="8" t="str">
        <f>TEXT(Sales_data[[#This Row],[Order Date]],"mmm")</f>
        <v>Mar</v>
      </c>
      <c r="E1703" t="s">
        <v>18</v>
      </c>
      <c r="F1703" t="s">
        <v>30</v>
      </c>
      <c r="G1703" t="s">
        <v>33</v>
      </c>
      <c r="H1703" t="s">
        <v>37</v>
      </c>
      <c r="I1703" t="s">
        <v>50</v>
      </c>
      <c r="J1703" s="7">
        <v>1396.62</v>
      </c>
      <c r="K1703" s="8">
        <v>2</v>
      </c>
      <c r="L1703" s="7">
        <v>397.1</v>
      </c>
    </row>
    <row r="1704" spans="1:12" x14ac:dyDescent="0.2">
      <c r="A1704" s="2">
        <v>42808</v>
      </c>
      <c r="B1704" s="8">
        <f>YEAR(Sales_data[[#This Row],[Order Date]])</f>
        <v>2017</v>
      </c>
      <c r="C1704" s="8">
        <f>MONTH(Sales_data[[#This Row],[Order Date]])</f>
        <v>3</v>
      </c>
      <c r="D1704" s="8" t="str">
        <f>TEXT(Sales_data[[#This Row],[Order Date]],"mmm")</f>
        <v>Mar</v>
      </c>
      <c r="E1704" t="s">
        <v>9</v>
      </c>
      <c r="F1704" t="s">
        <v>30</v>
      </c>
      <c r="G1704" t="s">
        <v>32</v>
      </c>
      <c r="H1704" t="s">
        <v>35</v>
      </c>
      <c r="I1704" t="s">
        <v>44</v>
      </c>
      <c r="J1704" s="7">
        <v>350.94</v>
      </c>
      <c r="K1704" s="8">
        <v>8</v>
      </c>
      <c r="L1704" s="7">
        <v>-128.96</v>
      </c>
    </row>
    <row r="1705" spans="1:12" x14ac:dyDescent="0.2">
      <c r="A1705" s="2">
        <v>42809</v>
      </c>
      <c r="B1705" s="8">
        <f>YEAR(Sales_data[[#This Row],[Order Date]])</f>
        <v>2017</v>
      </c>
      <c r="C1705" s="8">
        <f>MONTH(Sales_data[[#This Row],[Order Date]])</f>
        <v>3</v>
      </c>
      <c r="D1705" s="8" t="str">
        <f>TEXT(Sales_data[[#This Row],[Order Date]],"mmm")</f>
        <v>Mar</v>
      </c>
      <c r="E1705" t="s">
        <v>13</v>
      </c>
      <c r="F1705" t="s">
        <v>24</v>
      </c>
      <c r="G1705" t="s">
        <v>33</v>
      </c>
      <c r="H1705" t="s">
        <v>35</v>
      </c>
      <c r="I1705" t="s">
        <v>51</v>
      </c>
      <c r="J1705" s="7">
        <v>168.49</v>
      </c>
      <c r="K1705" s="8">
        <v>5</v>
      </c>
      <c r="L1705" s="7">
        <v>142.08000000000001</v>
      </c>
    </row>
    <row r="1706" spans="1:12" x14ac:dyDescent="0.2">
      <c r="A1706" s="2">
        <v>42809</v>
      </c>
      <c r="B1706" s="8">
        <f>YEAR(Sales_data[[#This Row],[Order Date]])</f>
        <v>2017</v>
      </c>
      <c r="C1706" s="8">
        <f>MONTH(Sales_data[[#This Row],[Order Date]])</f>
        <v>3</v>
      </c>
      <c r="D1706" s="8" t="str">
        <f>TEXT(Sales_data[[#This Row],[Order Date]],"mmm")</f>
        <v>Mar</v>
      </c>
      <c r="E1706" t="s">
        <v>12</v>
      </c>
      <c r="F1706" t="s">
        <v>22</v>
      </c>
      <c r="G1706" t="s">
        <v>32</v>
      </c>
      <c r="H1706" t="s">
        <v>38</v>
      </c>
      <c r="I1706" t="s">
        <v>47</v>
      </c>
      <c r="J1706" s="7">
        <v>1179.51</v>
      </c>
      <c r="K1706" s="8">
        <v>1</v>
      </c>
      <c r="L1706" s="7">
        <v>297.64999999999998</v>
      </c>
    </row>
    <row r="1707" spans="1:12" x14ac:dyDescent="0.2">
      <c r="A1707" s="2">
        <v>42809</v>
      </c>
      <c r="B1707" s="8">
        <f>YEAR(Sales_data[[#This Row],[Order Date]])</f>
        <v>2017</v>
      </c>
      <c r="C1707" s="8">
        <f>MONTH(Sales_data[[#This Row],[Order Date]])</f>
        <v>3</v>
      </c>
      <c r="D1707" s="8" t="str">
        <f>TEXT(Sales_data[[#This Row],[Order Date]],"mmm")</f>
        <v>Mar</v>
      </c>
      <c r="E1707" t="s">
        <v>12</v>
      </c>
      <c r="F1707" t="s">
        <v>29</v>
      </c>
      <c r="G1707" t="s">
        <v>34</v>
      </c>
      <c r="H1707" t="s">
        <v>41</v>
      </c>
      <c r="I1707" t="s">
        <v>51</v>
      </c>
      <c r="J1707" s="7">
        <v>16.21</v>
      </c>
      <c r="K1707" s="8">
        <v>3</v>
      </c>
      <c r="L1707" s="7">
        <v>97.56</v>
      </c>
    </row>
    <row r="1708" spans="1:12" x14ac:dyDescent="0.2">
      <c r="A1708" s="2">
        <v>42810</v>
      </c>
      <c r="B1708" s="8">
        <f>YEAR(Sales_data[[#This Row],[Order Date]])</f>
        <v>2017</v>
      </c>
      <c r="C1708" s="8">
        <f>MONTH(Sales_data[[#This Row],[Order Date]])</f>
        <v>3</v>
      </c>
      <c r="D1708" s="8" t="str">
        <f>TEXT(Sales_data[[#This Row],[Order Date]],"mmm")</f>
        <v>Mar</v>
      </c>
      <c r="E1708" t="s">
        <v>11</v>
      </c>
      <c r="F1708" t="s">
        <v>25</v>
      </c>
      <c r="G1708" t="s">
        <v>33</v>
      </c>
      <c r="H1708" t="s">
        <v>40</v>
      </c>
      <c r="I1708" t="s">
        <v>49</v>
      </c>
      <c r="J1708" s="7">
        <v>1435.17</v>
      </c>
      <c r="K1708" s="8">
        <v>7</v>
      </c>
      <c r="L1708" s="7">
        <v>39.979999999999997</v>
      </c>
    </row>
    <row r="1709" spans="1:12" x14ac:dyDescent="0.2">
      <c r="A1709" s="2">
        <v>42810</v>
      </c>
      <c r="B1709" s="8">
        <f>YEAR(Sales_data[[#This Row],[Order Date]])</f>
        <v>2017</v>
      </c>
      <c r="C1709" s="8">
        <f>MONTH(Sales_data[[#This Row],[Order Date]])</f>
        <v>3</v>
      </c>
      <c r="D1709" s="8" t="str">
        <f>TEXT(Sales_data[[#This Row],[Order Date]],"mmm")</f>
        <v>Mar</v>
      </c>
      <c r="E1709" t="s">
        <v>18</v>
      </c>
      <c r="F1709" t="s">
        <v>24</v>
      </c>
      <c r="G1709" t="s">
        <v>34</v>
      </c>
      <c r="H1709" t="s">
        <v>41</v>
      </c>
      <c r="I1709" t="s">
        <v>46</v>
      </c>
      <c r="J1709" s="7">
        <v>1010.25</v>
      </c>
      <c r="K1709" s="8">
        <v>7</v>
      </c>
      <c r="L1709" s="7">
        <v>204.26</v>
      </c>
    </row>
    <row r="1710" spans="1:12" x14ac:dyDescent="0.2">
      <c r="A1710" s="2">
        <v>42811</v>
      </c>
      <c r="B1710" s="8">
        <f>YEAR(Sales_data[[#This Row],[Order Date]])</f>
        <v>2017</v>
      </c>
      <c r="C1710" s="8">
        <f>MONTH(Sales_data[[#This Row],[Order Date]])</f>
        <v>3</v>
      </c>
      <c r="D1710" s="8" t="str">
        <f>TEXT(Sales_data[[#This Row],[Order Date]],"mmm")</f>
        <v>Mar</v>
      </c>
      <c r="E1710" t="s">
        <v>20</v>
      </c>
      <c r="F1710" t="s">
        <v>27</v>
      </c>
      <c r="G1710" t="s">
        <v>32</v>
      </c>
      <c r="H1710" t="s">
        <v>41</v>
      </c>
      <c r="I1710" t="s">
        <v>53</v>
      </c>
      <c r="J1710" s="7">
        <v>223.65</v>
      </c>
      <c r="K1710" s="8">
        <v>4</v>
      </c>
      <c r="L1710" s="7">
        <v>78.56</v>
      </c>
    </row>
    <row r="1711" spans="1:12" x14ac:dyDescent="0.2">
      <c r="A1711" s="2">
        <v>42811</v>
      </c>
      <c r="B1711" s="8">
        <f>YEAR(Sales_data[[#This Row],[Order Date]])</f>
        <v>2017</v>
      </c>
      <c r="C1711" s="8">
        <f>MONTH(Sales_data[[#This Row],[Order Date]])</f>
        <v>3</v>
      </c>
      <c r="D1711" s="8" t="str">
        <f>TEXT(Sales_data[[#This Row],[Order Date]],"mmm")</f>
        <v>Mar</v>
      </c>
      <c r="E1711" t="s">
        <v>12</v>
      </c>
      <c r="F1711" t="s">
        <v>24</v>
      </c>
      <c r="G1711" t="s">
        <v>34</v>
      </c>
      <c r="H1711" t="s">
        <v>42</v>
      </c>
      <c r="I1711" t="s">
        <v>52</v>
      </c>
      <c r="J1711" s="7">
        <v>302.32</v>
      </c>
      <c r="K1711" s="8">
        <v>5</v>
      </c>
      <c r="L1711" s="7">
        <v>202.56</v>
      </c>
    </row>
    <row r="1712" spans="1:12" x14ac:dyDescent="0.2">
      <c r="A1712" s="2">
        <v>42814</v>
      </c>
      <c r="B1712" s="8">
        <f>YEAR(Sales_data[[#This Row],[Order Date]])</f>
        <v>2017</v>
      </c>
      <c r="C1712" s="8">
        <f>MONTH(Sales_data[[#This Row],[Order Date]])</f>
        <v>3</v>
      </c>
      <c r="D1712" s="8" t="str">
        <f>TEXT(Sales_data[[#This Row],[Order Date]],"mmm")</f>
        <v>Mar</v>
      </c>
      <c r="E1712" t="s">
        <v>14</v>
      </c>
      <c r="F1712" t="s">
        <v>29</v>
      </c>
      <c r="G1712" t="s">
        <v>34</v>
      </c>
      <c r="H1712" t="s">
        <v>39</v>
      </c>
      <c r="I1712" t="s">
        <v>45</v>
      </c>
      <c r="J1712" s="7">
        <v>762.61</v>
      </c>
      <c r="K1712" s="8">
        <v>5</v>
      </c>
      <c r="L1712" s="7">
        <v>383.55</v>
      </c>
    </row>
    <row r="1713" spans="1:12" x14ac:dyDescent="0.2">
      <c r="A1713" s="2">
        <v>42814</v>
      </c>
      <c r="B1713" s="8">
        <f>YEAR(Sales_data[[#This Row],[Order Date]])</f>
        <v>2017</v>
      </c>
      <c r="C1713" s="8">
        <f>MONTH(Sales_data[[#This Row],[Order Date]])</f>
        <v>3</v>
      </c>
      <c r="D1713" s="8" t="str">
        <f>TEXT(Sales_data[[#This Row],[Order Date]],"mmm")</f>
        <v>Mar</v>
      </c>
      <c r="E1713" t="s">
        <v>9</v>
      </c>
      <c r="F1713" t="s">
        <v>29</v>
      </c>
      <c r="G1713" t="s">
        <v>33</v>
      </c>
      <c r="H1713" t="s">
        <v>39</v>
      </c>
      <c r="I1713" t="s">
        <v>44</v>
      </c>
      <c r="J1713" s="7">
        <v>861.4</v>
      </c>
      <c r="K1713" s="8">
        <v>6</v>
      </c>
      <c r="L1713" s="7">
        <v>217.45</v>
      </c>
    </row>
    <row r="1714" spans="1:12" x14ac:dyDescent="0.2">
      <c r="A1714" s="2">
        <v>42815</v>
      </c>
      <c r="B1714" s="8">
        <f>YEAR(Sales_data[[#This Row],[Order Date]])</f>
        <v>2017</v>
      </c>
      <c r="C1714" s="8">
        <f>MONTH(Sales_data[[#This Row],[Order Date]])</f>
        <v>3</v>
      </c>
      <c r="D1714" s="8" t="str">
        <f>TEXT(Sales_data[[#This Row],[Order Date]],"mmm")</f>
        <v>Mar</v>
      </c>
      <c r="E1714" t="s">
        <v>15</v>
      </c>
      <c r="F1714" t="s">
        <v>31</v>
      </c>
      <c r="G1714" t="s">
        <v>32</v>
      </c>
      <c r="H1714" t="s">
        <v>43</v>
      </c>
      <c r="I1714" t="s">
        <v>45</v>
      </c>
      <c r="J1714" s="7">
        <v>1628.23</v>
      </c>
      <c r="K1714" s="8">
        <v>5</v>
      </c>
      <c r="L1714" s="7">
        <v>142.22999999999999</v>
      </c>
    </row>
    <row r="1715" spans="1:12" x14ac:dyDescent="0.2">
      <c r="A1715" s="2">
        <v>42815</v>
      </c>
      <c r="B1715" s="8">
        <f>YEAR(Sales_data[[#This Row],[Order Date]])</f>
        <v>2017</v>
      </c>
      <c r="C1715" s="8">
        <f>MONTH(Sales_data[[#This Row],[Order Date]])</f>
        <v>3</v>
      </c>
      <c r="D1715" s="8" t="str">
        <f>TEXT(Sales_data[[#This Row],[Order Date]],"mmm")</f>
        <v>Mar</v>
      </c>
      <c r="E1715" t="s">
        <v>17</v>
      </c>
      <c r="F1715" t="s">
        <v>31</v>
      </c>
      <c r="G1715" t="s">
        <v>32</v>
      </c>
      <c r="H1715" t="s">
        <v>41</v>
      </c>
      <c r="I1715" t="s">
        <v>47</v>
      </c>
      <c r="J1715" s="7">
        <v>1512.64</v>
      </c>
      <c r="K1715" s="8">
        <v>4</v>
      </c>
      <c r="L1715" s="7">
        <v>187.49</v>
      </c>
    </row>
    <row r="1716" spans="1:12" x14ac:dyDescent="0.2">
      <c r="A1716" s="2">
        <v>42816</v>
      </c>
      <c r="B1716" s="8">
        <f>YEAR(Sales_data[[#This Row],[Order Date]])</f>
        <v>2017</v>
      </c>
      <c r="C1716" s="8">
        <f>MONTH(Sales_data[[#This Row],[Order Date]])</f>
        <v>3</v>
      </c>
      <c r="D1716" s="8" t="str">
        <f>TEXT(Sales_data[[#This Row],[Order Date]],"mmm")</f>
        <v>Mar</v>
      </c>
      <c r="E1716" t="s">
        <v>13</v>
      </c>
      <c r="F1716" t="s">
        <v>30</v>
      </c>
      <c r="G1716" t="s">
        <v>32</v>
      </c>
      <c r="H1716" t="s">
        <v>37</v>
      </c>
      <c r="I1716" t="s">
        <v>52</v>
      </c>
      <c r="J1716" s="7">
        <v>1125.47</v>
      </c>
      <c r="K1716" s="8">
        <v>3</v>
      </c>
      <c r="L1716" s="7">
        <v>-131.46</v>
      </c>
    </row>
    <row r="1717" spans="1:12" x14ac:dyDescent="0.2">
      <c r="A1717" s="2">
        <v>42817</v>
      </c>
      <c r="B1717" s="8">
        <f>YEAR(Sales_data[[#This Row],[Order Date]])</f>
        <v>2017</v>
      </c>
      <c r="C1717" s="8">
        <f>MONTH(Sales_data[[#This Row],[Order Date]])</f>
        <v>3</v>
      </c>
      <c r="D1717" s="8" t="str">
        <f>TEXT(Sales_data[[#This Row],[Order Date]],"mmm")</f>
        <v>Mar</v>
      </c>
      <c r="E1717" t="s">
        <v>20</v>
      </c>
      <c r="F1717" t="s">
        <v>22</v>
      </c>
      <c r="G1717" t="s">
        <v>33</v>
      </c>
      <c r="H1717" t="s">
        <v>43</v>
      </c>
      <c r="I1717" t="s">
        <v>48</v>
      </c>
      <c r="J1717" s="7">
        <v>1720.27</v>
      </c>
      <c r="K1717" s="8">
        <v>6</v>
      </c>
      <c r="L1717" s="7">
        <v>-80.540000000000006</v>
      </c>
    </row>
    <row r="1718" spans="1:12" x14ac:dyDescent="0.2">
      <c r="A1718" s="2">
        <v>42817</v>
      </c>
      <c r="B1718" s="8">
        <f>YEAR(Sales_data[[#This Row],[Order Date]])</f>
        <v>2017</v>
      </c>
      <c r="C1718" s="8">
        <f>MONTH(Sales_data[[#This Row],[Order Date]])</f>
        <v>3</v>
      </c>
      <c r="D1718" s="8" t="str">
        <f>TEXT(Sales_data[[#This Row],[Order Date]],"mmm")</f>
        <v>Mar</v>
      </c>
      <c r="E1718" t="s">
        <v>18</v>
      </c>
      <c r="F1718" t="s">
        <v>29</v>
      </c>
      <c r="G1718" t="s">
        <v>34</v>
      </c>
      <c r="H1718" t="s">
        <v>36</v>
      </c>
      <c r="I1718" t="s">
        <v>47</v>
      </c>
      <c r="J1718" s="7">
        <v>603.1</v>
      </c>
      <c r="K1718" s="8">
        <v>6</v>
      </c>
      <c r="L1718" s="7">
        <v>-133.24</v>
      </c>
    </row>
    <row r="1719" spans="1:12" x14ac:dyDescent="0.2">
      <c r="A1719" s="2">
        <v>42818</v>
      </c>
      <c r="B1719" s="8">
        <f>YEAR(Sales_data[[#This Row],[Order Date]])</f>
        <v>2017</v>
      </c>
      <c r="C1719" s="8">
        <f>MONTH(Sales_data[[#This Row],[Order Date]])</f>
        <v>3</v>
      </c>
      <c r="D1719" s="8" t="str">
        <f>TEXT(Sales_data[[#This Row],[Order Date]],"mmm")</f>
        <v>Mar</v>
      </c>
      <c r="E1719" t="s">
        <v>15</v>
      </c>
      <c r="F1719" t="s">
        <v>23</v>
      </c>
      <c r="G1719" t="s">
        <v>33</v>
      </c>
      <c r="H1719" t="s">
        <v>42</v>
      </c>
      <c r="I1719" t="s">
        <v>44</v>
      </c>
      <c r="J1719" s="7">
        <v>630.44000000000005</v>
      </c>
      <c r="K1719" s="8">
        <v>6</v>
      </c>
      <c r="L1719" s="7">
        <v>-52.91</v>
      </c>
    </row>
    <row r="1720" spans="1:12" x14ac:dyDescent="0.2">
      <c r="A1720" s="2">
        <v>42819</v>
      </c>
      <c r="B1720" s="8">
        <f>YEAR(Sales_data[[#This Row],[Order Date]])</f>
        <v>2017</v>
      </c>
      <c r="C1720" s="8">
        <f>MONTH(Sales_data[[#This Row],[Order Date]])</f>
        <v>3</v>
      </c>
      <c r="D1720" s="8" t="str">
        <f>TEXT(Sales_data[[#This Row],[Order Date]],"mmm")</f>
        <v>Mar</v>
      </c>
      <c r="E1720" t="s">
        <v>17</v>
      </c>
      <c r="F1720" t="s">
        <v>29</v>
      </c>
      <c r="G1720" t="s">
        <v>34</v>
      </c>
      <c r="H1720" t="s">
        <v>36</v>
      </c>
      <c r="I1720" t="s">
        <v>51</v>
      </c>
      <c r="J1720" s="7">
        <v>1890.78</v>
      </c>
      <c r="K1720" s="8">
        <v>5</v>
      </c>
      <c r="L1720" s="7">
        <v>59.49</v>
      </c>
    </row>
    <row r="1721" spans="1:12" x14ac:dyDescent="0.2">
      <c r="A1721" s="2">
        <v>42820</v>
      </c>
      <c r="B1721" s="8">
        <f>YEAR(Sales_data[[#This Row],[Order Date]])</f>
        <v>2017</v>
      </c>
      <c r="C1721" s="8">
        <f>MONTH(Sales_data[[#This Row],[Order Date]])</f>
        <v>3</v>
      </c>
      <c r="D1721" s="8" t="str">
        <f>TEXT(Sales_data[[#This Row],[Order Date]],"mmm")</f>
        <v>Mar</v>
      </c>
      <c r="E1721" t="s">
        <v>15</v>
      </c>
      <c r="F1721" t="s">
        <v>22</v>
      </c>
      <c r="G1721" t="s">
        <v>33</v>
      </c>
      <c r="H1721" t="s">
        <v>43</v>
      </c>
      <c r="I1721" t="s">
        <v>49</v>
      </c>
      <c r="J1721" s="7">
        <v>1120.69</v>
      </c>
      <c r="K1721" s="8">
        <v>4</v>
      </c>
      <c r="L1721" s="7">
        <v>333.85</v>
      </c>
    </row>
    <row r="1722" spans="1:12" x14ac:dyDescent="0.2">
      <c r="A1722" s="2">
        <v>42821</v>
      </c>
      <c r="B1722" s="8">
        <f>YEAR(Sales_data[[#This Row],[Order Date]])</f>
        <v>2017</v>
      </c>
      <c r="C1722" s="8">
        <f>MONTH(Sales_data[[#This Row],[Order Date]])</f>
        <v>3</v>
      </c>
      <c r="D1722" s="8" t="str">
        <f>TEXT(Sales_data[[#This Row],[Order Date]],"mmm")</f>
        <v>Mar</v>
      </c>
      <c r="E1722" t="s">
        <v>15</v>
      </c>
      <c r="F1722" t="s">
        <v>31</v>
      </c>
      <c r="G1722" t="s">
        <v>33</v>
      </c>
      <c r="H1722" t="s">
        <v>43</v>
      </c>
      <c r="I1722" t="s">
        <v>53</v>
      </c>
      <c r="J1722" s="7">
        <v>1357.61</v>
      </c>
      <c r="K1722" s="8">
        <v>8</v>
      </c>
      <c r="L1722" s="7">
        <v>137.29</v>
      </c>
    </row>
    <row r="1723" spans="1:12" x14ac:dyDescent="0.2">
      <c r="A1723" s="2">
        <v>42823</v>
      </c>
      <c r="B1723" s="8">
        <f>YEAR(Sales_data[[#This Row],[Order Date]])</f>
        <v>2017</v>
      </c>
      <c r="C1723" s="8">
        <f>MONTH(Sales_data[[#This Row],[Order Date]])</f>
        <v>3</v>
      </c>
      <c r="D1723" s="8" t="str">
        <f>TEXT(Sales_data[[#This Row],[Order Date]],"mmm")</f>
        <v>Mar</v>
      </c>
      <c r="E1723" t="s">
        <v>17</v>
      </c>
      <c r="F1723" t="s">
        <v>26</v>
      </c>
      <c r="G1723" t="s">
        <v>34</v>
      </c>
      <c r="H1723" t="s">
        <v>39</v>
      </c>
      <c r="I1723" t="s">
        <v>46</v>
      </c>
      <c r="J1723" s="7">
        <v>1825.85</v>
      </c>
      <c r="K1723" s="8">
        <v>4</v>
      </c>
      <c r="L1723" s="7">
        <v>203.66</v>
      </c>
    </row>
    <row r="1724" spans="1:12" x14ac:dyDescent="0.2">
      <c r="A1724" s="2">
        <v>42823</v>
      </c>
      <c r="B1724" s="8">
        <f>YEAR(Sales_data[[#This Row],[Order Date]])</f>
        <v>2017</v>
      </c>
      <c r="C1724" s="8">
        <f>MONTH(Sales_data[[#This Row],[Order Date]])</f>
        <v>3</v>
      </c>
      <c r="D1724" s="8" t="str">
        <f>TEXT(Sales_data[[#This Row],[Order Date]],"mmm")</f>
        <v>Mar</v>
      </c>
      <c r="E1724" t="s">
        <v>14</v>
      </c>
      <c r="F1724" t="s">
        <v>24</v>
      </c>
      <c r="G1724" t="s">
        <v>34</v>
      </c>
      <c r="H1724" t="s">
        <v>37</v>
      </c>
      <c r="I1724" t="s">
        <v>53</v>
      </c>
      <c r="J1724" s="7">
        <v>39.75</v>
      </c>
      <c r="K1724" s="8">
        <v>4</v>
      </c>
      <c r="L1724" s="7">
        <v>15.6</v>
      </c>
    </row>
    <row r="1725" spans="1:12" x14ac:dyDescent="0.2">
      <c r="A1725" s="2">
        <v>42824</v>
      </c>
      <c r="B1725" s="8">
        <f>YEAR(Sales_data[[#This Row],[Order Date]])</f>
        <v>2017</v>
      </c>
      <c r="C1725" s="8">
        <f>MONTH(Sales_data[[#This Row],[Order Date]])</f>
        <v>3</v>
      </c>
      <c r="D1725" s="8" t="str">
        <f>TEXT(Sales_data[[#This Row],[Order Date]],"mmm")</f>
        <v>Mar</v>
      </c>
      <c r="E1725" t="s">
        <v>20</v>
      </c>
      <c r="F1725" t="s">
        <v>31</v>
      </c>
      <c r="G1725" t="s">
        <v>34</v>
      </c>
      <c r="H1725" t="s">
        <v>40</v>
      </c>
      <c r="I1725" t="s">
        <v>47</v>
      </c>
      <c r="J1725" s="7">
        <v>702.46</v>
      </c>
      <c r="K1725" s="8">
        <v>4</v>
      </c>
      <c r="L1725" s="7">
        <v>-42.58</v>
      </c>
    </row>
    <row r="1726" spans="1:12" x14ac:dyDescent="0.2">
      <c r="A1726" s="2">
        <v>42824</v>
      </c>
      <c r="B1726" s="8">
        <f>YEAR(Sales_data[[#This Row],[Order Date]])</f>
        <v>2017</v>
      </c>
      <c r="C1726" s="8">
        <f>MONTH(Sales_data[[#This Row],[Order Date]])</f>
        <v>3</v>
      </c>
      <c r="D1726" s="8" t="str">
        <f>TEXT(Sales_data[[#This Row],[Order Date]],"mmm")</f>
        <v>Mar</v>
      </c>
      <c r="E1726" t="s">
        <v>16</v>
      </c>
      <c r="F1726" t="s">
        <v>30</v>
      </c>
      <c r="G1726" t="s">
        <v>34</v>
      </c>
      <c r="H1726" t="s">
        <v>37</v>
      </c>
      <c r="I1726" t="s">
        <v>51</v>
      </c>
      <c r="J1726" s="7">
        <v>1893.95</v>
      </c>
      <c r="K1726" s="8">
        <v>2</v>
      </c>
      <c r="L1726" s="7">
        <v>291.56</v>
      </c>
    </row>
    <row r="1727" spans="1:12" x14ac:dyDescent="0.2">
      <c r="A1727" s="2">
        <v>42824</v>
      </c>
      <c r="B1727" s="8">
        <f>YEAR(Sales_data[[#This Row],[Order Date]])</f>
        <v>2017</v>
      </c>
      <c r="C1727" s="8">
        <f>MONTH(Sales_data[[#This Row],[Order Date]])</f>
        <v>3</v>
      </c>
      <c r="D1727" s="8" t="str">
        <f>TEXT(Sales_data[[#This Row],[Order Date]],"mmm")</f>
        <v>Mar</v>
      </c>
      <c r="E1727" t="s">
        <v>19</v>
      </c>
      <c r="F1727" t="s">
        <v>31</v>
      </c>
      <c r="G1727" t="s">
        <v>34</v>
      </c>
      <c r="H1727" t="s">
        <v>43</v>
      </c>
      <c r="I1727" t="s">
        <v>49</v>
      </c>
      <c r="J1727" s="7">
        <v>1092.96</v>
      </c>
      <c r="K1727" s="8">
        <v>4</v>
      </c>
      <c r="L1727" s="7">
        <v>-61.09</v>
      </c>
    </row>
    <row r="1728" spans="1:12" x14ac:dyDescent="0.2">
      <c r="A1728" s="2">
        <v>42825</v>
      </c>
      <c r="B1728" s="8">
        <f>YEAR(Sales_data[[#This Row],[Order Date]])</f>
        <v>2017</v>
      </c>
      <c r="C1728" s="8">
        <f>MONTH(Sales_data[[#This Row],[Order Date]])</f>
        <v>3</v>
      </c>
      <c r="D1728" s="8" t="str">
        <f>TEXT(Sales_data[[#This Row],[Order Date]],"mmm")</f>
        <v>Mar</v>
      </c>
      <c r="E1728" t="s">
        <v>17</v>
      </c>
      <c r="F1728" t="s">
        <v>22</v>
      </c>
      <c r="G1728" t="s">
        <v>32</v>
      </c>
      <c r="H1728" t="s">
        <v>38</v>
      </c>
      <c r="I1728" t="s">
        <v>46</v>
      </c>
      <c r="J1728" s="7">
        <v>117.73</v>
      </c>
      <c r="K1728" s="8">
        <v>5</v>
      </c>
      <c r="L1728" s="7">
        <v>-64.95</v>
      </c>
    </row>
    <row r="1729" spans="1:12" x14ac:dyDescent="0.2">
      <c r="A1729" s="2">
        <v>42827</v>
      </c>
      <c r="B1729" s="8">
        <f>YEAR(Sales_data[[#This Row],[Order Date]])</f>
        <v>2017</v>
      </c>
      <c r="C1729" s="8">
        <f>MONTH(Sales_data[[#This Row],[Order Date]])</f>
        <v>4</v>
      </c>
      <c r="D1729" s="8" t="str">
        <f>TEXT(Sales_data[[#This Row],[Order Date]],"mmm")</f>
        <v>Apr</v>
      </c>
      <c r="E1729" t="s">
        <v>11</v>
      </c>
      <c r="F1729" t="s">
        <v>30</v>
      </c>
      <c r="G1729" t="s">
        <v>34</v>
      </c>
      <c r="H1729" t="s">
        <v>41</v>
      </c>
      <c r="I1729" t="s">
        <v>50</v>
      </c>
      <c r="J1729" s="7">
        <v>1593.21</v>
      </c>
      <c r="K1729" s="8">
        <v>4</v>
      </c>
      <c r="L1729" s="7">
        <v>0.79</v>
      </c>
    </row>
    <row r="1730" spans="1:12" x14ac:dyDescent="0.2">
      <c r="A1730" s="2">
        <v>42829</v>
      </c>
      <c r="B1730" s="8">
        <f>YEAR(Sales_data[[#This Row],[Order Date]])</f>
        <v>2017</v>
      </c>
      <c r="C1730" s="8">
        <f>MONTH(Sales_data[[#This Row],[Order Date]])</f>
        <v>4</v>
      </c>
      <c r="D1730" s="8" t="str">
        <f>TEXT(Sales_data[[#This Row],[Order Date]],"mmm")</f>
        <v>Apr</v>
      </c>
      <c r="E1730" t="s">
        <v>21</v>
      </c>
      <c r="F1730" t="s">
        <v>23</v>
      </c>
      <c r="G1730" t="s">
        <v>32</v>
      </c>
      <c r="H1730" t="s">
        <v>41</v>
      </c>
      <c r="I1730" t="s">
        <v>44</v>
      </c>
      <c r="J1730" s="7">
        <v>1007.69</v>
      </c>
      <c r="K1730" s="8">
        <v>8</v>
      </c>
      <c r="L1730" s="7">
        <v>58.86</v>
      </c>
    </row>
    <row r="1731" spans="1:12" x14ac:dyDescent="0.2">
      <c r="A1731" s="2">
        <v>42830</v>
      </c>
      <c r="B1731" s="8">
        <f>YEAR(Sales_data[[#This Row],[Order Date]])</f>
        <v>2017</v>
      </c>
      <c r="C1731" s="8">
        <f>MONTH(Sales_data[[#This Row],[Order Date]])</f>
        <v>4</v>
      </c>
      <c r="D1731" s="8" t="str">
        <f>TEXT(Sales_data[[#This Row],[Order Date]],"mmm")</f>
        <v>Apr</v>
      </c>
      <c r="E1731" t="s">
        <v>9</v>
      </c>
      <c r="F1731" t="s">
        <v>23</v>
      </c>
      <c r="G1731" t="s">
        <v>34</v>
      </c>
      <c r="H1731" t="s">
        <v>40</v>
      </c>
      <c r="I1731" t="s">
        <v>49</v>
      </c>
      <c r="J1731" s="7">
        <v>1272.1400000000001</v>
      </c>
      <c r="K1731" s="8">
        <v>3</v>
      </c>
      <c r="L1731" s="7">
        <v>-12.1</v>
      </c>
    </row>
    <row r="1732" spans="1:12" x14ac:dyDescent="0.2">
      <c r="A1732" s="2">
        <v>42830</v>
      </c>
      <c r="B1732" s="8">
        <f>YEAR(Sales_data[[#This Row],[Order Date]])</f>
        <v>2017</v>
      </c>
      <c r="C1732" s="8">
        <f>MONTH(Sales_data[[#This Row],[Order Date]])</f>
        <v>4</v>
      </c>
      <c r="D1732" s="8" t="str">
        <f>TEXT(Sales_data[[#This Row],[Order Date]],"mmm")</f>
        <v>Apr</v>
      </c>
      <c r="E1732" t="s">
        <v>12</v>
      </c>
      <c r="F1732" t="s">
        <v>27</v>
      </c>
      <c r="G1732" t="s">
        <v>34</v>
      </c>
      <c r="H1732" t="s">
        <v>40</v>
      </c>
      <c r="I1732" t="s">
        <v>49</v>
      </c>
      <c r="J1732" s="7">
        <v>1643.05</v>
      </c>
      <c r="K1732" s="8">
        <v>8</v>
      </c>
      <c r="L1732" s="7">
        <v>129.88</v>
      </c>
    </row>
    <row r="1733" spans="1:12" x14ac:dyDescent="0.2">
      <c r="A1733" s="2">
        <v>42835</v>
      </c>
      <c r="B1733" s="8">
        <f>YEAR(Sales_data[[#This Row],[Order Date]])</f>
        <v>2017</v>
      </c>
      <c r="C1733" s="8">
        <f>MONTH(Sales_data[[#This Row],[Order Date]])</f>
        <v>4</v>
      </c>
      <c r="D1733" s="8" t="str">
        <f>TEXT(Sales_data[[#This Row],[Order Date]],"mmm")</f>
        <v>Apr</v>
      </c>
      <c r="E1733" t="s">
        <v>9</v>
      </c>
      <c r="F1733" t="s">
        <v>22</v>
      </c>
      <c r="G1733" t="s">
        <v>34</v>
      </c>
      <c r="H1733" t="s">
        <v>38</v>
      </c>
      <c r="I1733" t="s">
        <v>51</v>
      </c>
      <c r="J1733" s="7">
        <v>596.35</v>
      </c>
      <c r="K1733" s="8">
        <v>8</v>
      </c>
      <c r="L1733" s="7">
        <v>329.87</v>
      </c>
    </row>
    <row r="1734" spans="1:12" x14ac:dyDescent="0.2">
      <c r="A1734" s="2">
        <v>42836</v>
      </c>
      <c r="B1734" s="8">
        <f>YEAR(Sales_data[[#This Row],[Order Date]])</f>
        <v>2017</v>
      </c>
      <c r="C1734" s="8">
        <f>MONTH(Sales_data[[#This Row],[Order Date]])</f>
        <v>4</v>
      </c>
      <c r="D1734" s="8" t="str">
        <f>TEXT(Sales_data[[#This Row],[Order Date]],"mmm")</f>
        <v>Apr</v>
      </c>
      <c r="E1734" t="s">
        <v>12</v>
      </c>
      <c r="F1734" t="s">
        <v>25</v>
      </c>
      <c r="G1734" t="s">
        <v>32</v>
      </c>
      <c r="H1734" t="s">
        <v>37</v>
      </c>
      <c r="I1734" t="s">
        <v>50</v>
      </c>
      <c r="J1734" s="7">
        <v>497.13</v>
      </c>
      <c r="K1734" s="8">
        <v>8</v>
      </c>
      <c r="L1734" s="7">
        <v>64.39</v>
      </c>
    </row>
    <row r="1735" spans="1:12" x14ac:dyDescent="0.2">
      <c r="A1735" s="2">
        <v>42839</v>
      </c>
      <c r="B1735" s="8">
        <f>YEAR(Sales_data[[#This Row],[Order Date]])</f>
        <v>2017</v>
      </c>
      <c r="C1735" s="8">
        <f>MONTH(Sales_data[[#This Row],[Order Date]])</f>
        <v>4</v>
      </c>
      <c r="D1735" s="8" t="str">
        <f>TEXT(Sales_data[[#This Row],[Order Date]],"mmm")</f>
        <v>Apr</v>
      </c>
      <c r="E1735" t="s">
        <v>16</v>
      </c>
      <c r="F1735" t="s">
        <v>25</v>
      </c>
      <c r="G1735" t="s">
        <v>32</v>
      </c>
      <c r="H1735" t="s">
        <v>41</v>
      </c>
      <c r="I1735" t="s">
        <v>46</v>
      </c>
      <c r="J1735" s="7">
        <v>417.14</v>
      </c>
      <c r="K1735" s="8">
        <v>8</v>
      </c>
      <c r="L1735" s="7">
        <v>-174.26</v>
      </c>
    </row>
    <row r="1736" spans="1:12" x14ac:dyDescent="0.2">
      <c r="A1736" s="2">
        <v>42843</v>
      </c>
      <c r="B1736" s="8">
        <f>YEAR(Sales_data[[#This Row],[Order Date]])</f>
        <v>2017</v>
      </c>
      <c r="C1736" s="8">
        <f>MONTH(Sales_data[[#This Row],[Order Date]])</f>
        <v>4</v>
      </c>
      <c r="D1736" s="8" t="str">
        <f>TEXT(Sales_data[[#This Row],[Order Date]],"mmm")</f>
        <v>Apr</v>
      </c>
      <c r="E1736" t="s">
        <v>19</v>
      </c>
      <c r="F1736" t="s">
        <v>31</v>
      </c>
      <c r="G1736" t="s">
        <v>32</v>
      </c>
      <c r="H1736" t="s">
        <v>42</v>
      </c>
      <c r="I1736" t="s">
        <v>45</v>
      </c>
      <c r="J1736" s="7">
        <v>1236.29</v>
      </c>
      <c r="K1736" s="8">
        <v>1</v>
      </c>
      <c r="L1736" s="7">
        <v>294.14999999999998</v>
      </c>
    </row>
    <row r="1737" spans="1:12" x14ac:dyDescent="0.2">
      <c r="A1737" s="2">
        <v>42845</v>
      </c>
      <c r="B1737" s="8">
        <f>YEAR(Sales_data[[#This Row],[Order Date]])</f>
        <v>2017</v>
      </c>
      <c r="C1737" s="8">
        <f>MONTH(Sales_data[[#This Row],[Order Date]])</f>
        <v>4</v>
      </c>
      <c r="D1737" s="8" t="str">
        <f>TEXT(Sales_data[[#This Row],[Order Date]],"mmm")</f>
        <v>Apr</v>
      </c>
      <c r="E1737" t="s">
        <v>14</v>
      </c>
      <c r="F1737" t="s">
        <v>25</v>
      </c>
      <c r="G1737" t="s">
        <v>32</v>
      </c>
      <c r="H1737" t="s">
        <v>42</v>
      </c>
      <c r="I1737" t="s">
        <v>48</v>
      </c>
      <c r="J1737" s="7">
        <v>107.83</v>
      </c>
      <c r="K1737" s="8">
        <v>9</v>
      </c>
      <c r="L1737" s="7">
        <v>145.44999999999999</v>
      </c>
    </row>
    <row r="1738" spans="1:12" x14ac:dyDescent="0.2">
      <c r="A1738" s="2">
        <v>42845</v>
      </c>
      <c r="B1738" s="8">
        <f>YEAR(Sales_data[[#This Row],[Order Date]])</f>
        <v>2017</v>
      </c>
      <c r="C1738" s="8">
        <f>MONTH(Sales_data[[#This Row],[Order Date]])</f>
        <v>4</v>
      </c>
      <c r="D1738" s="8" t="str">
        <f>TEXT(Sales_data[[#This Row],[Order Date]],"mmm")</f>
        <v>Apr</v>
      </c>
      <c r="E1738" t="s">
        <v>11</v>
      </c>
      <c r="F1738" t="s">
        <v>26</v>
      </c>
      <c r="G1738" t="s">
        <v>34</v>
      </c>
      <c r="H1738" t="s">
        <v>35</v>
      </c>
      <c r="I1738" t="s">
        <v>44</v>
      </c>
      <c r="J1738" s="7">
        <v>1584.1</v>
      </c>
      <c r="K1738" s="8">
        <v>6</v>
      </c>
      <c r="L1738" s="7">
        <v>360.44</v>
      </c>
    </row>
    <row r="1739" spans="1:12" x14ac:dyDescent="0.2">
      <c r="A1739" s="2">
        <v>42845</v>
      </c>
      <c r="B1739" s="8">
        <f>YEAR(Sales_data[[#This Row],[Order Date]])</f>
        <v>2017</v>
      </c>
      <c r="C1739" s="8">
        <f>MONTH(Sales_data[[#This Row],[Order Date]])</f>
        <v>4</v>
      </c>
      <c r="D1739" s="8" t="str">
        <f>TEXT(Sales_data[[#This Row],[Order Date]],"mmm")</f>
        <v>Apr</v>
      </c>
      <c r="E1739" t="s">
        <v>17</v>
      </c>
      <c r="F1739" t="s">
        <v>28</v>
      </c>
      <c r="G1739" t="s">
        <v>32</v>
      </c>
      <c r="H1739" t="s">
        <v>35</v>
      </c>
      <c r="I1739" t="s">
        <v>47</v>
      </c>
      <c r="J1739" s="7">
        <v>228.16</v>
      </c>
      <c r="K1739" s="8">
        <v>2</v>
      </c>
      <c r="L1739" s="7">
        <v>-140.19999999999999</v>
      </c>
    </row>
    <row r="1740" spans="1:12" x14ac:dyDescent="0.2">
      <c r="A1740" s="2">
        <v>42846</v>
      </c>
      <c r="B1740" s="8">
        <f>YEAR(Sales_data[[#This Row],[Order Date]])</f>
        <v>2017</v>
      </c>
      <c r="C1740" s="8">
        <f>MONTH(Sales_data[[#This Row],[Order Date]])</f>
        <v>4</v>
      </c>
      <c r="D1740" s="8" t="str">
        <f>TEXT(Sales_data[[#This Row],[Order Date]],"mmm")</f>
        <v>Apr</v>
      </c>
      <c r="E1740" t="s">
        <v>15</v>
      </c>
      <c r="F1740" t="s">
        <v>29</v>
      </c>
      <c r="G1740" t="s">
        <v>33</v>
      </c>
      <c r="H1740" t="s">
        <v>37</v>
      </c>
      <c r="I1740" t="s">
        <v>53</v>
      </c>
      <c r="J1740" s="7">
        <v>160.35</v>
      </c>
      <c r="K1740" s="8">
        <v>1</v>
      </c>
      <c r="L1740" s="7">
        <v>12.02</v>
      </c>
    </row>
    <row r="1741" spans="1:12" x14ac:dyDescent="0.2">
      <c r="A1741" s="2">
        <v>42846</v>
      </c>
      <c r="B1741" s="8">
        <f>YEAR(Sales_data[[#This Row],[Order Date]])</f>
        <v>2017</v>
      </c>
      <c r="C1741" s="8">
        <f>MONTH(Sales_data[[#This Row],[Order Date]])</f>
        <v>4</v>
      </c>
      <c r="D1741" s="8" t="str">
        <f>TEXT(Sales_data[[#This Row],[Order Date]],"mmm")</f>
        <v>Apr</v>
      </c>
      <c r="E1741" t="s">
        <v>19</v>
      </c>
      <c r="F1741" t="s">
        <v>31</v>
      </c>
      <c r="G1741" t="s">
        <v>32</v>
      </c>
      <c r="H1741" t="s">
        <v>35</v>
      </c>
      <c r="I1741" t="s">
        <v>44</v>
      </c>
      <c r="J1741" s="7">
        <v>861.46</v>
      </c>
      <c r="K1741" s="8">
        <v>4</v>
      </c>
      <c r="L1741" s="7">
        <v>203.44</v>
      </c>
    </row>
    <row r="1742" spans="1:12" x14ac:dyDescent="0.2">
      <c r="A1742" s="2">
        <v>42846</v>
      </c>
      <c r="B1742" s="8">
        <f>YEAR(Sales_data[[#This Row],[Order Date]])</f>
        <v>2017</v>
      </c>
      <c r="C1742" s="8">
        <f>MONTH(Sales_data[[#This Row],[Order Date]])</f>
        <v>4</v>
      </c>
      <c r="D1742" s="8" t="str">
        <f>TEXT(Sales_data[[#This Row],[Order Date]],"mmm")</f>
        <v>Apr</v>
      </c>
      <c r="E1742" t="s">
        <v>21</v>
      </c>
      <c r="F1742" t="s">
        <v>27</v>
      </c>
      <c r="G1742" t="s">
        <v>32</v>
      </c>
      <c r="H1742" t="s">
        <v>36</v>
      </c>
      <c r="I1742" t="s">
        <v>45</v>
      </c>
      <c r="J1742" s="7">
        <v>1398.62</v>
      </c>
      <c r="K1742" s="8">
        <v>6</v>
      </c>
      <c r="L1742" s="7">
        <v>-176.1</v>
      </c>
    </row>
    <row r="1743" spans="1:12" x14ac:dyDescent="0.2">
      <c r="A1743" s="2">
        <v>42848</v>
      </c>
      <c r="B1743" s="8">
        <f>YEAR(Sales_data[[#This Row],[Order Date]])</f>
        <v>2017</v>
      </c>
      <c r="C1743" s="8">
        <f>MONTH(Sales_data[[#This Row],[Order Date]])</f>
        <v>4</v>
      </c>
      <c r="D1743" s="8" t="str">
        <f>TEXT(Sales_data[[#This Row],[Order Date]],"mmm")</f>
        <v>Apr</v>
      </c>
      <c r="E1743" t="s">
        <v>16</v>
      </c>
      <c r="F1743" t="s">
        <v>24</v>
      </c>
      <c r="G1743" t="s">
        <v>34</v>
      </c>
      <c r="H1743" t="s">
        <v>36</v>
      </c>
      <c r="I1743" t="s">
        <v>46</v>
      </c>
      <c r="J1743" s="7">
        <v>215.05</v>
      </c>
      <c r="K1743" s="8">
        <v>8</v>
      </c>
      <c r="L1743" s="7">
        <v>142.72999999999999</v>
      </c>
    </row>
    <row r="1744" spans="1:12" x14ac:dyDescent="0.2">
      <c r="A1744" s="2">
        <v>42848</v>
      </c>
      <c r="B1744" s="8">
        <f>YEAR(Sales_data[[#This Row],[Order Date]])</f>
        <v>2017</v>
      </c>
      <c r="C1744" s="8">
        <f>MONTH(Sales_data[[#This Row],[Order Date]])</f>
        <v>4</v>
      </c>
      <c r="D1744" s="8" t="str">
        <f>TEXT(Sales_data[[#This Row],[Order Date]],"mmm")</f>
        <v>Apr</v>
      </c>
      <c r="E1744" t="s">
        <v>11</v>
      </c>
      <c r="F1744" t="s">
        <v>23</v>
      </c>
      <c r="G1744" t="s">
        <v>32</v>
      </c>
      <c r="H1744" t="s">
        <v>40</v>
      </c>
      <c r="I1744" t="s">
        <v>52</v>
      </c>
      <c r="J1744" s="7">
        <v>705.45</v>
      </c>
      <c r="K1744" s="8">
        <v>7</v>
      </c>
      <c r="L1744" s="7">
        <v>343.52</v>
      </c>
    </row>
    <row r="1745" spans="1:12" x14ac:dyDescent="0.2">
      <c r="A1745" s="2">
        <v>42849</v>
      </c>
      <c r="B1745" s="8">
        <f>YEAR(Sales_data[[#This Row],[Order Date]])</f>
        <v>2017</v>
      </c>
      <c r="C1745" s="8">
        <f>MONTH(Sales_data[[#This Row],[Order Date]])</f>
        <v>4</v>
      </c>
      <c r="D1745" s="8" t="str">
        <f>TEXT(Sales_data[[#This Row],[Order Date]],"mmm")</f>
        <v>Apr</v>
      </c>
      <c r="E1745" t="s">
        <v>21</v>
      </c>
      <c r="F1745" t="s">
        <v>31</v>
      </c>
      <c r="G1745" t="s">
        <v>33</v>
      </c>
      <c r="H1745" t="s">
        <v>43</v>
      </c>
      <c r="I1745" t="s">
        <v>48</v>
      </c>
      <c r="J1745" s="7">
        <v>1124.8800000000001</v>
      </c>
      <c r="K1745" s="8">
        <v>9</v>
      </c>
      <c r="L1745" s="7">
        <v>-33.93</v>
      </c>
    </row>
    <row r="1746" spans="1:12" x14ac:dyDescent="0.2">
      <c r="A1746" s="2">
        <v>42852</v>
      </c>
      <c r="B1746" s="8">
        <f>YEAR(Sales_data[[#This Row],[Order Date]])</f>
        <v>2017</v>
      </c>
      <c r="C1746" s="8">
        <f>MONTH(Sales_data[[#This Row],[Order Date]])</f>
        <v>4</v>
      </c>
      <c r="D1746" s="8" t="str">
        <f>TEXT(Sales_data[[#This Row],[Order Date]],"mmm")</f>
        <v>Apr</v>
      </c>
      <c r="E1746" t="s">
        <v>17</v>
      </c>
      <c r="F1746" t="s">
        <v>27</v>
      </c>
      <c r="G1746" t="s">
        <v>32</v>
      </c>
      <c r="H1746" t="s">
        <v>39</v>
      </c>
      <c r="I1746" t="s">
        <v>44</v>
      </c>
      <c r="J1746" s="7">
        <v>436.4</v>
      </c>
      <c r="K1746" s="8">
        <v>5</v>
      </c>
      <c r="L1746" s="7">
        <v>324.45</v>
      </c>
    </row>
    <row r="1747" spans="1:12" x14ac:dyDescent="0.2">
      <c r="A1747" s="2">
        <v>42852</v>
      </c>
      <c r="B1747" s="8">
        <f>YEAR(Sales_data[[#This Row],[Order Date]])</f>
        <v>2017</v>
      </c>
      <c r="C1747" s="8">
        <f>MONTH(Sales_data[[#This Row],[Order Date]])</f>
        <v>4</v>
      </c>
      <c r="D1747" s="8" t="str">
        <f>TEXT(Sales_data[[#This Row],[Order Date]],"mmm")</f>
        <v>Apr</v>
      </c>
      <c r="E1747" t="s">
        <v>14</v>
      </c>
      <c r="F1747" t="s">
        <v>26</v>
      </c>
      <c r="G1747" t="s">
        <v>34</v>
      </c>
      <c r="H1747" t="s">
        <v>41</v>
      </c>
      <c r="I1747" t="s">
        <v>47</v>
      </c>
      <c r="J1747" s="7">
        <v>1727.43</v>
      </c>
      <c r="K1747" s="8">
        <v>4</v>
      </c>
      <c r="L1747" s="7">
        <v>394.15</v>
      </c>
    </row>
    <row r="1748" spans="1:12" x14ac:dyDescent="0.2">
      <c r="A1748" s="2">
        <v>42854</v>
      </c>
      <c r="B1748" s="8">
        <f>YEAR(Sales_data[[#This Row],[Order Date]])</f>
        <v>2017</v>
      </c>
      <c r="C1748" s="8">
        <f>MONTH(Sales_data[[#This Row],[Order Date]])</f>
        <v>4</v>
      </c>
      <c r="D1748" s="8" t="str">
        <f>TEXT(Sales_data[[#This Row],[Order Date]],"mmm")</f>
        <v>Apr</v>
      </c>
      <c r="E1748" t="s">
        <v>14</v>
      </c>
      <c r="F1748" t="s">
        <v>29</v>
      </c>
      <c r="G1748" t="s">
        <v>32</v>
      </c>
      <c r="H1748" t="s">
        <v>37</v>
      </c>
      <c r="I1748" t="s">
        <v>48</v>
      </c>
      <c r="J1748" s="7">
        <v>261.48</v>
      </c>
      <c r="K1748" s="8">
        <v>1</v>
      </c>
      <c r="L1748" s="7">
        <v>309.64</v>
      </c>
    </row>
    <row r="1749" spans="1:12" x14ac:dyDescent="0.2">
      <c r="A1749" s="2">
        <v>42854</v>
      </c>
      <c r="B1749" s="8">
        <f>YEAR(Sales_data[[#This Row],[Order Date]])</f>
        <v>2017</v>
      </c>
      <c r="C1749" s="8">
        <f>MONTH(Sales_data[[#This Row],[Order Date]])</f>
        <v>4</v>
      </c>
      <c r="D1749" s="8" t="str">
        <f>TEXT(Sales_data[[#This Row],[Order Date]],"mmm")</f>
        <v>Apr</v>
      </c>
      <c r="E1749" t="s">
        <v>10</v>
      </c>
      <c r="F1749" t="s">
        <v>25</v>
      </c>
      <c r="G1749" t="s">
        <v>34</v>
      </c>
      <c r="H1749" t="s">
        <v>37</v>
      </c>
      <c r="I1749" t="s">
        <v>53</v>
      </c>
      <c r="J1749" s="7">
        <v>1665.25</v>
      </c>
      <c r="K1749" s="8">
        <v>3</v>
      </c>
      <c r="L1749" s="7">
        <v>365.13</v>
      </c>
    </row>
    <row r="1750" spans="1:12" x14ac:dyDescent="0.2">
      <c r="A1750" s="2">
        <v>42854</v>
      </c>
      <c r="B1750" s="8">
        <f>YEAR(Sales_data[[#This Row],[Order Date]])</f>
        <v>2017</v>
      </c>
      <c r="C1750" s="8">
        <f>MONTH(Sales_data[[#This Row],[Order Date]])</f>
        <v>4</v>
      </c>
      <c r="D1750" s="8" t="str">
        <f>TEXT(Sales_data[[#This Row],[Order Date]],"mmm")</f>
        <v>Apr</v>
      </c>
      <c r="E1750" t="s">
        <v>20</v>
      </c>
      <c r="F1750" t="s">
        <v>29</v>
      </c>
      <c r="G1750" t="s">
        <v>33</v>
      </c>
      <c r="H1750" t="s">
        <v>41</v>
      </c>
      <c r="I1750" t="s">
        <v>47</v>
      </c>
      <c r="J1750" s="7">
        <v>887.99</v>
      </c>
      <c r="K1750" s="8">
        <v>7</v>
      </c>
      <c r="L1750" s="7">
        <v>-123.19</v>
      </c>
    </row>
    <row r="1751" spans="1:12" x14ac:dyDescent="0.2">
      <c r="A1751" s="2">
        <v>42854</v>
      </c>
      <c r="B1751" s="8">
        <f>YEAR(Sales_data[[#This Row],[Order Date]])</f>
        <v>2017</v>
      </c>
      <c r="C1751" s="8">
        <f>MONTH(Sales_data[[#This Row],[Order Date]])</f>
        <v>4</v>
      </c>
      <c r="D1751" s="8" t="str">
        <f>TEXT(Sales_data[[#This Row],[Order Date]],"mmm")</f>
        <v>Apr</v>
      </c>
      <c r="E1751" t="s">
        <v>19</v>
      </c>
      <c r="F1751" t="s">
        <v>31</v>
      </c>
      <c r="G1751" t="s">
        <v>33</v>
      </c>
      <c r="H1751" t="s">
        <v>37</v>
      </c>
      <c r="I1751" t="s">
        <v>48</v>
      </c>
      <c r="J1751" s="7">
        <v>1224.68</v>
      </c>
      <c r="K1751" s="8">
        <v>6</v>
      </c>
      <c r="L1751" s="7">
        <v>274.10000000000002</v>
      </c>
    </row>
    <row r="1752" spans="1:12" x14ac:dyDescent="0.2">
      <c r="A1752" s="2">
        <v>42856</v>
      </c>
      <c r="B1752" s="8">
        <f>YEAR(Sales_data[[#This Row],[Order Date]])</f>
        <v>2017</v>
      </c>
      <c r="C1752" s="8">
        <f>MONTH(Sales_data[[#This Row],[Order Date]])</f>
        <v>5</v>
      </c>
      <c r="D1752" s="8" t="str">
        <f>TEXT(Sales_data[[#This Row],[Order Date]],"mmm")</f>
        <v>May</v>
      </c>
      <c r="E1752" t="s">
        <v>10</v>
      </c>
      <c r="F1752" t="s">
        <v>28</v>
      </c>
      <c r="G1752" t="s">
        <v>32</v>
      </c>
      <c r="H1752" t="s">
        <v>41</v>
      </c>
      <c r="I1752" t="s">
        <v>49</v>
      </c>
      <c r="J1752" s="7">
        <v>717.69</v>
      </c>
      <c r="K1752" s="8">
        <v>4</v>
      </c>
      <c r="L1752" s="7">
        <v>68.239999999999995</v>
      </c>
    </row>
    <row r="1753" spans="1:12" x14ac:dyDescent="0.2">
      <c r="A1753" s="2">
        <v>42856</v>
      </c>
      <c r="B1753" s="8">
        <f>YEAR(Sales_data[[#This Row],[Order Date]])</f>
        <v>2017</v>
      </c>
      <c r="C1753" s="8">
        <f>MONTH(Sales_data[[#This Row],[Order Date]])</f>
        <v>5</v>
      </c>
      <c r="D1753" s="8" t="str">
        <f>TEXT(Sales_data[[#This Row],[Order Date]],"mmm")</f>
        <v>May</v>
      </c>
      <c r="E1753" t="s">
        <v>12</v>
      </c>
      <c r="F1753" t="s">
        <v>31</v>
      </c>
      <c r="G1753" t="s">
        <v>33</v>
      </c>
      <c r="H1753" t="s">
        <v>41</v>
      </c>
      <c r="I1753" t="s">
        <v>48</v>
      </c>
      <c r="J1753" s="7">
        <v>515.89</v>
      </c>
      <c r="K1753" s="8">
        <v>9</v>
      </c>
      <c r="L1753" s="7">
        <v>112.5</v>
      </c>
    </row>
    <row r="1754" spans="1:12" x14ac:dyDescent="0.2">
      <c r="A1754" s="2">
        <v>42859</v>
      </c>
      <c r="B1754" s="8">
        <f>YEAR(Sales_data[[#This Row],[Order Date]])</f>
        <v>2017</v>
      </c>
      <c r="C1754" s="8">
        <f>MONTH(Sales_data[[#This Row],[Order Date]])</f>
        <v>5</v>
      </c>
      <c r="D1754" s="8" t="str">
        <f>TEXT(Sales_data[[#This Row],[Order Date]],"mmm")</f>
        <v>May</v>
      </c>
      <c r="E1754" t="s">
        <v>9</v>
      </c>
      <c r="F1754" t="s">
        <v>26</v>
      </c>
      <c r="G1754" t="s">
        <v>34</v>
      </c>
      <c r="H1754" t="s">
        <v>39</v>
      </c>
      <c r="I1754" t="s">
        <v>46</v>
      </c>
      <c r="J1754" s="7">
        <v>1767.87</v>
      </c>
      <c r="K1754" s="8">
        <v>9</v>
      </c>
      <c r="L1754" s="7">
        <v>32.79</v>
      </c>
    </row>
    <row r="1755" spans="1:12" x14ac:dyDescent="0.2">
      <c r="A1755" s="2">
        <v>42860</v>
      </c>
      <c r="B1755" s="8">
        <f>YEAR(Sales_data[[#This Row],[Order Date]])</f>
        <v>2017</v>
      </c>
      <c r="C1755" s="8">
        <f>MONTH(Sales_data[[#This Row],[Order Date]])</f>
        <v>5</v>
      </c>
      <c r="D1755" s="8" t="str">
        <f>TEXT(Sales_data[[#This Row],[Order Date]],"mmm")</f>
        <v>May</v>
      </c>
      <c r="E1755" t="s">
        <v>13</v>
      </c>
      <c r="F1755" t="s">
        <v>30</v>
      </c>
      <c r="G1755" t="s">
        <v>33</v>
      </c>
      <c r="H1755" t="s">
        <v>36</v>
      </c>
      <c r="I1755" t="s">
        <v>53</v>
      </c>
      <c r="J1755" s="7">
        <v>1798.29</v>
      </c>
      <c r="K1755" s="8">
        <v>1</v>
      </c>
      <c r="L1755" s="7">
        <v>297.10000000000002</v>
      </c>
    </row>
    <row r="1756" spans="1:12" x14ac:dyDescent="0.2">
      <c r="A1756" s="2">
        <v>42861</v>
      </c>
      <c r="B1756" s="8">
        <f>YEAR(Sales_data[[#This Row],[Order Date]])</f>
        <v>2017</v>
      </c>
      <c r="C1756" s="8">
        <f>MONTH(Sales_data[[#This Row],[Order Date]])</f>
        <v>5</v>
      </c>
      <c r="D1756" s="8" t="str">
        <f>TEXT(Sales_data[[#This Row],[Order Date]],"mmm")</f>
        <v>May</v>
      </c>
      <c r="E1756" t="s">
        <v>13</v>
      </c>
      <c r="F1756" t="s">
        <v>22</v>
      </c>
      <c r="G1756" t="s">
        <v>32</v>
      </c>
      <c r="H1756" t="s">
        <v>37</v>
      </c>
      <c r="I1756" t="s">
        <v>49</v>
      </c>
      <c r="J1756" s="7">
        <v>1114.27</v>
      </c>
      <c r="K1756" s="8">
        <v>3</v>
      </c>
      <c r="L1756" s="7">
        <v>399.8</v>
      </c>
    </row>
    <row r="1757" spans="1:12" x14ac:dyDescent="0.2">
      <c r="A1757" s="2">
        <v>42862</v>
      </c>
      <c r="B1757" s="8">
        <f>YEAR(Sales_data[[#This Row],[Order Date]])</f>
        <v>2017</v>
      </c>
      <c r="C1757" s="8">
        <f>MONTH(Sales_data[[#This Row],[Order Date]])</f>
        <v>5</v>
      </c>
      <c r="D1757" s="8" t="str">
        <f>TEXT(Sales_data[[#This Row],[Order Date]],"mmm")</f>
        <v>May</v>
      </c>
      <c r="E1757" t="s">
        <v>19</v>
      </c>
      <c r="F1757" t="s">
        <v>27</v>
      </c>
      <c r="G1757" t="s">
        <v>34</v>
      </c>
      <c r="H1757" t="s">
        <v>39</v>
      </c>
      <c r="I1757" t="s">
        <v>49</v>
      </c>
      <c r="J1757" s="7">
        <v>1510.34</v>
      </c>
      <c r="K1757" s="8">
        <v>8</v>
      </c>
      <c r="L1757" s="7">
        <v>-26.71</v>
      </c>
    </row>
    <row r="1758" spans="1:12" x14ac:dyDescent="0.2">
      <c r="A1758" s="2">
        <v>42863</v>
      </c>
      <c r="B1758" s="8">
        <f>YEAR(Sales_data[[#This Row],[Order Date]])</f>
        <v>2017</v>
      </c>
      <c r="C1758" s="8">
        <f>MONTH(Sales_data[[#This Row],[Order Date]])</f>
        <v>5</v>
      </c>
      <c r="D1758" s="8" t="str">
        <f>TEXT(Sales_data[[#This Row],[Order Date]],"mmm")</f>
        <v>May</v>
      </c>
      <c r="E1758" t="s">
        <v>10</v>
      </c>
      <c r="F1758" t="s">
        <v>24</v>
      </c>
      <c r="G1758" t="s">
        <v>34</v>
      </c>
      <c r="H1758" t="s">
        <v>39</v>
      </c>
      <c r="I1758" t="s">
        <v>48</v>
      </c>
      <c r="J1758" s="7">
        <v>577.96</v>
      </c>
      <c r="K1758" s="8">
        <v>8</v>
      </c>
      <c r="L1758" s="7">
        <v>391.89</v>
      </c>
    </row>
    <row r="1759" spans="1:12" x14ac:dyDescent="0.2">
      <c r="A1759" s="2">
        <v>42863</v>
      </c>
      <c r="B1759" s="8">
        <f>YEAR(Sales_data[[#This Row],[Order Date]])</f>
        <v>2017</v>
      </c>
      <c r="C1759" s="8">
        <f>MONTH(Sales_data[[#This Row],[Order Date]])</f>
        <v>5</v>
      </c>
      <c r="D1759" s="8" t="str">
        <f>TEXT(Sales_data[[#This Row],[Order Date]],"mmm")</f>
        <v>May</v>
      </c>
      <c r="E1759" t="s">
        <v>14</v>
      </c>
      <c r="F1759" t="s">
        <v>25</v>
      </c>
      <c r="G1759" t="s">
        <v>33</v>
      </c>
      <c r="H1759" t="s">
        <v>43</v>
      </c>
      <c r="I1759" t="s">
        <v>52</v>
      </c>
      <c r="J1759" s="7">
        <v>46.86</v>
      </c>
      <c r="K1759" s="8">
        <v>1</v>
      </c>
      <c r="L1759" s="7">
        <v>46.41</v>
      </c>
    </row>
    <row r="1760" spans="1:12" x14ac:dyDescent="0.2">
      <c r="A1760" s="2">
        <v>42864</v>
      </c>
      <c r="B1760" s="8">
        <f>YEAR(Sales_data[[#This Row],[Order Date]])</f>
        <v>2017</v>
      </c>
      <c r="C1760" s="8">
        <f>MONTH(Sales_data[[#This Row],[Order Date]])</f>
        <v>5</v>
      </c>
      <c r="D1760" s="8" t="str">
        <f>TEXT(Sales_data[[#This Row],[Order Date]],"mmm")</f>
        <v>May</v>
      </c>
      <c r="E1760" t="s">
        <v>15</v>
      </c>
      <c r="F1760" t="s">
        <v>22</v>
      </c>
      <c r="G1760" t="s">
        <v>32</v>
      </c>
      <c r="H1760" t="s">
        <v>40</v>
      </c>
      <c r="I1760" t="s">
        <v>53</v>
      </c>
      <c r="J1760" s="7">
        <v>1729.23</v>
      </c>
      <c r="K1760" s="8">
        <v>5</v>
      </c>
      <c r="L1760" s="7">
        <v>-170.01</v>
      </c>
    </row>
    <row r="1761" spans="1:12" x14ac:dyDescent="0.2">
      <c r="A1761" s="2">
        <v>42864</v>
      </c>
      <c r="B1761" s="8">
        <f>YEAR(Sales_data[[#This Row],[Order Date]])</f>
        <v>2017</v>
      </c>
      <c r="C1761" s="8">
        <f>MONTH(Sales_data[[#This Row],[Order Date]])</f>
        <v>5</v>
      </c>
      <c r="D1761" s="8" t="str">
        <f>TEXT(Sales_data[[#This Row],[Order Date]],"mmm")</f>
        <v>May</v>
      </c>
      <c r="E1761" t="s">
        <v>21</v>
      </c>
      <c r="F1761" t="s">
        <v>27</v>
      </c>
      <c r="G1761" t="s">
        <v>32</v>
      </c>
      <c r="H1761" t="s">
        <v>35</v>
      </c>
      <c r="I1761" t="s">
        <v>52</v>
      </c>
      <c r="J1761" s="7">
        <v>76.540000000000006</v>
      </c>
      <c r="K1761" s="8">
        <v>1</v>
      </c>
      <c r="L1761" s="7">
        <v>-115.41</v>
      </c>
    </row>
    <row r="1762" spans="1:12" x14ac:dyDescent="0.2">
      <c r="A1762" s="2">
        <v>42865</v>
      </c>
      <c r="B1762" s="8">
        <f>YEAR(Sales_data[[#This Row],[Order Date]])</f>
        <v>2017</v>
      </c>
      <c r="C1762" s="8">
        <f>MONTH(Sales_data[[#This Row],[Order Date]])</f>
        <v>5</v>
      </c>
      <c r="D1762" s="8" t="str">
        <f>TEXT(Sales_data[[#This Row],[Order Date]],"mmm")</f>
        <v>May</v>
      </c>
      <c r="E1762" t="s">
        <v>20</v>
      </c>
      <c r="F1762" t="s">
        <v>31</v>
      </c>
      <c r="G1762" t="s">
        <v>32</v>
      </c>
      <c r="H1762" t="s">
        <v>41</v>
      </c>
      <c r="I1762" t="s">
        <v>50</v>
      </c>
      <c r="J1762" s="7">
        <v>511.62</v>
      </c>
      <c r="K1762" s="8">
        <v>8</v>
      </c>
      <c r="L1762" s="7">
        <v>349.98</v>
      </c>
    </row>
    <row r="1763" spans="1:12" x14ac:dyDescent="0.2">
      <c r="A1763" s="2">
        <v>42867</v>
      </c>
      <c r="B1763" s="8">
        <f>YEAR(Sales_data[[#This Row],[Order Date]])</f>
        <v>2017</v>
      </c>
      <c r="C1763" s="8">
        <f>MONTH(Sales_data[[#This Row],[Order Date]])</f>
        <v>5</v>
      </c>
      <c r="D1763" s="8" t="str">
        <f>TEXT(Sales_data[[#This Row],[Order Date]],"mmm")</f>
        <v>May</v>
      </c>
      <c r="E1763" t="s">
        <v>12</v>
      </c>
      <c r="F1763" t="s">
        <v>22</v>
      </c>
      <c r="G1763" t="s">
        <v>32</v>
      </c>
      <c r="H1763" t="s">
        <v>37</v>
      </c>
      <c r="I1763" t="s">
        <v>52</v>
      </c>
      <c r="J1763" s="7">
        <v>1015.07</v>
      </c>
      <c r="K1763" s="8">
        <v>6</v>
      </c>
      <c r="L1763" s="7">
        <v>388.57</v>
      </c>
    </row>
    <row r="1764" spans="1:12" x14ac:dyDescent="0.2">
      <c r="A1764" s="2">
        <v>42869</v>
      </c>
      <c r="B1764" s="8">
        <f>YEAR(Sales_data[[#This Row],[Order Date]])</f>
        <v>2017</v>
      </c>
      <c r="C1764" s="8">
        <f>MONTH(Sales_data[[#This Row],[Order Date]])</f>
        <v>5</v>
      </c>
      <c r="D1764" s="8" t="str">
        <f>TEXT(Sales_data[[#This Row],[Order Date]],"mmm")</f>
        <v>May</v>
      </c>
      <c r="E1764" t="s">
        <v>19</v>
      </c>
      <c r="F1764" t="s">
        <v>24</v>
      </c>
      <c r="G1764" t="s">
        <v>32</v>
      </c>
      <c r="H1764" t="s">
        <v>38</v>
      </c>
      <c r="I1764" t="s">
        <v>46</v>
      </c>
      <c r="J1764" s="7">
        <v>1392.4</v>
      </c>
      <c r="K1764" s="8">
        <v>4</v>
      </c>
      <c r="L1764" s="7">
        <v>-53.37</v>
      </c>
    </row>
    <row r="1765" spans="1:12" x14ac:dyDescent="0.2">
      <c r="A1765" s="2">
        <v>42869</v>
      </c>
      <c r="B1765" s="8">
        <f>YEAR(Sales_data[[#This Row],[Order Date]])</f>
        <v>2017</v>
      </c>
      <c r="C1765" s="8">
        <f>MONTH(Sales_data[[#This Row],[Order Date]])</f>
        <v>5</v>
      </c>
      <c r="D1765" s="8" t="str">
        <f>TEXT(Sales_data[[#This Row],[Order Date]],"mmm")</f>
        <v>May</v>
      </c>
      <c r="E1765" t="s">
        <v>19</v>
      </c>
      <c r="F1765" t="s">
        <v>31</v>
      </c>
      <c r="G1765" t="s">
        <v>32</v>
      </c>
      <c r="H1765" t="s">
        <v>35</v>
      </c>
      <c r="I1765" t="s">
        <v>44</v>
      </c>
      <c r="J1765" s="7">
        <v>277.70999999999998</v>
      </c>
      <c r="K1765" s="8">
        <v>4</v>
      </c>
      <c r="L1765" s="7">
        <v>196.54</v>
      </c>
    </row>
    <row r="1766" spans="1:12" x14ac:dyDescent="0.2">
      <c r="A1766" s="2">
        <v>42870</v>
      </c>
      <c r="B1766" s="8">
        <f>YEAR(Sales_data[[#This Row],[Order Date]])</f>
        <v>2017</v>
      </c>
      <c r="C1766" s="8">
        <f>MONTH(Sales_data[[#This Row],[Order Date]])</f>
        <v>5</v>
      </c>
      <c r="D1766" s="8" t="str">
        <f>TEXT(Sales_data[[#This Row],[Order Date]],"mmm")</f>
        <v>May</v>
      </c>
      <c r="E1766" t="s">
        <v>13</v>
      </c>
      <c r="F1766" t="s">
        <v>26</v>
      </c>
      <c r="G1766" t="s">
        <v>32</v>
      </c>
      <c r="H1766" t="s">
        <v>39</v>
      </c>
      <c r="I1766" t="s">
        <v>52</v>
      </c>
      <c r="J1766" s="7">
        <v>114.03</v>
      </c>
      <c r="K1766" s="8">
        <v>4</v>
      </c>
      <c r="L1766" s="7">
        <v>-80.959999999999994</v>
      </c>
    </row>
    <row r="1767" spans="1:12" x14ac:dyDescent="0.2">
      <c r="A1767" s="2">
        <v>42870</v>
      </c>
      <c r="B1767" s="8">
        <f>YEAR(Sales_data[[#This Row],[Order Date]])</f>
        <v>2017</v>
      </c>
      <c r="C1767" s="8">
        <f>MONTH(Sales_data[[#This Row],[Order Date]])</f>
        <v>5</v>
      </c>
      <c r="D1767" s="8" t="str">
        <f>TEXT(Sales_data[[#This Row],[Order Date]],"mmm")</f>
        <v>May</v>
      </c>
      <c r="E1767" t="s">
        <v>18</v>
      </c>
      <c r="F1767" t="s">
        <v>26</v>
      </c>
      <c r="G1767" t="s">
        <v>32</v>
      </c>
      <c r="H1767" t="s">
        <v>42</v>
      </c>
      <c r="I1767" t="s">
        <v>48</v>
      </c>
      <c r="J1767" s="7">
        <v>161.41</v>
      </c>
      <c r="K1767" s="8">
        <v>7</v>
      </c>
      <c r="L1767" s="7">
        <v>382.6</v>
      </c>
    </row>
    <row r="1768" spans="1:12" x14ac:dyDescent="0.2">
      <c r="A1768" s="2">
        <v>42870</v>
      </c>
      <c r="B1768" s="8">
        <f>YEAR(Sales_data[[#This Row],[Order Date]])</f>
        <v>2017</v>
      </c>
      <c r="C1768" s="8">
        <f>MONTH(Sales_data[[#This Row],[Order Date]])</f>
        <v>5</v>
      </c>
      <c r="D1768" s="8" t="str">
        <f>TEXT(Sales_data[[#This Row],[Order Date]],"mmm")</f>
        <v>May</v>
      </c>
      <c r="E1768" t="s">
        <v>15</v>
      </c>
      <c r="F1768" t="s">
        <v>28</v>
      </c>
      <c r="G1768" t="s">
        <v>33</v>
      </c>
      <c r="H1768" t="s">
        <v>43</v>
      </c>
      <c r="I1768" t="s">
        <v>48</v>
      </c>
      <c r="J1768" s="7">
        <v>1914.41</v>
      </c>
      <c r="K1768" s="8">
        <v>6</v>
      </c>
      <c r="L1768" s="7">
        <v>-118.43</v>
      </c>
    </row>
    <row r="1769" spans="1:12" x14ac:dyDescent="0.2">
      <c r="A1769" s="2">
        <v>42871</v>
      </c>
      <c r="B1769" s="8">
        <f>YEAR(Sales_data[[#This Row],[Order Date]])</f>
        <v>2017</v>
      </c>
      <c r="C1769" s="8">
        <f>MONTH(Sales_data[[#This Row],[Order Date]])</f>
        <v>5</v>
      </c>
      <c r="D1769" s="8" t="str">
        <f>TEXT(Sales_data[[#This Row],[Order Date]],"mmm")</f>
        <v>May</v>
      </c>
      <c r="E1769" t="s">
        <v>9</v>
      </c>
      <c r="F1769" t="s">
        <v>25</v>
      </c>
      <c r="G1769" t="s">
        <v>33</v>
      </c>
      <c r="H1769" t="s">
        <v>39</v>
      </c>
      <c r="I1769" t="s">
        <v>46</v>
      </c>
      <c r="J1769" s="7">
        <v>1394.33</v>
      </c>
      <c r="K1769" s="8">
        <v>3</v>
      </c>
      <c r="L1769" s="7">
        <v>331.97</v>
      </c>
    </row>
    <row r="1770" spans="1:12" x14ac:dyDescent="0.2">
      <c r="A1770" s="2">
        <v>42871</v>
      </c>
      <c r="B1770" s="8">
        <f>YEAR(Sales_data[[#This Row],[Order Date]])</f>
        <v>2017</v>
      </c>
      <c r="C1770" s="8">
        <f>MONTH(Sales_data[[#This Row],[Order Date]])</f>
        <v>5</v>
      </c>
      <c r="D1770" s="8" t="str">
        <f>TEXT(Sales_data[[#This Row],[Order Date]],"mmm")</f>
        <v>May</v>
      </c>
      <c r="E1770" t="s">
        <v>16</v>
      </c>
      <c r="F1770" t="s">
        <v>22</v>
      </c>
      <c r="G1770" t="s">
        <v>33</v>
      </c>
      <c r="H1770" t="s">
        <v>36</v>
      </c>
      <c r="I1770" t="s">
        <v>46</v>
      </c>
      <c r="J1770" s="7">
        <v>1696.89</v>
      </c>
      <c r="K1770" s="8">
        <v>2</v>
      </c>
      <c r="L1770" s="7">
        <v>44.3</v>
      </c>
    </row>
    <row r="1771" spans="1:12" x14ac:dyDescent="0.2">
      <c r="A1771" s="2">
        <v>42872</v>
      </c>
      <c r="B1771" s="8">
        <f>YEAR(Sales_data[[#This Row],[Order Date]])</f>
        <v>2017</v>
      </c>
      <c r="C1771" s="8">
        <f>MONTH(Sales_data[[#This Row],[Order Date]])</f>
        <v>5</v>
      </c>
      <c r="D1771" s="8" t="str">
        <f>TEXT(Sales_data[[#This Row],[Order Date]],"mmm")</f>
        <v>May</v>
      </c>
      <c r="E1771" t="s">
        <v>12</v>
      </c>
      <c r="F1771" t="s">
        <v>28</v>
      </c>
      <c r="G1771" t="s">
        <v>33</v>
      </c>
      <c r="H1771" t="s">
        <v>41</v>
      </c>
      <c r="I1771" t="s">
        <v>45</v>
      </c>
      <c r="J1771" s="7">
        <v>1027.96</v>
      </c>
      <c r="K1771" s="8">
        <v>2</v>
      </c>
      <c r="L1771" s="7">
        <v>-34.9</v>
      </c>
    </row>
    <row r="1772" spans="1:12" x14ac:dyDescent="0.2">
      <c r="A1772" s="2">
        <v>42872</v>
      </c>
      <c r="B1772" s="8">
        <f>YEAR(Sales_data[[#This Row],[Order Date]])</f>
        <v>2017</v>
      </c>
      <c r="C1772" s="8">
        <f>MONTH(Sales_data[[#This Row],[Order Date]])</f>
        <v>5</v>
      </c>
      <c r="D1772" s="8" t="str">
        <f>TEXT(Sales_data[[#This Row],[Order Date]],"mmm")</f>
        <v>May</v>
      </c>
      <c r="E1772" t="s">
        <v>10</v>
      </c>
      <c r="F1772" t="s">
        <v>29</v>
      </c>
      <c r="G1772" t="s">
        <v>33</v>
      </c>
      <c r="H1772" t="s">
        <v>35</v>
      </c>
      <c r="I1772" t="s">
        <v>53</v>
      </c>
      <c r="J1772" s="7">
        <v>1382.51</v>
      </c>
      <c r="K1772" s="8">
        <v>1</v>
      </c>
      <c r="L1772" s="7">
        <v>-53.18</v>
      </c>
    </row>
    <row r="1773" spans="1:12" x14ac:dyDescent="0.2">
      <c r="A1773" s="2">
        <v>42873</v>
      </c>
      <c r="B1773" s="8">
        <f>YEAR(Sales_data[[#This Row],[Order Date]])</f>
        <v>2017</v>
      </c>
      <c r="C1773" s="8">
        <f>MONTH(Sales_data[[#This Row],[Order Date]])</f>
        <v>5</v>
      </c>
      <c r="D1773" s="8" t="str">
        <f>TEXT(Sales_data[[#This Row],[Order Date]],"mmm")</f>
        <v>May</v>
      </c>
      <c r="E1773" t="s">
        <v>9</v>
      </c>
      <c r="F1773" t="s">
        <v>31</v>
      </c>
      <c r="G1773" t="s">
        <v>33</v>
      </c>
      <c r="H1773" t="s">
        <v>40</v>
      </c>
      <c r="I1773" t="s">
        <v>53</v>
      </c>
      <c r="J1773" s="7">
        <v>1016.43</v>
      </c>
      <c r="K1773" s="8">
        <v>8</v>
      </c>
      <c r="L1773" s="7">
        <v>233.78</v>
      </c>
    </row>
    <row r="1774" spans="1:12" x14ac:dyDescent="0.2">
      <c r="A1774" s="2">
        <v>42873</v>
      </c>
      <c r="B1774" s="8">
        <f>YEAR(Sales_data[[#This Row],[Order Date]])</f>
        <v>2017</v>
      </c>
      <c r="C1774" s="8">
        <f>MONTH(Sales_data[[#This Row],[Order Date]])</f>
        <v>5</v>
      </c>
      <c r="D1774" s="8" t="str">
        <f>TEXT(Sales_data[[#This Row],[Order Date]],"mmm")</f>
        <v>May</v>
      </c>
      <c r="E1774" t="s">
        <v>21</v>
      </c>
      <c r="F1774" t="s">
        <v>29</v>
      </c>
      <c r="G1774" t="s">
        <v>32</v>
      </c>
      <c r="H1774" t="s">
        <v>42</v>
      </c>
      <c r="I1774" t="s">
        <v>52</v>
      </c>
      <c r="J1774" s="7">
        <v>588.58000000000004</v>
      </c>
      <c r="K1774" s="8">
        <v>1</v>
      </c>
      <c r="L1774" s="7">
        <v>4.2</v>
      </c>
    </row>
    <row r="1775" spans="1:12" x14ac:dyDescent="0.2">
      <c r="A1775" s="2">
        <v>42874</v>
      </c>
      <c r="B1775" s="8">
        <f>YEAR(Sales_data[[#This Row],[Order Date]])</f>
        <v>2017</v>
      </c>
      <c r="C1775" s="8">
        <f>MONTH(Sales_data[[#This Row],[Order Date]])</f>
        <v>5</v>
      </c>
      <c r="D1775" s="8" t="str">
        <f>TEXT(Sales_data[[#This Row],[Order Date]],"mmm")</f>
        <v>May</v>
      </c>
      <c r="E1775" t="s">
        <v>19</v>
      </c>
      <c r="F1775" t="s">
        <v>30</v>
      </c>
      <c r="G1775" t="s">
        <v>32</v>
      </c>
      <c r="H1775" t="s">
        <v>36</v>
      </c>
      <c r="I1775" t="s">
        <v>45</v>
      </c>
      <c r="J1775" s="7">
        <v>1725.55</v>
      </c>
      <c r="K1775" s="8">
        <v>6</v>
      </c>
      <c r="L1775" s="7">
        <v>154.24</v>
      </c>
    </row>
    <row r="1776" spans="1:12" x14ac:dyDescent="0.2">
      <c r="A1776" s="2">
        <v>42875</v>
      </c>
      <c r="B1776" s="8">
        <f>YEAR(Sales_data[[#This Row],[Order Date]])</f>
        <v>2017</v>
      </c>
      <c r="C1776" s="8">
        <f>MONTH(Sales_data[[#This Row],[Order Date]])</f>
        <v>5</v>
      </c>
      <c r="D1776" s="8" t="str">
        <f>TEXT(Sales_data[[#This Row],[Order Date]],"mmm")</f>
        <v>May</v>
      </c>
      <c r="E1776" t="s">
        <v>13</v>
      </c>
      <c r="F1776" t="s">
        <v>28</v>
      </c>
      <c r="G1776" t="s">
        <v>34</v>
      </c>
      <c r="H1776" t="s">
        <v>41</v>
      </c>
      <c r="I1776" t="s">
        <v>47</v>
      </c>
      <c r="J1776" s="7">
        <v>682.04</v>
      </c>
      <c r="K1776" s="8">
        <v>6</v>
      </c>
      <c r="L1776" s="7">
        <v>-48.2</v>
      </c>
    </row>
    <row r="1777" spans="1:12" x14ac:dyDescent="0.2">
      <c r="A1777" s="2">
        <v>42878</v>
      </c>
      <c r="B1777" s="8">
        <f>YEAR(Sales_data[[#This Row],[Order Date]])</f>
        <v>2017</v>
      </c>
      <c r="C1777" s="8">
        <f>MONTH(Sales_data[[#This Row],[Order Date]])</f>
        <v>5</v>
      </c>
      <c r="D1777" s="8" t="str">
        <f>TEXT(Sales_data[[#This Row],[Order Date]],"mmm")</f>
        <v>May</v>
      </c>
      <c r="E1777" t="s">
        <v>19</v>
      </c>
      <c r="F1777" t="s">
        <v>22</v>
      </c>
      <c r="G1777" t="s">
        <v>32</v>
      </c>
      <c r="H1777" t="s">
        <v>36</v>
      </c>
      <c r="I1777" t="s">
        <v>53</v>
      </c>
      <c r="J1777" s="7">
        <v>410.33</v>
      </c>
      <c r="K1777" s="8">
        <v>4</v>
      </c>
      <c r="L1777" s="7">
        <v>-71.900000000000006</v>
      </c>
    </row>
    <row r="1778" spans="1:12" x14ac:dyDescent="0.2">
      <c r="A1778" s="2">
        <v>42878</v>
      </c>
      <c r="B1778" s="8">
        <f>YEAR(Sales_data[[#This Row],[Order Date]])</f>
        <v>2017</v>
      </c>
      <c r="C1778" s="8">
        <f>MONTH(Sales_data[[#This Row],[Order Date]])</f>
        <v>5</v>
      </c>
      <c r="D1778" s="8" t="str">
        <f>TEXT(Sales_data[[#This Row],[Order Date]],"mmm")</f>
        <v>May</v>
      </c>
      <c r="E1778" t="s">
        <v>13</v>
      </c>
      <c r="F1778" t="s">
        <v>29</v>
      </c>
      <c r="G1778" t="s">
        <v>33</v>
      </c>
      <c r="H1778" t="s">
        <v>37</v>
      </c>
      <c r="I1778" t="s">
        <v>53</v>
      </c>
      <c r="J1778" s="7">
        <v>1462.1</v>
      </c>
      <c r="K1778" s="8">
        <v>5</v>
      </c>
      <c r="L1778" s="7">
        <v>142.07</v>
      </c>
    </row>
    <row r="1779" spans="1:12" x14ac:dyDescent="0.2">
      <c r="A1779" s="2">
        <v>42879</v>
      </c>
      <c r="B1779" s="8">
        <f>YEAR(Sales_data[[#This Row],[Order Date]])</f>
        <v>2017</v>
      </c>
      <c r="C1779" s="8">
        <f>MONTH(Sales_data[[#This Row],[Order Date]])</f>
        <v>5</v>
      </c>
      <c r="D1779" s="8" t="str">
        <f>TEXT(Sales_data[[#This Row],[Order Date]],"mmm")</f>
        <v>May</v>
      </c>
      <c r="E1779" t="s">
        <v>19</v>
      </c>
      <c r="F1779" t="s">
        <v>29</v>
      </c>
      <c r="G1779" t="s">
        <v>33</v>
      </c>
      <c r="H1779" t="s">
        <v>40</v>
      </c>
      <c r="I1779" t="s">
        <v>52</v>
      </c>
      <c r="J1779" s="7">
        <v>475.72</v>
      </c>
      <c r="K1779" s="8">
        <v>7</v>
      </c>
      <c r="L1779" s="7">
        <v>317.20999999999998</v>
      </c>
    </row>
    <row r="1780" spans="1:12" x14ac:dyDescent="0.2">
      <c r="A1780" s="2">
        <v>42880</v>
      </c>
      <c r="B1780" s="8">
        <f>YEAR(Sales_data[[#This Row],[Order Date]])</f>
        <v>2017</v>
      </c>
      <c r="C1780" s="8">
        <f>MONTH(Sales_data[[#This Row],[Order Date]])</f>
        <v>5</v>
      </c>
      <c r="D1780" s="8" t="str">
        <f>TEXT(Sales_data[[#This Row],[Order Date]],"mmm")</f>
        <v>May</v>
      </c>
      <c r="E1780" t="s">
        <v>14</v>
      </c>
      <c r="F1780" t="s">
        <v>23</v>
      </c>
      <c r="G1780" t="s">
        <v>33</v>
      </c>
      <c r="H1780" t="s">
        <v>37</v>
      </c>
      <c r="I1780" t="s">
        <v>49</v>
      </c>
      <c r="J1780" s="7">
        <v>534.09</v>
      </c>
      <c r="K1780" s="8">
        <v>4</v>
      </c>
      <c r="L1780" s="7">
        <v>125.97</v>
      </c>
    </row>
    <row r="1781" spans="1:12" x14ac:dyDescent="0.2">
      <c r="A1781" s="2">
        <v>42882</v>
      </c>
      <c r="B1781" s="8">
        <f>YEAR(Sales_data[[#This Row],[Order Date]])</f>
        <v>2017</v>
      </c>
      <c r="C1781" s="8">
        <f>MONTH(Sales_data[[#This Row],[Order Date]])</f>
        <v>5</v>
      </c>
      <c r="D1781" s="8" t="str">
        <f>TEXT(Sales_data[[#This Row],[Order Date]],"mmm")</f>
        <v>May</v>
      </c>
      <c r="E1781" t="s">
        <v>12</v>
      </c>
      <c r="F1781" t="s">
        <v>26</v>
      </c>
      <c r="G1781" t="s">
        <v>34</v>
      </c>
      <c r="H1781" t="s">
        <v>42</v>
      </c>
      <c r="I1781" t="s">
        <v>52</v>
      </c>
      <c r="J1781" s="7">
        <v>353.85</v>
      </c>
      <c r="K1781" s="8">
        <v>4</v>
      </c>
      <c r="L1781" s="7">
        <v>130.74</v>
      </c>
    </row>
    <row r="1782" spans="1:12" x14ac:dyDescent="0.2">
      <c r="A1782" s="2">
        <v>42890</v>
      </c>
      <c r="B1782" s="8">
        <f>YEAR(Sales_data[[#This Row],[Order Date]])</f>
        <v>2017</v>
      </c>
      <c r="C1782" s="8">
        <f>MONTH(Sales_data[[#This Row],[Order Date]])</f>
        <v>6</v>
      </c>
      <c r="D1782" s="8" t="str">
        <f>TEXT(Sales_data[[#This Row],[Order Date]],"mmm")</f>
        <v>Jun</v>
      </c>
      <c r="E1782" t="s">
        <v>14</v>
      </c>
      <c r="F1782" t="s">
        <v>31</v>
      </c>
      <c r="G1782" t="s">
        <v>32</v>
      </c>
      <c r="H1782" t="s">
        <v>35</v>
      </c>
      <c r="I1782" t="s">
        <v>48</v>
      </c>
      <c r="J1782" s="7">
        <v>331.81</v>
      </c>
      <c r="K1782" s="8">
        <v>9</v>
      </c>
      <c r="L1782" s="7">
        <v>213.87</v>
      </c>
    </row>
    <row r="1783" spans="1:12" x14ac:dyDescent="0.2">
      <c r="A1783" s="2">
        <v>42892</v>
      </c>
      <c r="B1783" s="8">
        <f>YEAR(Sales_data[[#This Row],[Order Date]])</f>
        <v>2017</v>
      </c>
      <c r="C1783" s="8">
        <f>MONTH(Sales_data[[#This Row],[Order Date]])</f>
        <v>6</v>
      </c>
      <c r="D1783" s="8" t="str">
        <f>TEXT(Sales_data[[#This Row],[Order Date]],"mmm")</f>
        <v>Jun</v>
      </c>
      <c r="E1783" t="s">
        <v>12</v>
      </c>
      <c r="F1783" t="s">
        <v>23</v>
      </c>
      <c r="G1783" t="s">
        <v>34</v>
      </c>
      <c r="H1783" t="s">
        <v>36</v>
      </c>
      <c r="I1783" t="s">
        <v>53</v>
      </c>
      <c r="J1783" s="7">
        <v>1480.59</v>
      </c>
      <c r="K1783" s="8">
        <v>1</v>
      </c>
      <c r="L1783" s="7">
        <v>-121.08</v>
      </c>
    </row>
    <row r="1784" spans="1:12" x14ac:dyDescent="0.2">
      <c r="A1784" s="2">
        <v>42894</v>
      </c>
      <c r="B1784" s="8">
        <f>YEAR(Sales_data[[#This Row],[Order Date]])</f>
        <v>2017</v>
      </c>
      <c r="C1784" s="8">
        <f>MONTH(Sales_data[[#This Row],[Order Date]])</f>
        <v>6</v>
      </c>
      <c r="D1784" s="8" t="str">
        <f>TEXT(Sales_data[[#This Row],[Order Date]],"mmm")</f>
        <v>Jun</v>
      </c>
      <c r="E1784" t="s">
        <v>16</v>
      </c>
      <c r="F1784" t="s">
        <v>22</v>
      </c>
      <c r="G1784" t="s">
        <v>32</v>
      </c>
      <c r="H1784" t="s">
        <v>35</v>
      </c>
      <c r="I1784" t="s">
        <v>53</v>
      </c>
      <c r="J1784" s="7">
        <v>546.89</v>
      </c>
      <c r="K1784" s="8">
        <v>4</v>
      </c>
      <c r="L1784" s="7">
        <v>362.16</v>
      </c>
    </row>
    <row r="1785" spans="1:12" x14ac:dyDescent="0.2">
      <c r="A1785" s="2">
        <v>42897</v>
      </c>
      <c r="B1785" s="8">
        <f>YEAR(Sales_data[[#This Row],[Order Date]])</f>
        <v>2017</v>
      </c>
      <c r="C1785" s="8">
        <f>MONTH(Sales_data[[#This Row],[Order Date]])</f>
        <v>6</v>
      </c>
      <c r="D1785" s="8" t="str">
        <f>TEXT(Sales_data[[#This Row],[Order Date]],"mmm")</f>
        <v>Jun</v>
      </c>
      <c r="E1785" t="s">
        <v>11</v>
      </c>
      <c r="F1785" t="s">
        <v>28</v>
      </c>
      <c r="G1785" t="s">
        <v>32</v>
      </c>
      <c r="H1785" t="s">
        <v>43</v>
      </c>
      <c r="I1785" t="s">
        <v>46</v>
      </c>
      <c r="J1785" s="7">
        <v>1776.63</v>
      </c>
      <c r="K1785" s="8">
        <v>7</v>
      </c>
      <c r="L1785" s="7">
        <v>-119.97</v>
      </c>
    </row>
    <row r="1786" spans="1:12" x14ac:dyDescent="0.2">
      <c r="A1786" s="2">
        <v>42899</v>
      </c>
      <c r="B1786" s="8">
        <f>YEAR(Sales_data[[#This Row],[Order Date]])</f>
        <v>2017</v>
      </c>
      <c r="C1786" s="8">
        <f>MONTH(Sales_data[[#This Row],[Order Date]])</f>
        <v>6</v>
      </c>
      <c r="D1786" s="8" t="str">
        <f>TEXT(Sales_data[[#This Row],[Order Date]],"mmm")</f>
        <v>Jun</v>
      </c>
      <c r="E1786" t="s">
        <v>15</v>
      </c>
      <c r="F1786" t="s">
        <v>27</v>
      </c>
      <c r="G1786" t="s">
        <v>32</v>
      </c>
      <c r="H1786" t="s">
        <v>41</v>
      </c>
      <c r="I1786" t="s">
        <v>45</v>
      </c>
      <c r="J1786" s="7">
        <v>1270.74</v>
      </c>
      <c r="K1786" s="8">
        <v>5</v>
      </c>
      <c r="L1786" s="7">
        <v>-178.31</v>
      </c>
    </row>
    <row r="1787" spans="1:12" x14ac:dyDescent="0.2">
      <c r="A1787" s="2">
        <v>42900</v>
      </c>
      <c r="B1787" s="8">
        <f>YEAR(Sales_data[[#This Row],[Order Date]])</f>
        <v>2017</v>
      </c>
      <c r="C1787" s="8">
        <f>MONTH(Sales_data[[#This Row],[Order Date]])</f>
        <v>6</v>
      </c>
      <c r="D1787" s="8" t="str">
        <f>TEXT(Sales_data[[#This Row],[Order Date]],"mmm")</f>
        <v>Jun</v>
      </c>
      <c r="E1787" t="s">
        <v>21</v>
      </c>
      <c r="F1787" t="s">
        <v>22</v>
      </c>
      <c r="G1787" t="s">
        <v>33</v>
      </c>
      <c r="H1787" t="s">
        <v>42</v>
      </c>
      <c r="I1787" t="s">
        <v>44</v>
      </c>
      <c r="J1787" s="7">
        <v>1305.8800000000001</v>
      </c>
      <c r="K1787" s="8">
        <v>6</v>
      </c>
      <c r="L1787" s="7">
        <v>-172.65</v>
      </c>
    </row>
    <row r="1788" spans="1:12" x14ac:dyDescent="0.2">
      <c r="A1788" s="2">
        <v>42900</v>
      </c>
      <c r="B1788" s="8">
        <f>YEAR(Sales_data[[#This Row],[Order Date]])</f>
        <v>2017</v>
      </c>
      <c r="C1788" s="8">
        <f>MONTH(Sales_data[[#This Row],[Order Date]])</f>
        <v>6</v>
      </c>
      <c r="D1788" s="8" t="str">
        <f>TEXT(Sales_data[[#This Row],[Order Date]],"mmm")</f>
        <v>Jun</v>
      </c>
      <c r="E1788" t="s">
        <v>14</v>
      </c>
      <c r="F1788" t="s">
        <v>30</v>
      </c>
      <c r="G1788" t="s">
        <v>34</v>
      </c>
      <c r="H1788" t="s">
        <v>37</v>
      </c>
      <c r="I1788" t="s">
        <v>51</v>
      </c>
      <c r="J1788" s="7">
        <v>1043.3699999999999</v>
      </c>
      <c r="K1788" s="8">
        <v>5</v>
      </c>
      <c r="L1788" s="7">
        <v>225.94</v>
      </c>
    </row>
    <row r="1789" spans="1:12" x14ac:dyDescent="0.2">
      <c r="A1789" s="2">
        <v>42902</v>
      </c>
      <c r="B1789" s="8">
        <f>YEAR(Sales_data[[#This Row],[Order Date]])</f>
        <v>2017</v>
      </c>
      <c r="C1789" s="8">
        <f>MONTH(Sales_data[[#This Row],[Order Date]])</f>
        <v>6</v>
      </c>
      <c r="D1789" s="8" t="str">
        <f>TEXT(Sales_data[[#This Row],[Order Date]],"mmm")</f>
        <v>Jun</v>
      </c>
      <c r="E1789" t="s">
        <v>13</v>
      </c>
      <c r="F1789" t="s">
        <v>24</v>
      </c>
      <c r="G1789" t="s">
        <v>34</v>
      </c>
      <c r="H1789" t="s">
        <v>35</v>
      </c>
      <c r="I1789" t="s">
        <v>49</v>
      </c>
      <c r="J1789" s="7">
        <v>253.94</v>
      </c>
      <c r="K1789" s="8">
        <v>3</v>
      </c>
      <c r="L1789" s="7">
        <v>352.33</v>
      </c>
    </row>
    <row r="1790" spans="1:12" x14ac:dyDescent="0.2">
      <c r="A1790" s="2">
        <v>42902</v>
      </c>
      <c r="B1790" s="8">
        <f>YEAR(Sales_data[[#This Row],[Order Date]])</f>
        <v>2017</v>
      </c>
      <c r="C1790" s="8">
        <f>MONTH(Sales_data[[#This Row],[Order Date]])</f>
        <v>6</v>
      </c>
      <c r="D1790" s="8" t="str">
        <f>TEXT(Sales_data[[#This Row],[Order Date]],"mmm")</f>
        <v>Jun</v>
      </c>
      <c r="E1790" t="s">
        <v>12</v>
      </c>
      <c r="F1790" t="s">
        <v>27</v>
      </c>
      <c r="G1790" t="s">
        <v>33</v>
      </c>
      <c r="H1790" t="s">
        <v>41</v>
      </c>
      <c r="I1790" t="s">
        <v>50</v>
      </c>
      <c r="J1790" s="7">
        <v>1179.8900000000001</v>
      </c>
      <c r="K1790" s="8">
        <v>2</v>
      </c>
      <c r="L1790" s="7">
        <v>65.540000000000006</v>
      </c>
    </row>
    <row r="1791" spans="1:12" x14ac:dyDescent="0.2">
      <c r="A1791" s="2">
        <v>42904</v>
      </c>
      <c r="B1791" s="8">
        <f>YEAR(Sales_data[[#This Row],[Order Date]])</f>
        <v>2017</v>
      </c>
      <c r="C1791" s="8">
        <f>MONTH(Sales_data[[#This Row],[Order Date]])</f>
        <v>6</v>
      </c>
      <c r="D1791" s="8" t="str">
        <f>TEXT(Sales_data[[#This Row],[Order Date]],"mmm")</f>
        <v>Jun</v>
      </c>
      <c r="E1791" t="s">
        <v>14</v>
      </c>
      <c r="F1791" t="s">
        <v>22</v>
      </c>
      <c r="G1791" t="s">
        <v>34</v>
      </c>
      <c r="H1791" t="s">
        <v>40</v>
      </c>
      <c r="I1791" t="s">
        <v>48</v>
      </c>
      <c r="J1791" s="7">
        <v>306.08999999999997</v>
      </c>
      <c r="K1791" s="8">
        <v>5</v>
      </c>
      <c r="L1791" s="7">
        <v>111.12</v>
      </c>
    </row>
    <row r="1792" spans="1:12" x14ac:dyDescent="0.2">
      <c r="A1792" s="2">
        <v>42904</v>
      </c>
      <c r="B1792" s="8">
        <f>YEAR(Sales_data[[#This Row],[Order Date]])</f>
        <v>2017</v>
      </c>
      <c r="C1792" s="8">
        <f>MONTH(Sales_data[[#This Row],[Order Date]])</f>
        <v>6</v>
      </c>
      <c r="D1792" s="8" t="str">
        <f>TEXT(Sales_data[[#This Row],[Order Date]],"mmm")</f>
        <v>Jun</v>
      </c>
      <c r="E1792" t="s">
        <v>20</v>
      </c>
      <c r="F1792" t="s">
        <v>23</v>
      </c>
      <c r="G1792" t="s">
        <v>32</v>
      </c>
      <c r="H1792" t="s">
        <v>36</v>
      </c>
      <c r="I1792" t="s">
        <v>49</v>
      </c>
      <c r="J1792" s="7">
        <v>1515.84</v>
      </c>
      <c r="K1792" s="8">
        <v>6</v>
      </c>
      <c r="L1792" s="7">
        <v>-138.66999999999999</v>
      </c>
    </row>
    <row r="1793" spans="1:12" x14ac:dyDescent="0.2">
      <c r="A1793" s="2">
        <v>42905</v>
      </c>
      <c r="B1793" s="8">
        <f>YEAR(Sales_data[[#This Row],[Order Date]])</f>
        <v>2017</v>
      </c>
      <c r="C1793" s="8">
        <f>MONTH(Sales_data[[#This Row],[Order Date]])</f>
        <v>6</v>
      </c>
      <c r="D1793" s="8" t="str">
        <f>TEXT(Sales_data[[#This Row],[Order Date]],"mmm")</f>
        <v>Jun</v>
      </c>
      <c r="E1793" t="s">
        <v>19</v>
      </c>
      <c r="F1793" t="s">
        <v>23</v>
      </c>
      <c r="G1793" t="s">
        <v>33</v>
      </c>
      <c r="H1793" t="s">
        <v>43</v>
      </c>
      <c r="I1793" t="s">
        <v>46</v>
      </c>
      <c r="J1793" s="7">
        <v>1269.03</v>
      </c>
      <c r="K1793" s="8">
        <v>7</v>
      </c>
      <c r="L1793" s="7">
        <v>-168.75</v>
      </c>
    </row>
    <row r="1794" spans="1:12" x14ac:dyDescent="0.2">
      <c r="A1794" s="2">
        <v>42905</v>
      </c>
      <c r="B1794" s="8">
        <f>YEAR(Sales_data[[#This Row],[Order Date]])</f>
        <v>2017</v>
      </c>
      <c r="C1794" s="8">
        <f>MONTH(Sales_data[[#This Row],[Order Date]])</f>
        <v>6</v>
      </c>
      <c r="D1794" s="8" t="str">
        <f>TEXT(Sales_data[[#This Row],[Order Date]],"mmm")</f>
        <v>Jun</v>
      </c>
      <c r="E1794" t="s">
        <v>21</v>
      </c>
      <c r="F1794" t="s">
        <v>25</v>
      </c>
      <c r="G1794" t="s">
        <v>34</v>
      </c>
      <c r="H1794" t="s">
        <v>38</v>
      </c>
      <c r="I1794" t="s">
        <v>51</v>
      </c>
      <c r="J1794" s="7">
        <v>851.52</v>
      </c>
      <c r="K1794" s="8">
        <v>2</v>
      </c>
      <c r="L1794" s="7">
        <v>95.66</v>
      </c>
    </row>
    <row r="1795" spans="1:12" x14ac:dyDescent="0.2">
      <c r="A1795" s="2">
        <v>42906</v>
      </c>
      <c r="B1795" s="8">
        <f>YEAR(Sales_data[[#This Row],[Order Date]])</f>
        <v>2017</v>
      </c>
      <c r="C1795" s="8">
        <f>MONTH(Sales_data[[#This Row],[Order Date]])</f>
        <v>6</v>
      </c>
      <c r="D1795" s="8" t="str">
        <f>TEXT(Sales_data[[#This Row],[Order Date]],"mmm")</f>
        <v>Jun</v>
      </c>
      <c r="E1795" t="s">
        <v>18</v>
      </c>
      <c r="F1795" t="s">
        <v>23</v>
      </c>
      <c r="G1795" t="s">
        <v>32</v>
      </c>
      <c r="H1795" t="s">
        <v>43</v>
      </c>
      <c r="I1795" t="s">
        <v>50</v>
      </c>
      <c r="J1795" s="7">
        <v>1657.81</v>
      </c>
      <c r="K1795" s="8">
        <v>8</v>
      </c>
      <c r="L1795" s="7">
        <v>307.64</v>
      </c>
    </row>
    <row r="1796" spans="1:12" x14ac:dyDescent="0.2">
      <c r="A1796" s="2">
        <v>42906</v>
      </c>
      <c r="B1796" s="8">
        <f>YEAR(Sales_data[[#This Row],[Order Date]])</f>
        <v>2017</v>
      </c>
      <c r="C1796" s="8">
        <f>MONTH(Sales_data[[#This Row],[Order Date]])</f>
        <v>6</v>
      </c>
      <c r="D1796" s="8" t="str">
        <f>TEXT(Sales_data[[#This Row],[Order Date]],"mmm")</f>
        <v>Jun</v>
      </c>
      <c r="E1796" t="s">
        <v>14</v>
      </c>
      <c r="F1796" t="s">
        <v>22</v>
      </c>
      <c r="G1796" t="s">
        <v>32</v>
      </c>
      <c r="H1796" t="s">
        <v>43</v>
      </c>
      <c r="I1796" t="s">
        <v>50</v>
      </c>
      <c r="J1796" s="7">
        <v>1015.28</v>
      </c>
      <c r="K1796" s="8">
        <v>5</v>
      </c>
      <c r="L1796" s="7">
        <v>263.89</v>
      </c>
    </row>
    <row r="1797" spans="1:12" x14ac:dyDescent="0.2">
      <c r="A1797" s="2">
        <v>42906</v>
      </c>
      <c r="B1797" s="8">
        <f>YEAR(Sales_data[[#This Row],[Order Date]])</f>
        <v>2017</v>
      </c>
      <c r="C1797" s="8">
        <f>MONTH(Sales_data[[#This Row],[Order Date]])</f>
        <v>6</v>
      </c>
      <c r="D1797" s="8" t="str">
        <f>TEXT(Sales_data[[#This Row],[Order Date]],"mmm")</f>
        <v>Jun</v>
      </c>
      <c r="E1797" t="s">
        <v>21</v>
      </c>
      <c r="F1797" t="s">
        <v>27</v>
      </c>
      <c r="G1797" t="s">
        <v>34</v>
      </c>
      <c r="H1797" t="s">
        <v>41</v>
      </c>
      <c r="I1797" t="s">
        <v>47</v>
      </c>
      <c r="J1797" s="7">
        <v>1942.88</v>
      </c>
      <c r="K1797" s="8">
        <v>8</v>
      </c>
      <c r="L1797" s="7">
        <v>375.17</v>
      </c>
    </row>
    <row r="1798" spans="1:12" x14ac:dyDescent="0.2">
      <c r="A1798" s="2">
        <v>42907</v>
      </c>
      <c r="B1798" s="8">
        <f>YEAR(Sales_data[[#This Row],[Order Date]])</f>
        <v>2017</v>
      </c>
      <c r="C1798" s="8">
        <f>MONTH(Sales_data[[#This Row],[Order Date]])</f>
        <v>6</v>
      </c>
      <c r="D1798" s="8" t="str">
        <f>TEXT(Sales_data[[#This Row],[Order Date]],"mmm")</f>
        <v>Jun</v>
      </c>
      <c r="E1798" t="s">
        <v>10</v>
      </c>
      <c r="F1798" t="s">
        <v>31</v>
      </c>
      <c r="G1798" t="s">
        <v>33</v>
      </c>
      <c r="H1798" t="s">
        <v>40</v>
      </c>
      <c r="I1798" t="s">
        <v>46</v>
      </c>
      <c r="J1798" s="7">
        <v>871.62</v>
      </c>
      <c r="K1798" s="8">
        <v>1</v>
      </c>
      <c r="L1798" s="7">
        <v>-124</v>
      </c>
    </row>
    <row r="1799" spans="1:12" x14ac:dyDescent="0.2">
      <c r="A1799" s="2">
        <v>42907</v>
      </c>
      <c r="B1799" s="8">
        <f>YEAR(Sales_data[[#This Row],[Order Date]])</f>
        <v>2017</v>
      </c>
      <c r="C1799" s="8">
        <f>MONTH(Sales_data[[#This Row],[Order Date]])</f>
        <v>6</v>
      </c>
      <c r="D1799" s="8" t="str">
        <f>TEXT(Sales_data[[#This Row],[Order Date]],"mmm")</f>
        <v>Jun</v>
      </c>
      <c r="E1799" t="s">
        <v>10</v>
      </c>
      <c r="F1799" t="s">
        <v>28</v>
      </c>
      <c r="G1799" t="s">
        <v>32</v>
      </c>
      <c r="H1799" t="s">
        <v>41</v>
      </c>
      <c r="I1799" t="s">
        <v>45</v>
      </c>
      <c r="J1799" s="7">
        <v>33.409999999999997</v>
      </c>
      <c r="K1799" s="8">
        <v>3</v>
      </c>
      <c r="L1799" s="7">
        <v>371.34</v>
      </c>
    </row>
    <row r="1800" spans="1:12" x14ac:dyDescent="0.2">
      <c r="A1800" s="2">
        <v>42908</v>
      </c>
      <c r="B1800" s="8">
        <f>YEAR(Sales_data[[#This Row],[Order Date]])</f>
        <v>2017</v>
      </c>
      <c r="C1800" s="8">
        <f>MONTH(Sales_data[[#This Row],[Order Date]])</f>
        <v>6</v>
      </c>
      <c r="D1800" s="8" t="str">
        <f>TEXT(Sales_data[[#This Row],[Order Date]],"mmm")</f>
        <v>Jun</v>
      </c>
      <c r="E1800" t="s">
        <v>14</v>
      </c>
      <c r="F1800" t="s">
        <v>31</v>
      </c>
      <c r="G1800" t="s">
        <v>33</v>
      </c>
      <c r="H1800" t="s">
        <v>39</v>
      </c>
      <c r="I1800" t="s">
        <v>47</v>
      </c>
      <c r="J1800" s="7">
        <v>241.73</v>
      </c>
      <c r="K1800" s="8">
        <v>8</v>
      </c>
      <c r="L1800" s="7">
        <v>210.96</v>
      </c>
    </row>
    <row r="1801" spans="1:12" x14ac:dyDescent="0.2">
      <c r="A1801" s="2">
        <v>42908</v>
      </c>
      <c r="B1801" s="8">
        <f>YEAR(Sales_data[[#This Row],[Order Date]])</f>
        <v>2017</v>
      </c>
      <c r="C1801" s="8">
        <f>MONTH(Sales_data[[#This Row],[Order Date]])</f>
        <v>6</v>
      </c>
      <c r="D1801" s="8" t="str">
        <f>TEXT(Sales_data[[#This Row],[Order Date]],"mmm")</f>
        <v>Jun</v>
      </c>
      <c r="E1801" t="s">
        <v>10</v>
      </c>
      <c r="F1801" t="s">
        <v>26</v>
      </c>
      <c r="G1801" t="s">
        <v>33</v>
      </c>
      <c r="H1801" t="s">
        <v>35</v>
      </c>
      <c r="I1801" t="s">
        <v>47</v>
      </c>
      <c r="J1801" s="7">
        <v>785.42</v>
      </c>
      <c r="K1801" s="8">
        <v>6</v>
      </c>
      <c r="L1801" s="7">
        <v>16.350000000000001</v>
      </c>
    </row>
    <row r="1802" spans="1:12" x14ac:dyDescent="0.2">
      <c r="A1802" s="2">
        <v>42908</v>
      </c>
      <c r="B1802" s="8">
        <f>YEAR(Sales_data[[#This Row],[Order Date]])</f>
        <v>2017</v>
      </c>
      <c r="C1802" s="8">
        <f>MONTH(Sales_data[[#This Row],[Order Date]])</f>
        <v>6</v>
      </c>
      <c r="D1802" s="8" t="str">
        <f>TEXT(Sales_data[[#This Row],[Order Date]],"mmm")</f>
        <v>Jun</v>
      </c>
      <c r="E1802" t="s">
        <v>19</v>
      </c>
      <c r="F1802" t="s">
        <v>27</v>
      </c>
      <c r="G1802" t="s">
        <v>33</v>
      </c>
      <c r="H1802" t="s">
        <v>39</v>
      </c>
      <c r="I1802" t="s">
        <v>45</v>
      </c>
      <c r="J1802" s="7">
        <v>286.98</v>
      </c>
      <c r="K1802" s="8">
        <v>7</v>
      </c>
      <c r="L1802" s="7">
        <v>89.72</v>
      </c>
    </row>
    <row r="1803" spans="1:12" x14ac:dyDescent="0.2">
      <c r="A1803" s="2">
        <v>42909</v>
      </c>
      <c r="B1803" s="8">
        <f>YEAR(Sales_data[[#This Row],[Order Date]])</f>
        <v>2017</v>
      </c>
      <c r="C1803" s="8">
        <f>MONTH(Sales_data[[#This Row],[Order Date]])</f>
        <v>6</v>
      </c>
      <c r="D1803" s="8" t="str">
        <f>TEXT(Sales_data[[#This Row],[Order Date]],"mmm")</f>
        <v>Jun</v>
      </c>
      <c r="E1803" t="s">
        <v>21</v>
      </c>
      <c r="F1803" t="s">
        <v>30</v>
      </c>
      <c r="G1803" t="s">
        <v>33</v>
      </c>
      <c r="H1803" t="s">
        <v>39</v>
      </c>
      <c r="I1803" t="s">
        <v>49</v>
      </c>
      <c r="J1803" s="7">
        <v>609.30999999999995</v>
      </c>
      <c r="K1803" s="8">
        <v>3</v>
      </c>
      <c r="L1803" s="7">
        <v>-103.05</v>
      </c>
    </row>
    <row r="1804" spans="1:12" x14ac:dyDescent="0.2">
      <c r="A1804" s="2">
        <v>42910</v>
      </c>
      <c r="B1804" s="8">
        <f>YEAR(Sales_data[[#This Row],[Order Date]])</f>
        <v>2017</v>
      </c>
      <c r="C1804" s="8">
        <f>MONTH(Sales_data[[#This Row],[Order Date]])</f>
        <v>6</v>
      </c>
      <c r="D1804" s="8" t="str">
        <f>TEXT(Sales_data[[#This Row],[Order Date]],"mmm")</f>
        <v>Jun</v>
      </c>
      <c r="E1804" t="s">
        <v>10</v>
      </c>
      <c r="F1804" t="s">
        <v>22</v>
      </c>
      <c r="G1804" t="s">
        <v>33</v>
      </c>
      <c r="H1804" t="s">
        <v>38</v>
      </c>
      <c r="I1804" t="s">
        <v>46</v>
      </c>
      <c r="J1804" s="7">
        <v>1642.38</v>
      </c>
      <c r="K1804" s="8">
        <v>7</v>
      </c>
      <c r="L1804" s="7">
        <v>-109.68</v>
      </c>
    </row>
    <row r="1805" spans="1:12" x14ac:dyDescent="0.2">
      <c r="A1805" s="2">
        <v>42910</v>
      </c>
      <c r="B1805" s="8">
        <f>YEAR(Sales_data[[#This Row],[Order Date]])</f>
        <v>2017</v>
      </c>
      <c r="C1805" s="8">
        <f>MONTH(Sales_data[[#This Row],[Order Date]])</f>
        <v>6</v>
      </c>
      <c r="D1805" s="8" t="str">
        <f>TEXT(Sales_data[[#This Row],[Order Date]],"mmm")</f>
        <v>Jun</v>
      </c>
      <c r="E1805" t="s">
        <v>16</v>
      </c>
      <c r="F1805" t="s">
        <v>26</v>
      </c>
      <c r="G1805" t="s">
        <v>33</v>
      </c>
      <c r="H1805" t="s">
        <v>43</v>
      </c>
      <c r="I1805" t="s">
        <v>53</v>
      </c>
      <c r="J1805" s="7">
        <v>595.07000000000005</v>
      </c>
      <c r="K1805" s="8">
        <v>1</v>
      </c>
      <c r="L1805" s="7">
        <v>126.55</v>
      </c>
    </row>
    <row r="1806" spans="1:12" x14ac:dyDescent="0.2">
      <c r="A1806" s="2">
        <v>42911</v>
      </c>
      <c r="B1806" s="8">
        <f>YEAR(Sales_data[[#This Row],[Order Date]])</f>
        <v>2017</v>
      </c>
      <c r="C1806" s="8">
        <f>MONTH(Sales_data[[#This Row],[Order Date]])</f>
        <v>6</v>
      </c>
      <c r="D1806" s="8" t="str">
        <f>TEXT(Sales_data[[#This Row],[Order Date]],"mmm")</f>
        <v>Jun</v>
      </c>
      <c r="E1806" t="s">
        <v>13</v>
      </c>
      <c r="F1806" t="s">
        <v>25</v>
      </c>
      <c r="G1806" t="s">
        <v>32</v>
      </c>
      <c r="H1806" t="s">
        <v>40</v>
      </c>
      <c r="I1806" t="s">
        <v>50</v>
      </c>
      <c r="J1806" s="7">
        <v>185.13</v>
      </c>
      <c r="K1806" s="8">
        <v>4</v>
      </c>
      <c r="L1806" s="7">
        <v>-29.52</v>
      </c>
    </row>
    <row r="1807" spans="1:12" x14ac:dyDescent="0.2">
      <c r="A1807" s="2">
        <v>42911</v>
      </c>
      <c r="B1807" s="8">
        <f>YEAR(Sales_data[[#This Row],[Order Date]])</f>
        <v>2017</v>
      </c>
      <c r="C1807" s="8">
        <f>MONTH(Sales_data[[#This Row],[Order Date]])</f>
        <v>6</v>
      </c>
      <c r="D1807" s="8" t="str">
        <f>TEXT(Sales_data[[#This Row],[Order Date]],"mmm")</f>
        <v>Jun</v>
      </c>
      <c r="E1807" t="s">
        <v>15</v>
      </c>
      <c r="F1807" t="s">
        <v>30</v>
      </c>
      <c r="G1807" t="s">
        <v>34</v>
      </c>
      <c r="H1807" t="s">
        <v>42</v>
      </c>
      <c r="I1807" t="s">
        <v>53</v>
      </c>
      <c r="J1807" s="7">
        <v>1512.59</v>
      </c>
      <c r="K1807" s="8">
        <v>7</v>
      </c>
      <c r="L1807" s="7">
        <v>157.87</v>
      </c>
    </row>
    <row r="1808" spans="1:12" x14ac:dyDescent="0.2">
      <c r="A1808" s="2">
        <v>42911</v>
      </c>
      <c r="B1808" s="8">
        <f>YEAR(Sales_data[[#This Row],[Order Date]])</f>
        <v>2017</v>
      </c>
      <c r="C1808" s="8">
        <f>MONTH(Sales_data[[#This Row],[Order Date]])</f>
        <v>6</v>
      </c>
      <c r="D1808" s="8" t="str">
        <f>TEXT(Sales_data[[#This Row],[Order Date]],"mmm")</f>
        <v>Jun</v>
      </c>
      <c r="E1808" t="s">
        <v>15</v>
      </c>
      <c r="F1808" t="s">
        <v>27</v>
      </c>
      <c r="G1808" t="s">
        <v>32</v>
      </c>
      <c r="H1808" t="s">
        <v>41</v>
      </c>
      <c r="I1808" t="s">
        <v>53</v>
      </c>
      <c r="J1808" s="7">
        <v>1029.73</v>
      </c>
      <c r="K1808" s="8">
        <v>7</v>
      </c>
      <c r="L1808" s="7">
        <v>-13.37</v>
      </c>
    </row>
    <row r="1809" spans="1:12" x14ac:dyDescent="0.2">
      <c r="A1809" s="2">
        <v>42911</v>
      </c>
      <c r="B1809" s="8">
        <f>YEAR(Sales_data[[#This Row],[Order Date]])</f>
        <v>2017</v>
      </c>
      <c r="C1809" s="8">
        <f>MONTH(Sales_data[[#This Row],[Order Date]])</f>
        <v>6</v>
      </c>
      <c r="D1809" s="8" t="str">
        <f>TEXT(Sales_data[[#This Row],[Order Date]],"mmm")</f>
        <v>Jun</v>
      </c>
      <c r="E1809" t="s">
        <v>10</v>
      </c>
      <c r="F1809" t="s">
        <v>30</v>
      </c>
      <c r="G1809" t="s">
        <v>32</v>
      </c>
      <c r="H1809" t="s">
        <v>43</v>
      </c>
      <c r="I1809" t="s">
        <v>44</v>
      </c>
      <c r="J1809" s="7">
        <v>506.26</v>
      </c>
      <c r="K1809" s="8">
        <v>8</v>
      </c>
      <c r="L1809" s="7">
        <v>271.60000000000002</v>
      </c>
    </row>
    <row r="1810" spans="1:12" x14ac:dyDescent="0.2">
      <c r="A1810" s="2">
        <v>42911</v>
      </c>
      <c r="B1810" s="8">
        <f>YEAR(Sales_data[[#This Row],[Order Date]])</f>
        <v>2017</v>
      </c>
      <c r="C1810" s="8">
        <f>MONTH(Sales_data[[#This Row],[Order Date]])</f>
        <v>6</v>
      </c>
      <c r="D1810" s="8" t="str">
        <f>TEXT(Sales_data[[#This Row],[Order Date]],"mmm")</f>
        <v>Jun</v>
      </c>
      <c r="E1810" t="s">
        <v>10</v>
      </c>
      <c r="F1810" t="s">
        <v>23</v>
      </c>
      <c r="G1810" t="s">
        <v>33</v>
      </c>
      <c r="H1810" t="s">
        <v>41</v>
      </c>
      <c r="I1810" t="s">
        <v>53</v>
      </c>
      <c r="J1810" s="7">
        <v>1630.69</v>
      </c>
      <c r="K1810" s="8">
        <v>1</v>
      </c>
      <c r="L1810" s="7">
        <v>139.09</v>
      </c>
    </row>
    <row r="1811" spans="1:12" x14ac:dyDescent="0.2">
      <c r="A1811" s="2">
        <v>42913</v>
      </c>
      <c r="B1811" s="8">
        <f>YEAR(Sales_data[[#This Row],[Order Date]])</f>
        <v>2017</v>
      </c>
      <c r="C1811" s="8">
        <f>MONTH(Sales_data[[#This Row],[Order Date]])</f>
        <v>6</v>
      </c>
      <c r="D1811" s="8" t="str">
        <f>TEXT(Sales_data[[#This Row],[Order Date]],"mmm")</f>
        <v>Jun</v>
      </c>
      <c r="E1811" t="s">
        <v>15</v>
      </c>
      <c r="F1811" t="s">
        <v>27</v>
      </c>
      <c r="G1811" t="s">
        <v>34</v>
      </c>
      <c r="H1811" t="s">
        <v>37</v>
      </c>
      <c r="I1811" t="s">
        <v>44</v>
      </c>
      <c r="J1811" s="7">
        <v>453.67</v>
      </c>
      <c r="K1811" s="8">
        <v>2</v>
      </c>
      <c r="L1811" s="7">
        <v>274.64</v>
      </c>
    </row>
    <row r="1812" spans="1:12" x14ac:dyDescent="0.2">
      <c r="A1812" s="2">
        <v>42914</v>
      </c>
      <c r="B1812" s="8">
        <f>YEAR(Sales_data[[#This Row],[Order Date]])</f>
        <v>2017</v>
      </c>
      <c r="C1812" s="8">
        <f>MONTH(Sales_data[[#This Row],[Order Date]])</f>
        <v>6</v>
      </c>
      <c r="D1812" s="8" t="str">
        <f>TEXT(Sales_data[[#This Row],[Order Date]],"mmm")</f>
        <v>Jun</v>
      </c>
      <c r="E1812" t="s">
        <v>9</v>
      </c>
      <c r="F1812" t="s">
        <v>23</v>
      </c>
      <c r="G1812" t="s">
        <v>33</v>
      </c>
      <c r="H1812" t="s">
        <v>42</v>
      </c>
      <c r="I1812" t="s">
        <v>52</v>
      </c>
      <c r="J1812" s="7">
        <v>1856.34</v>
      </c>
      <c r="K1812" s="8">
        <v>9</v>
      </c>
      <c r="L1812" s="7">
        <v>-42.08</v>
      </c>
    </row>
    <row r="1813" spans="1:12" x14ac:dyDescent="0.2">
      <c r="A1813" s="2">
        <v>42914</v>
      </c>
      <c r="B1813" s="8">
        <f>YEAR(Sales_data[[#This Row],[Order Date]])</f>
        <v>2017</v>
      </c>
      <c r="C1813" s="8">
        <f>MONTH(Sales_data[[#This Row],[Order Date]])</f>
        <v>6</v>
      </c>
      <c r="D1813" s="8" t="str">
        <f>TEXT(Sales_data[[#This Row],[Order Date]],"mmm")</f>
        <v>Jun</v>
      </c>
      <c r="E1813" t="s">
        <v>18</v>
      </c>
      <c r="F1813" t="s">
        <v>22</v>
      </c>
      <c r="G1813" t="s">
        <v>32</v>
      </c>
      <c r="H1813" t="s">
        <v>42</v>
      </c>
      <c r="I1813" t="s">
        <v>51</v>
      </c>
      <c r="J1813" s="7">
        <v>1517.02</v>
      </c>
      <c r="K1813" s="8">
        <v>4</v>
      </c>
      <c r="L1813" s="7">
        <v>274.45</v>
      </c>
    </row>
    <row r="1814" spans="1:12" x14ac:dyDescent="0.2">
      <c r="A1814" s="2">
        <v>42914</v>
      </c>
      <c r="B1814" s="8">
        <f>YEAR(Sales_data[[#This Row],[Order Date]])</f>
        <v>2017</v>
      </c>
      <c r="C1814" s="8">
        <f>MONTH(Sales_data[[#This Row],[Order Date]])</f>
        <v>6</v>
      </c>
      <c r="D1814" s="8" t="str">
        <f>TEXT(Sales_data[[#This Row],[Order Date]],"mmm")</f>
        <v>Jun</v>
      </c>
      <c r="E1814" t="s">
        <v>15</v>
      </c>
      <c r="F1814" t="s">
        <v>25</v>
      </c>
      <c r="G1814" t="s">
        <v>32</v>
      </c>
      <c r="H1814" t="s">
        <v>40</v>
      </c>
      <c r="I1814" t="s">
        <v>48</v>
      </c>
      <c r="J1814" s="7">
        <v>1657.55</v>
      </c>
      <c r="K1814" s="8">
        <v>5</v>
      </c>
      <c r="L1814" s="7">
        <v>-30.27</v>
      </c>
    </row>
    <row r="1815" spans="1:12" x14ac:dyDescent="0.2">
      <c r="A1815" s="2">
        <v>42914</v>
      </c>
      <c r="B1815" s="8">
        <f>YEAR(Sales_data[[#This Row],[Order Date]])</f>
        <v>2017</v>
      </c>
      <c r="C1815" s="8">
        <f>MONTH(Sales_data[[#This Row],[Order Date]])</f>
        <v>6</v>
      </c>
      <c r="D1815" s="8" t="str">
        <f>TEXT(Sales_data[[#This Row],[Order Date]],"mmm")</f>
        <v>Jun</v>
      </c>
      <c r="E1815" t="s">
        <v>20</v>
      </c>
      <c r="F1815" t="s">
        <v>24</v>
      </c>
      <c r="G1815" t="s">
        <v>34</v>
      </c>
      <c r="H1815" t="s">
        <v>43</v>
      </c>
      <c r="I1815" t="s">
        <v>49</v>
      </c>
      <c r="J1815" s="7">
        <v>695.41</v>
      </c>
      <c r="K1815" s="8">
        <v>4</v>
      </c>
      <c r="L1815" s="7">
        <v>143.88</v>
      </c>
    </row>
    <row r="1816" spans="1:12" x14ac:dyDescent="0.2">
      <c r="A1816" s="2">
        <v>42915</v>
      </c>
      <c r="B1816" s="8">
        <f>YEAR(Sales_data[[#This Row],[Order Date]])</f>
        <v>2017</v>
      </c>
      <c r="C1816" s="8">
        <f>MONTH(Sales_data[[#This Row],[Order Date]])</f>
        <v>6</v>
      </c>
      <c r="D1816" s="8" t="str">
        <f>TEXT(Sales_data[[#This Row],[Order Date]],"mmm")</f>
        <v>Jun</v>
      </c>
      <c r="E1816" t="s">
        <v>9</v>
      </c>
      <c r="F1816" t="s">
        <v>31</v>
      </c>
      <c r="G1816" t="s">
        <v>32</v>
      </c>
      <c r="H1816" t="s">
        <v>35</v>
      </c>
      <c r="I1816" t="s">
        <v>44</v>
      </c>
      <c r="J1816" s="7">
        <v>498.13</v>
      </c>
      <c r="K1816" s="8">
        <v>5</v>
      </c>
      <c r="L1816" s="7">
        <v>95.3</v>
      </c>
    </row>
    <row r="1817" spans="1:12" x14ac:dyDescent="0.2">
      <c r="A1817" s="2">
        <v>42918</v>
      </c>
      <c r="B1817" s="8">
        <f>YEAR(Sales_data[[#This Row],[Order Date]])</f>
        <v>2017</v>
      </c>
      <c r="C1817" s="8">
        <f>MONTH(Sales_data[[#This Row],[Order Date]])</f>
        <v>7</v>
      </c>
      <c r="D1817" s="8" t="str">
        <f>TEXT(Sales_data[[#This Row],[Order Date]],"mmm")</f>
        <v>Jul</v>
      </c>
      <c r="E1817" t="s">
        <v>20</v>
      </c>
      <c r="F1817" t="s">
        <v>23</v>
      </c>
      <c r="G1817" t="s">
        <v>34</v>
      </c>
      <c r="H1817" t="s">
        <v>36</v>
      </c>
      <c r="I1817" t="s">
        <v>44</v>
      </c>
      <c r="J1817" s="7">
        <v>552.21</v>
      </c>
      <c r="K1817" s="8">
        <v>2</v>
      </c>
      <c r="L1817" s="7">
        <v>-163.33000000000001</v>
      </c>
    </row>
    <row r="1818" spans="1:12" x14ac:dyDescent="0.2">
      <c r="A1818" s="2">
        <v>42918</v>
      </c>
      <c r="B1818" s="8">
        <f>YEAR(Sales_data[[#This Row],[Order Date]])</f>
        <v>2017</v>
      </c>
      <c r="C1818" s="8">
        <f>MONTH(Sales_data[[#This Row],[Order Date]])</f>
        <v>7</v>
      </c>
      <c r="D1818" s="8" t="str">
        <f>TEXT(Sales_data[[#This Row],[Order Date]],"mmm")</f>
        <v>Jul</v>
      </c>
      <c r="E1818" t="s">
        <v>21</v>
      </c>
      <c r="F1818" t="s">
        <v>25</v>
      </c>
      <c r="G1818" t="s">
        <v>32</v>
      </c>
      <c r="H1818" t="s">
        <v>36</v>
      </c>
      <c r="I1818" t="s">
        <v>46</v>
      </c>
      <c r="J1818" s="7">
        <v>1377.04</v>
      </c>
      <c r="K1818" s="8">
        <v>5</v>
      </c>
      <c r="L1818" s="7">
        <v>367.33</v>
      </c>
    </row>
    <row r="1819" spans="1:12" x14ac:dyDescent="0.2">
      <c r="A1819" s="2">
        <v>42920</v>
      </c>
      <c r="B1819" s="8">
        <f>YEAR(Sales_data[[#This Row],[Order Date]])</f>
        <v>2017</v>
      </c>
      <c r="C1819" s="8">
        <f>MONTH(Sales_data[[#This Row],[Order Date]])</f>
        <v>7</v>
      </c>
      <c r="D1819" s="8" t="str">
        <f>TEXT(Sales_data[[#This Row],[Order Date]],"mmm")</f>
        <v>Jul</v>
      </c>
      <c r="E1819" t="s">
        <v>9</v>
      </c>
      <c r="F1819" t="s">
        <v>27</v>
      </c>
      <c r="G1819" t="s">
        <v>32</v>
      </c>
      <c r="H1819" t="s">
        <v>38</v>
      </c>
      <c r="I1819" t="s">
        <v>51</v>
      </c>
      <c r="J1819" s="7">
        <v>155.21</v>
      </c>
      <c r="K1819" s="8">
        <v>7</v>
      </c>
      <c r="L1819" s="7">
        <v>73.64</v>
      </c>
    </row>
    <row r="1820" spans="1:12" x14ac:dyDescent="0.2">
      <c r="A1820" s="2">
        <v>42921</v>
      </c>
      <c r="B1820" s="8">
        <f>YEAR(Sales_data[[#This Row],[Order Date]])</f>
        <v>2017</v>
      </c>
      <c r="C1820" s="8">
        <f>MONTH(Sales_data[[#This Row],[Order Date]])</f>
        <v>7</v>
      </c>
      <c r="D1820" s="8" t="str">
        <f>TEXT(Sales_data[[#This Row],[Order Date]],"mmm")</f>
        <v>Jul</v>
      </c>
      <c r="E1820" t="s">
        <v>15</v>
      </c>
      <c r="F1820" t="s">
        <v>27</v>
      </c>
      <c r="G1820" t="s">
        <v>32</v>
      </c>
      <c r="H1820" t="s">
        <v>41</v>
      </c>
      <c r="I1820" t="s">
        <v>53</v>
      </c>
      <c r="J1820" s="7">
        <v>235.08</v>
      </c>
      <c r="K1820" s="8">
        <v>7</v>
      </c>
      <c r="L1820" s="7">
        <v>-28.65</v>
      </c>
    </row>
    <row r="1821" spans="1:12" x14ac:dyDescent="0.2">
      <c r="A1821" s="2">
        <v>42921</v>
      </c>
      <c r="B1821" s="8">
        <f>YEAR(Sales_data[[#This Row],[Order Date]])</f>
        <v>2017</v>
      </c>
      <c r="C1821" s="8">
        <f>MONTH(Sales_data[[#This Row],[Order Date]])</f>
        <v>7</v>
      </c>
      <c r="D1821" s="8" t="str">
        <f>TEXT(Sales_data[[#This Row],[Order Date]],"mmm")</f>
        <v>Jul</v>
      </c>
      <c r="E1821" t="s">
        <v>21</v>
      </c>
      <c r="F1821" t="s">
        <v>29</v>
      </c>
      <c r="G1821" t="s">
        <v>34</v>
      </c>
      <c r="H1821" t="s">
        <v>37</v>
      </c>
      <c r="I1821" t="s">
        <v>45</v>
      </c>
      <c r="J1821" s="7">
        <v>1474.8</v>
      </c>
      <c r="K1821" s="8">
        <v>2</v>
      </c>
      <c r="L1821" s="7">
        <v>270.91000000000003</v>
      </c>
    </row>
    <row r="1822" spans="1:12" x14ac:dyDescent="0.2">
      <c r="A1822" s="2">
        <v>42921</v>
      </c>
      <c r="B1822" s="8">
        <f>YEAR(Sales_data[[#This Row],[Order Date]])</f>
        <v>2017</v>
      </c>
      <c r="C1822" s="8">
        <f>MONTH(Sales_data[[#This Row],[Order Date]])</f>
        <v>7</v>
      </c>
      <c r="D1822" s="8" t="str">
        <f>TEXT(Sales_data[[#This Row],[Order Date]],"mmm")</f>
        <v>Jul</v>
      </c>
      <c r="E1822" t="s">
        <v>10</v>
      </c>
      <c r="F1822" t="s">
        <v>28</v>
      </c>
      <c r="G1822" t="s">
        <v>32</v>
      </c>
      <c r="H1822" t="s">
        <v>42</v>
      </c>
      <c r="I1822" t="s">
        <v>52</v>
      </c>
      <c r="J1822" s="7">
        <v>1695.55</v>
      </c>
      <c r="K1822" s="8">
        <v>5</v>
      </c>
      <c r="L1822" s="7">
        <v>-73.64</v>
      </c>
    </row>
    <row r="1823" spans="1:12" x14ac:dyDescent="0.2">
      <c r="A1823" s="2">
        <v>42922</v>
      </c>
      <c r="B1823" s="8">
        <f>YEAR(Sales_data[[#This Row],[Order Date]])</f>
        <v>2017</v>
      </c>
      <c r="C1823" s="8">
        <f>MONTH(Sales_data[[#This Row],[Order Date]])</f>
        <v>7</v>
      </c>
      <c r="D1823" s="8" t="str">
        <f>TEXT(Sales_data[[#This Row],[Order Date]],"mmm")</f>
        <v>Jul</v>
      </c>
      <c r="E1823" t="s">
        <v>14</v>
      </c>
      <c r="F1823" t="s">
        <v>22</v>
      </c>
      <c r="G1823" t="s">
        <v>32</v>
      </c>
      <c r="H1823" t="s">
        <v>42</v>
      </c>
      <c r="I1823" t="s">
        <v>50</v>
      </c>
      <c r="J1823" s="7">
        <v>1659.57</v>
      </c>
      <c r="K1823" s="8">
        <v>2</v>
      </c>
      <c r="L1823" s="7">
        <v>360.4</v>
      </c>
    </row>
    <row r="1824" spans="1:12" x14ac:dyDescent="0.2">
      <c r="A1824" s="2">
        <v>42923</v>
      </c>
      <c r="B1824" s="8">
        <f>YEAR(Sales_data[[#This Row],[Order Date]])</f>
        <v>2017</v>
      </c>
      <c r="C1824" s="8">
        <f>MONTH(Sales_data[[#This Row],[Order Date]])</f>
        <v>7</v>
      </c>
      <c r="D1824" s="8" t="str">
        <f>TEXT(Sales_data[[#This Row],[Order Date]],"mmm")</f>
        <v>Jul</v>
      </c>
      <c r="E1824" t="s">
        <v>18</v>
      </c>
      <c r="F1824" t="s">
        <v>22</v>
      </c>
      <c r="G1824" t="s">
        <v>32</v>
      </c>
      <c r="H1824" t="s">
        <v>35</v>
      </c>
      <c r="I1824" t="s">
        <v>47</v>
      </c>
      <c r="J1824" s="7">
        <v>1788.13</v>
      </c>
      <c r="K1824" s="8">
        <v>4</v>
      </c>
      <c r="L1824" s="7">
        <v>239.75</v>
      </c>
    </row>
    <row r="1825" spans="1:12" x14ac:dyDescent="0.2">
      <c r="A1825" s="2">
        <v>42923</v>
      </c>
      <c r="B1825" s="8">
        <f>YEAR(Sales_data[[#This Row],[Order Date]])</f>
        <v>2017</v>
      </c>
      <c r="C1825" s="8">
        <f>MONTH(Sales_data[[#This Row],[Order Date]])</f>
        <v>7</v>
      </c>
      <c r="D1825" s="8" t="str">
        <f>TEXT(Sales_data[[#This Row],[Order Date]],"mmm")</f>
        <v>Jul</v>
      </c>
      <c r="E1825" t="s">
        <v>20</v>
      </c>
      <c r="F1825" t="s">
        <v>29</v>
      </c>
      <c r="G1825" t="s">
        <v>34</v>
      </c>
      <c r="H1825" t="s">
        <v>36</v>
      </c>
      <c r="I1825" t="s">
        <v>47</v>
      </c>
      <c r="J1825" s="7">
        <v>1474.08</v>
      </c>
      <c r="K1825" s="8">
        <v>3</v>
      </c>
      <c r="L1825" s="7">
        <v>58.42</v>
      </c>
    </row>
    <row r="1826" spans="1:12" x14ac:dyDescent="0.2">
      <c r="A1826" s="2">
        <v>42924</v>
      </c>
      <c r="B1826" s="8">
        <f>YEAR(Sales_data[[#This Row],[Order Date]])</f>
        <v>2017</v>
      </c>
      <c r="C1826" s="8">
        <f>MONTH(Sales_data[[#This Row],[Order Date]])</f>
        <v>7</v>
      </c>
      <c r="D1826" s="8" t="str">
        <f>TEXT(Sales_data[[#This Row],[Order Date]],"mmm")</f>
        <v>Jul</v>
      </c>
      <c r="E1826" t="s">
        <v>16</v>
      </c>
      <c r="F1826" t="s">
        <v>24</v>
      </c>
      <c r="G1826" t="s">
        <v>34</v>
      </c>
      <c r="H1826" t="s">
        <v>40</v>
      </c>
      <c r="I1826" t="s">
        <v>47</v>
      </c>
      <c r="J1826" s="7">
        <v>1672.62</v>
      </c>
      <c r="K1826" s="8">
        <v>2</v>
      </c>
      <c r="L1826" s="7">
        <v>210.91</v>
      </c>
    </row>
    <row r="1827" spans="1:12" x14ac:dyDescent="0.2">
      <c r="A1827" s="2">
        <v>42927</v>
      </c>
      <c r="B1827" s="8">
        <f>YEAR(Sales_data[[#This Row],[Order Date]])</f>
        <v>2017</v>
      </c>
      <c r="C1827" s="8">
        <f>MONTH(Sales_data[[#This Row],[Order Date]])</f>
        <v>7</v>
      </c>
      <c r="D1827" s="8" t="str">
        <f>TEXT(Sales_data[[#This Row],[Order Date]],"mmm")</f>
        <v>Jul</v>
      </c>
      <c r="E1827" t="s">
        <v>14</v>
      </c>
      <c r="F1827" t="s">
        <v>25</v>
      </c>
      <c r="G1827" t="s">
        <v>33</v>
      </c>
      <c r="H1827" t="s">
        <v>40</v>
      </c>
      <c r="I1827" t="s">
        <v>44</v>
      </c>
      <c r="J1827" s="7">
        <v>1915.75</v>
      </c>
      <c r="K1827" s="8">
        <v>1</v>
      </c>
      <c r="L1827" s="7">
        <v>387.64</v>
      </c>
    </row>
    <row r="1828" spans="1:12" x14ac:dyDescent="0.2">
      <c r="A1828" s="2">
        <v>42928</v>
      </c>
      <c r="B1828" s="8">
        <f>YEAR(Sales_data[[#This Row],[Order Date]])</f>
        <v>2017</v>
      </c>
      <c r="C1828" s="8">
        <f>MONTH(Sales_data[[#This Row],[Order Date]])</f>
        <v>7</v>
      </c>
      <c r="D1828" s="8" t="str">
        <f>TEXT(Sales_data[[#This Row],[Order Date]],"mmm")</f>
        <v>Jul</v>
      </c>
      <c r="E1828" t="s">
        <v>13</v>
      </c>
      <c r="F1828" t="s">
        <v>26</v>
      </c>
      <c r="G1828" t="s">
        <v>33</v>
      </c>
      <c r="H1828" t="s">
        <v>35</v>
      </c>
      <c r="I1828" t="s">
        <v>49</v>
      </c>
      <c r="J1828" s="7">
        <v>758.16</v>
      </c>
      <c r="K1828" s="8">
        <v>7</v>
      </c>
      <c r="L1828" s="7">
        <v>-186.26</v>
      </c>
    </row>
    <row r="1829" spans="1:12" x14ac:dyDescent="0.2">
      <c r="A1829" s="2">
        <v>42929</v>
      </c>
      <c r="B1829" s="8">
        <f>YEAR(Sales_data[[#This Row],[Order Date]])</f>
        <v>2017</v>
      </c>
      <c r="C1829" s="8">
        <f>MONTH(Sales_data[[#This Row],[Order Date]])</f>
        <v>7</v>
      </c>
      <c r="D1829" s="8" t="str">
        <f>TEXT(Sales_data[[#This Row],[Order Date]],"mmm")</f>
        <v>Jul</v>
      </c>
      <c r="E1829" t="s">
        <v>19</v>
      </c>
      <c r="F1829" t="s">
        <v>30</v>
      </c>
      <c r="G1829" t="s">
        <v>34</v>
      </c>
      <c r="H1829" t="s">
        <v>36</v>
      </c>
      <c r="I1829" t="s">
        <v>48</v>
      </c>
      <c r="J1829" s="7">
        <v>1360.25</v>
      </c>
      <c r="K1829" s="8">
        <v>3</v>
      </c>
      <c r="L1829" s="7">
        <v>15.36</v>
      </c>
    </row>
    <row r="1830" spans="1:12" x14ac:dyDescent="0.2">
      <c r="A1830" s="2">
        <v>42933</v>
      </c>
      <c r="B1830" s="8">
        <f>YEAR(Sales_data[[#This Row],[Order Date]])</f>
        <v>2017</v>
      </c>
      <c r="C1830" s="8">
        <f>MONTH(Sales_data[[#This Row],[Order Date]])</f>
        <v>7</v>
      </c>
      <c r="D1830" s="8" t="str">
        <f>TEXT(Sales_data[[#This Row],[Order Date]],"mmm")</f>
        <v>Jul</v>
      </c>
      <c r="E1830" t="s">
        <v>12</v>
      </c>
      <c r="F1830" t="s">
        <v>25</v>
      </c>
      <c r="G1830" t="s">
        <v>32</v>
      </c>
      <c r="H1830" t="s">
        <v>36</v>
      </c>
      <c r="I1830" t="s">
        <v>50</v>
      </c>
      <c r="J1830" s="7">
        <v>1242.51</v>
      </c>
      <c r="K1830" s="8">
        <v>5</v>
      </c>
      <c r="L1830" s="7">
        <v>59.23</v>
      </c>
    </row>
    <row r="1831" spans="1:12" x14ac:dyDescent="0.2">
      <c r="A1831" s="2">
        <v>42935</v>
      </c>
      <c r="B1831" s="8">
        <f>YEAR(Sales_data[[#This Row],[Order Date]])</f>
        <v>2017</v>
      </c>
      <c r="C1831" s="8">
        <f>MONTH(Sales_data[[#This Row],[Order Date]])</f>
        <v>7</v>
      </c>
      <c r="D1831" s="8" t="str">
        <f>TEXT(Sales_data[[#This Row],[Order Date]],"mmm")</f>
        <v>Jul</v>
      </c>
      <c r="E1831" t="s">
        <v>20</v>
      </c>
      <c r="F1831" t="s">
        <v>25</v>
      </c>
      <c r="G1831" t="s">
        <v>32</v>
      </c>
      <c r="H1831" t="s">
        <v>35</v>
      </c>
      <c r="I1831" t="s">
        <v>50</v>
      </c>
      <c r="J1831" s="7">
        <v>753.55</v>
      </c>
      <c r="K1831" s="8">
        <v>3</v>
      </c>
      <c r="L1831" s="7">
        <v>-115.04</v>
      </c>
    </row>
    <row r="1832" spans="1:12" x14ac:dyDescent="0.2">
      <c r="A1832" s="2">
        <v>42936</v>
      </c>
      <c r="B1832" s="8">
        <f>YEAR(Sales_data[[#This Row],[Order Date]])</f>
        <v>2017</v>
      </c>
      <c r="C1832" s="8">
        <f>MONTH(Sales_data[[#This Row],[Order Date]])</f>
        <v>7</v>
      </c>
      <c r="D1832" s="8" t="str">
        <f>TEXT(Sales_data[[#This Row],[Order Date]],"mmm")</f>
        <v>Jul</v>
      </c>
      <c r="E1832" t="s">
        <v>16</v>
      </c>
      <c r="F1832" t="s">
        <v>30</v>
      </c>
      <c r="G1832" t="s">
        <v>34</v>
      </c>
      <c r="H1832" t="s">
        <v>43</v>
      </c>
      <c r="I1832" t="s">
        <v>47</v>
      </c>
      <c r="J1832" s="7">
        <v>1649.95</v>
      </c>
      <c r="K1832" s="8">
        <v>2</v>
      </c>
      <c r="L1832" s="7">
        <v>-144.55000000000001</v>
      </c>
    </row>
    <row r="1833" spans="1:12" x14ac:dyDescent="0.2">
      <c r="A1833" s="2">
        <v>42936</v>
      </c>
      <c r="B1833" s="8">
        <f>YEAR(Sales_data[[#This Row],[Order Date]])</f>
        <v>2017</v>
      </c>
      <c r="C1833" s="8">
        <f>MONTH(Sales_data[[#This Row],[Order Date]])</f>
        <v>7</v>
      </c>
      <c r="D1833" s="8" t="str">
        <f>TEXT(Sales_data[[#This Row],[Order Date]],"mmm")</f>
        <v>Jul</v>
      </c>
      <c r="E1833" t="s">
        <v>20</v>
      </c>
      <c r="F1833" t="s">
        <v>29</v>
      </c>
      <c r="G1833" t="s">
        <v>34</v>
      </c>
      <c r="H1833" t="s">
        <v>38</v>
      </c>
      <c r="I1833" t="s">
        <v>45</v>
      </c>
      <c r="J1833" s="7">
        <v>406.77</v>
      </c>
      <c r="K1833" s="8">
        <v>6</v>
      </c>
      <c r="L1833" s="7">
        <v>-70.5</v>
      </c>
    </row>
    <row r="1834" spans="1:12" x14ac:dyDescent="0.2">
      <c r="A1834" s="2">
        <v>42936</v>
      </c>
      <c r="B1834" s="8">
        <f>YEAR(Sales_data[[#This Row],[Order Date]])</f>
        <v>2017</v>
      </c>
      <c r="C1834" s="8">
        <f>MONTH(Sales_data[[#This Row],[Order Date]])</f>
        <v>7</v>
      </c>
      <c r="D1834" s="8" t="str">
        <f>TEXT(Sales_data[[#This Row],[Order Date]],"mmm")</f>
        <v>Jul</v>
      </c>
      <c r="E1834" t="s">
        <v>20</v>
      </c>
      <c r="F1834" t="s">
        <v>24</v>
      </c>
      <c r="G1834" t="s">
        <v>32</v>
      </c>
      <c r="H1834" t="s">
        <v>39</v>
      </c>
      <c r="I1834" t="s">
        <v>45</v>
      </c>
      <c r="J1834" s="7">
        <v>1912.48</v>
      </c>
      <c r="K1834" s="8">
        <v>5</v>
      </c>
      <c r="L1834" s="7">
        <v>48.62</v>
      </c>
    </row>
    <row r="1835" spans="1:12" x14ac:dyDescent="0.2">
      <c r="A1835" s="2">
        <v>42937</v>
      </c>
      <c r="B1835" s="8">
        <f>YEAR(Sales_data[[#This Row],[Order Date]])</f>
        <v>2017</v>
      </c>
      <c r="C1835" s="8">
        <f>MONTH(Sales_data[[#This Row],[Order Date]])</f>
        <v>7</v>
      </c>
      <c r="D1835" s="8" t="str">
        <f>TEXT(Sales_data[[#This Row],[Order Date]],"mmm")</f>
        <v>Jul</v>
      </c>
      <c r="E1835" t="s">
        <v>17</v>
      </c>
      <c r="F1835" t="s">
        <v>28</v>
      </c>
      <c r="G1835" t="s">
        <v>33</v>
      </c>
      <c r="H1835" t="s">
        <v>42</v>
      </c>
      <c r="I1835" t="s">
        <v>46</v>
      </c>
      <c r="J1835" s="7">
        <v>716.71</v>
      </c>
      <c r="K1835" s="8">
        <v>8</v>
      </c>
      <c r="L1835" s="7">
        <v>201.68</v>
      </c>
    </row>
    <row r="1836" spans="1:12" x14ac:dyDescent="0.2">
      <c r="A1836" s="2">
        <v>42938</v>
      </c>
      <c r="B1836" s="8">
        <f>YEAR(Sales_data[[#This Row],[Order Date]])</f>
        <v>2017</v>
      </c>
      <c r="C1836" s="8">
        <f>MONTH(Sales_data[[#This Row],[Order Date]])</f>
        <v>7</v>
      </c>
      <c r="D1836" s="8" t="str">
        <f>TEXT(Sales_data[[#This Row],[Order Date]],"mmm")</f>
        <v>Jul</v>
      </c>
      <c r="E1836" t="s">
        <v>15</v>
      </c>
      <c r="F1836" t="s">
        <v>22</v>
      </c>
      <c r="G1836" t="s">
        <v>34</v>
      </c>
      <c r="H1836" t="s">
        <v>35</v>
      </c>
      <c r="I1836" t="s">
        <v>49</v>
      </c>
      <c r="J1836" s="7">
        <v>288.69</v>
      </c>
      <c r="K1836" s="8">
        <v>2</v>
      </c>
      <c r="L1836" s="7">
        <v>103.15</v>
      </c>
    </row>
    <row r="1837" spans="1:12" x14ac:dyDescent="0.2">
      <c r="A1837" s="2">
        <v>42938</v>
      </c>
      <c r="B1837" s="8">
        <f>YEAR(Sales_data[[#This Row],[Order Date]])</f>
        <v>2017</v>
      </c>
      <c r="C1837" s="8">
        <f>MONTH(Sales_data[[#This Row],[Order Date]])</f>
        <v>7</v>
      </c>
      <c r="D1837" s="8" t="str">
        <f>TEXT(Sales_data[[#This Row],[Order Date]],"mmm")</f>
        <v>Jul</v>
      </c>
      <c r="E1837" t="s">
        <v>10</v>
      </c>
      <c r="F1837" t="s">
        <v>31</v>
      </c>
      <c r="G1837" t="s">
        <v>32</v>
      </c>
      <c r="H1837" t="s">
        <v>41</v>
      </c>
      <c r="I1837" t="s">
        <v>45</v>
      </c>
      <c r="J1837" s="7">
        <v>339.09</v>
      </c>
      <c r="K1837" s="8">
        <v>5</v>
      </c>
      <c r="L1837" s="7">
        <v>108.43</v>
      </c>
    </row>
    <row r="1838" spans="1:12" x14ac:dyDescent="0.2">
      <c r="A1838" s="2">
        <v>42939</v>
      </c>
      <c r="B1838" s="8">
        <f>YEAR(Sales_data[[#This Row],[Order Date]])</f>
        <v>2017</v>
      </c>
      <c r="C1838" s="8">
        <f>MONTH(Sales_data[[#This Row],[Order Date]])</f>
        <v>7</v>
      </c>
      <c r="D1838" s="8" t="str">
        <f>TEXT(Sales_data[[#This Row],[Order Date]],"mmm")</f>
        <v>Jul</v>
      </c>
      <c r="E1838" t="s">
        <v>17</v>
      </c>
      <c r="F1838" t="s">
        <v>22</v>
      </c>
      <c r="G1838" t="s">
        <v>32</v>
      </c>
      <c r="H1838" t="s">
        <v>39</v>
      </c>
      <c r="I1838" t="s">
        <v>44</v>
      </c>
      <c r="J1838" s="7">
        <v>1394.02</v>
      </c>
      <c r="K1838" s="8">
        <v>6</v>
      </c>
      <c r="L1838" s="7">
        <v>-83.64</v>
      </c>
    </row>
    <row r="1839" spans="1:12" x14ac:dyDescent="0.2">
      <c r="A1839" s="2">
        <v>42939</v>
      </c>
      <c r="B1839" s="8">
        <f>YEAR(Sales_data[[#This Row],[Order Date]])</f>
        <v>2017</v>
      </c>
      <c r="C1839" s="8">
        <f>MONTH(Sales_data[[#This Row],[Order Date]])</f>
        <v>7</v>
      </c>
      <c r="D1839" s="8" t="str">
        <f>TEXT(Sales_data[[#This Row],[Order Date]],"mmm")</f>
        <v>Jul</v>
      </c>
      <c r="E1839" t="s">
        <v>9</v>
      </c>
      <c r="F1839" t="s">
        <v>29</v>
      </c>
      <c r="G1839" t="s">
        <v>32</v>
      </c>
      <c r="H1839" t="s">
        <v>43</v>
      </c>
      <c r="I1839" t="s">
        <v>48</v>
      </c>
      <c r="J1839" s="7">
        <v>732.75</v>
      </c>
      <c r="K1839" s="8">
        <v>6</v>
      </c>
      <c r="L1839" s="7">
        <v>-59.83</v>
      </c>
    </row>
    <row r="1840" spans="1:12" x14ac:dyDescent="0.2">
      <c r="A1840" s="2">
        <v>42940</v>
      </c>
      <c r="B1840" s="8">
        <f>YEAR(Sales_data[[#This Row],[Order Date]])</f>
        <v>2017</v>
      </c>
      <c r="C1840" s="8">
        <f>MONTH(Sales_data[[#This Row],[Order Date]])</f>
        <v>7</v>
      </c>
      <c r="D1840" s="8" t="str">
        <f>TEXT(Sales_data[[#This Row],[Order Date]],"mmm")</f>
        <v>Jul</v>
      </c>
      <c r="E1840" t="s">
        <v>15</v>
      </c>
      <c r="F1840" t="s">
        <v>22</v>
      </c>
      <c r="G1840" t="s">
        <v>34</v>
      </c>
      <c r="H1840" t="s">
        <v>43</v>
      </c>
      <c r="I1840" t="s">
        <v>47</v>
      </c>
      <c r="J1840" s="7">
        <v>668.47</v>
      </c>
      <c r="K1840" s="8">
        <v>4</v>
      </c>
      <c r="L1840" s="7">
        <v>96.56</v>
      </c>
    </row>
    <row r="1841" spans="1:12" x14ac:dyDescent="0.2">
      <c r="A1841" s="2">
        <v>42941</v>
      </c>
      <c r="B1841" s="8">
        <f>YEAR(Sales_data[[#This Row],[Order Date]])</f>
        <v>2017</v>
      </c>
      <c r="C1841" s="8">
        <f>MONTH(Sales_data[[#This Row],[Order Date]])</f>
        <v>7</v>
      </c>
      <c r="D1841" s="8" t="str">
        <f>TEXT(Sales_data[[#This Row],[Order Date]],"mmm")</f>
        <v>Jul</v>
      </c>
      <c r="E1841" t="s">
        <v>11</v>
      </c>
      <c r="F1841" t="s">
        <v>26</v>
      </c>
      <c r="G1841" t="s">
        <v>34</v>
      </c>
      <c r="H1841" t="s">
        <v>40</v>
      </c>
      <c r="I1841" t="s">
        <v>52</v>
      </c>
      <c r="J1841" s="7">
        <v>530.89</v>
      </c>
      <c r="K1841" s="8">
        <v>4</v>
      </c>
      <c r="L1841" s="7">
        <v>-79.150000000000006</v>
      </c>
    </row>
    <row r="1842" spans="1:12" x14ac:dyDescent="0.2">
      <c r="A1842" s="2">
        <v>42942</v>
      </c>
      <c r="B1842" s="8">
        <f>YEAR(Sales_data[[#This Row],[Order Date]])</f>
        <v>2017</v>
      </c>
      <c r="C1842" s="8">
        <f>MONTH(Sales_data[[#This Row],[Order Date]])</f>
        <v>7</v>
      </c>
      <c r="D1842" s="8" t="str">
        <f>TEXT(Sales_data[[#This Row],[Order Date]],"mmm")</f>
        <v>Jul</v>
      </c>
      <c r="E1842" t="s">
        <v>20</v>
      </c>
      <c r="F1842" t="s">
        <v>25</v>
      </c>
      <c r="G1842" t="s">
        <v>33</v>
      </c>
      <c r="H1842" t="s">
        <v>40</v>
      </c>
      <c r="I1842" t="s">
        <v>52</v>
      </c>
      <c r="J1842" s="7">
        <v>1095.76</v>
      </c>
      <c r="K1842" s="8">
        <v>3</v>
      </c>
      <c r="L1842" s="7">
        <v>-120.46</v>
      </c>
    </row>
    <row r="1843" spans="1:12" x14ac:dyDescent="0.2">
      <c r="A1843" s="2">
        <v>42943</v>
      </c>
      <c r="B1843" s="8">
        <f>YEAR(Sales_data[[#This Row],[Order Date]])</f>
        <v>2017</v>
      </c>
      <c r="C1843" s="8">
        <f>MONTH(Sales_data[[#This Row],[Order Date]])</f>
        <v>7</v>
      </c>
      <c r="D1843" s="8" t="str">
        <f>TEXT(Sales_data[[#This Row],[Order Date]],"mmm")</f>
        <v>Jul</v>
      </c>
      <c r="E1843" t="s">
        <v>14</v>
      </c>
      <c r="F1843" t="s">
        <v>24</v>
      </c>
      <c r="G1843" t="s">
        <v>33</v>
      </c>
      <c r="H1843" t="s">
        <v>42</v>
      </c>
      <c r="I1843" t="s">
        <v>49</v>
      </c>
      <c r="J1843" s="7">
        <v>220.39</v>
      </c>
      <c r="K1843" s="8">
        <v>8</v>
      </c>
      <c r="L1843" s="7">
        <v>234.4</v>
      </c>
    </row>
    <row r="1844" spans="1:12" x14ac:dyDescent="0.2">
      <c r="A1844" s="2">
        <v>42943</v>
      </c>
      <c r="B1844" s="8">
        <f>YEAR(Sales_data[[#This Row],[Order Date]])</f>
        <v>2017</v>
      </c>
      <c r="C1844" s="8">
        <f>MONTH(Sales_data[[#This Row],[Order Date]])</f>
        <v>7</v>
      </c>
      <c r="D1844" s="8" t="str">
        <f>TEXT(Sales_data[[#This Row],[Order Date]],"mmm")</f>
        <v>Jul</v>
      </c>
      <c r="E1844" t="s">
        <v>21</v>
      </c>
      <c r="F1844" t="s">
        <v>24</v>
      </c>
      <c r="G1844" t="s">
        <v>34</v>
      </c>
      <c r="H1844" t="s">
        <v>38</v>
      </c>
      <c r="I1844" t="s">
        <v>52</v>
      </c>
      <c r="J1844" s="7">
        <v>1877.55</v>
      </c>
      <c r="K1844" s="8">
        <v>1</v>
      </c>
      <c r="L1844" s="7">
        <v>-166.43</v>
      </c>
    </row>
    <row r="1845" spans="1:12" x14ac:dyDescent="0.2">
      <c r="A1845" s="2">
        <v>42944</v>
      </c>
      <c r="B1845" s="8">
        <f>YEAR(Sales_data[[#This Row],[Order Date]])</f>
        <v>2017</v>
      </c>
      <c r="C1845" s="8">
        <f>MONTH(Sales_data[[#This Row],[Order Date]])</f>
        <v>7</v>
      </c>
      <c r="D1845" s="8" t="str">
        <f>TEXT(Sales_data[[#This Row],[Order Date]],"mmm")</f>
        <v>Jul</v>
      </c>
      <c r="E1845" t="s">
        <v>15</v>
      </c>
      <c r="F1845" t="s">
        <v>22</v>
      </c>
      <c r="G1845" t="s">
        <v>32</v>
      </c>
      <c r="H1845" t="s">
        <v>40</v>
      </c>
      <c r="I1845" t="s">
        <v>52</v>
      </c>
      <c r="J1845" s="7">
        <v>23.85</v>
      </c>
      <c r="K1845" s="8">
        <v>9</v>
      </c>
      <c r="L1845" s="7">
        <v>-75.56</v>
      </c>
    </row>
    <row r="1846" spans="1:12" x14ac:dyDescent="0.2">
      <c r="A1846" s="2">
        <v>42946</v>
      </c>
      <c r="B1846" s="8">
        <f>YEAR(Sales_data[[#This Row],[Order Date]])</f>
        <v>2017</v>
      </c>
      <c r="C1846" s="8">
        <f>MONTH(Sales_data[[#This Row],[Order Date]])</f>
        <v>7</v>
      </c>
      <c r="D1846" s="8" t="str">
        <f>TEXT(Sales_data[[#This Row],[Order Date]],"mmm")</f>
        <v>Jul</v>
      </c>
      <c r="E1846" t="s">
        <v>18</v>
      </c>
      <c r="F1846" t="s">
        <v>24</v>
      </c>
      <c r="G1846" t="s">
        <v>34</v>
      </c>
      <c r="H1846" t="s">
        <v>37</v>
      </c>
      <c r="I1846" t="s">
        <v>45</v>
      </c>
      <c r="J1846" s="7">
        <v>726.68</v>
      </c>
      <c r="K1846" s="8">
        <v>3</v>
      </c>
      <c r="L1846" s="7">
        <v>-112.59</v>
      </c>
    </row>
    <row r="1847" spans="1:12" x14ac:dyDescent="0.2">
      <c r="A1847" s="2">
        <v>42946</v>
      </c>
      <c r="B1847" s="8">
        <f>YEAR(Sales_data[[#This Row],[Order Date]])</f>
        <v>2017</v>
      </c>
      <c r="C1847" s="8">
        <f>MONTH(Sales_data[[#This Row],[Order Date]])</f>
        <v>7</v>
      </c>
      <c r="D1847" s="8" t="str">
        <f>TEXT(Sales_data[[#This Row],[Order Date]],"mmm")</f>
        <v>Jul</v>
      </c>
      <c r="E1847" t="s">
        <v>19</v>
      </c>
      <c r="F1847" t="s">
        <v>22</v>
      </c>
      <c r="G1847" t="s">
        <v>32</v>
      </c>
      <c r="H1847" t="s">
        <v>41</v>
      </c>
      <c r="I1847" t="s">
        <v>46</v>
      </c>
      <c r="J1847" s="7">
        <v>1783.08</v>
      </c>
      <c r="K1847" s="8">
        <v>5</v>
      </c>
      <c r="L1847" s="7">
        <v>75.59</v>
      </c>
    </row>
    <row r="1848" spans="1:12" x14ac:dyDescent="0.2">
      <c r="A1848" s="2">
        <v>42946</v>
      </c>
      <c r="B1848" s="8">
        <f>YEAR(Sales_data[[#This Row],[Order Date]])</f>
        <v>2017</v>
      </c>
      <c r="C1848" s="8">
        <f>MONTH(Sales_data[[#This Row],[Order Date]])</f>
        <v>7</v>
      </c>
      <c r="D1848" s="8" t="str">
        <f>TEXT(Sales_data[[#This Row],[Order Date]],"mmm")</f>
        <v>Jul</v>
      </c>
      <c r="E1848" t="s">
        <v>12</v>
      </c>
      <c r="F1848" t="s">
        <v>29</v>
      </c>
      <c r="G1848" t="s">
        <v>32</v>
      </c>
      <c r="H1848" t="s">
        <v>36</v>
      </c>
      <c r="I1848" t="s">
        <v>47</v>
      </c>
      <c r="J1848" s="7">
        <v>1552.63</v>
      </c>
      <c r="K1848" s="8">
        <v>4</v>
      </c>
      <c r="L1848" s="7">
        <v>305.47000000000003</v>
      </c>
    </row>
    <row r="1849" spans="1:12" x14ac:dyDescent="0.2">
      <c r="A1849" s="2">
        <v>42947</v>
      </c>
      <c r="B1849" s="8">
        <f>YEAR(Sales_data[[#This Row],[Order Date]])</f>
        <v>2017</v>
      </c>
      <c r="C1849" s="8">
        <f>MONTH(Sales_data[[#This Row],[Order Date]])</f>
        <v>7</v>
      </c>
      <c r="D1849" s="8" t="str">
        <f>TEXT(Sales_data[[#This Row],[Order Date]],"mmm")</f>
        <v>Jul</v>
      </c>
      <c r="E1849" t="s">
        <v>19</v>
      </c>
      <c r="F1849" t="s">
        <v>31</v>
      </c>
      <c r="G1849" t="s">
        <v>34</v>
      </c>
      <c r="H1849" t="s">
        <v>35</v>
      </c>
      <c r="I1849" t="s">
        <v>46</v>
      </c>
      <c r="J1849" s="7">
        <v>371.2</v>
      </c>
      <c r="K1849" s="8">
        <v>8</v>
      </c>
      <c r="L1849" s="7">
        <v>-97.46</v>
      </c>
    </row>
    <row r="1850" spans="1:12" x14ac:dyDescent="0.2">
      <c r="A1850" s="2">
        <v>42948</v>
      </c>
      <c r="B1850" s="8">
        <f>YEAR(Sales_data[[#This Row],[Order Date]])</f>
        <v>2017</v>
      </c>
      <c r="C1850" s="8">
        <f>MONTH(Sales_data[[#This Row],[Order Date]])</f>
        <v>8</v>
      </c>
      <c r="D1850" s="8" t="str">
        <f>TEXT(Sales_data[[#This Row],[Order Date]],"mmm")</f>
        <v>Aug</v>
      </c>
      <c r="E1850" t="s">
        <v>10</v>
      </c>
      <c r="F1850" t="s">
        <v>30</v>
      </c>
      <c r="G1850" t="s">
        <v>33</v>
      </c>
      <c r="H1850" t="s">
        <v>37</v>
      </c>
      <c r="I1850" t="s">
        <v>51</v>
      </c>
      <c r="J1850" s="7">
        <v>117.26</v>
      </c>
      <c r="K1850" s="8">
        <v>2</v>
      </c>
      <c r="L1850" s="7">
        <v>148.78</v>
      </c>
    </row>
    <row r="1851" spans="1:12" x14ac:dyDescent="0.2">
      <c r="A1851" s="2">
        <v>42950</v>
      </c>
      <c r="B1851" s="8">
        <f>YEAR(Sales_data[[#This Row],[Order Date]])</f>
        <v>2017</v>
      </c>
      <c r="C1851" s="8">
        <f>MONTH(Sales_data[[#This Row],[Order Date]])</f>
        <v>8</v>
      </c>
      <c r="D1851" s="8" t="str">
        <f>TEXT(Sales_data[[#This Row],[Order Date]],"mmm")</f>
        <v>Aug</v>
      </c>
      <c r="E1851" t="s">
        <v>12</v>
      </c>
      <c r="F1851" t="s">
        <v>28</v>
      </c>
      <c r="G1851" t="s">
        <v>33</v>
      </c>
      <c r="H1851" t="s">
        <v>40</v>
      </c>
      <c r="I1851" t="s">
        <v>52</v>
      </c>
      <c r="J1851" s="7">
        <v>1321.3</v>
      </c>
      <c r="K1851" s="8">
        <v>4</v>
      </c>
      <c r="L1851" s="7">
        <v>176.68</v>
      </c>
    </row>
    <row r="1852" spans="1:12" x14ac:dyDescent="0.2">
      <c r="A1852" s="2">
        <v>42951</v>
      </c>
      <c r="B1852" s="8">
        <f>YEAR(Sales_data[[#This Row],[Order Date]])</f>
        <v>2017</v>
      </c>
      <c r="C1852" s="8">
        <f>MONTH(Sales_data[[#This Row],[Order Date]])</f>
        <v>8</v>
      </c>
      <c r="D1852" s="8" t="str">
        <f>TEXT(Sales_data[[#This Row],[Order Date]],"mmm")</f>
        <v>Aug</v>
      </c>
      <c r="E1852" t="s">
        <v>11</v>
      </c>
      <c r="F1852" t="s">
        <v>26</v>
      </c>
      <c r="G1852" t="s">
        <v>33</v>
      </c>
      <c r="H1852" t="s">
        <v>43</v>
      </c>
      <c r="I1852" t="s">
        <v>46</v>
      </c>
      <c r="J1852" s="7">
        <v>766.59</v>
      </c>
      <c r="K1852" s="8">
        <v>5</v>
      </c>
      <c r="L1852" s="7">
        <v>256.92</v>
      </c>
    </row>
    <row r="1853" spans="1:12" x14ac:dyDescent="0.2">
      <c r="A1853" s="2">
        <v>42953</v>
      </c>
      <c r="B1853" s="8">
        <f>YEAR(Sales_data[[#This Row],[Order Date]])</f>
        <v>2017</v>
      </c>
      <c r="C1853" s="8">
        <f>MONTH(Sales_data[[#This Row],[Order Date]])</f>
        <v>8</v>
      </c>
      <c r="D1853" s="8" t="str">
        <f>TEXT(Sales_data[[#This Row],[Order Date]],"mmm")</f>
        <v>Aug</v>
      </c>
      <c r="E1853" t="s">
        <v>12</v>
      </c>
      <c r="F1853" t="s">
        <v>27</v>
      </c>
      <c r="G1853" t="s">
        <v>34</v>
      </c>
      <c r="H1853" t="s">
        <v>37</v>
      </c>
      <c r="I1853" t="s">
        <v>53</v>
      </c>
      <c r="J1853" s="7">
        <v>1346.31</v>
      </c>
      <c r="K1853" s="8">
        <v>2</v>
      </c>
      <c r="L1853" s="7">
        <v>-101.09</v>
      </c>
    </row>
    <row r="1854" spans="1:12" x14ac:dyDescent="0.2">
      <c r="A1854" s="2">
        <v>42953</v>
      </c>
      <c r="B1854" s="8">
        <f>YEAR(Sales_data[[#This Row],[Order Date]])</f>
        <v>2017</v>
      </c>
      <c r="C1854" s="8">
        <f>MONTH(Sales_data[[#This Row],[Order Date]])</f>
        <v>8</v>
      </c>
      <c r="D1854" s="8" t="str">
        <f>TEXT(Sales_data[[#This Row],[Order Date]],"mmm")</f>
        <v>Aug</v>
      </c>
      <c r="E1854" t="s">
        <v>11</v>
      </c>
      <c r="F1854" t="s">
        <v>27</v>
      </c>
      <c r="G1854" t="s">
        <v>32</v>
      </c>
      <c r="H1854" t="s">
        <v>40</v>
      </c>
      <c r="I1854" t="s">
        <v>45</v>
      </c>
      <c r="J1854" s="7">
        <v>510.51</v>
      </c>
      <c r="K1854" s="8">
        <v>5</v>
      </c>
      <c r="L1854" s="7">
        <v>329.36</v>
      </c>
    </row>
    <row r="1855" spans="1:12" x14ac:dyDescent="0.2">
      <c r="A1855" s="2">
        <v>42954</v>
      </c>
      <c r="B1855" s="8">
        <f>YEAR(Sales_data[[#This Row],[Order Date]])</f>
        <v>2017</v>
      </c>
      <c r="C1855" s="8">
        <f>MONTH(Sales_data[[#This Row],[Order Date]])</f>
        <v>8</v>
      </c>
      <c r="D1855" s="8" t="str">
        <f>TEXT(Sales_data[[#This Row],[Order Date]],"mmm")</f>
        <v>Aug</v>
      </c>
      <c r="E1855" t="s">
        <v>11</v>
      </c>
      <c r="F1855" t="s">
        <v>29</v>
      </c>
      <c r="G1855" t="s">
        <v>32</v>
      </c>
      <c r="H1855" t="s">
        <v>35</v>
      </c>
      <c r="I1855" t="s">
        <v>46</v>
      </c>
      <c r="J1855" s="7">
        <v>99.06</v>
      </c>
      <c r="K1855" s="8">
        <v>5</v>
      </c>
      <c r="L1855" s="7">
        <v>330.65</v>
      </c>
    </row>
    <row r="1856" spans="1:12" x14ac:dyDescent="0.2">
      <c r="A1856" s="2">
        <v>42955</v>
      </c>
      <c r="B1856" s="8">
        <f>YEAR(Sales_data[[#This Row],[Order Date]])</f>
        <v>2017</v>
      </c>
      <c r="C1856" s="8">
        <f>MONTH(Sales_data[[#This Row],[Order Date]])</f>
        <v>8</v>
      </c>
      <c r="D1856" s="8" t="str">
        <f>TEXT(Sales_data[[#This Row],[Order Date]],"mmm")</f>
        <v>Aug</v>
      </c>
      <c r="E1856" t="s">
        <v>14</v>
      </c>
      <c r="F1856" t="s">
        <v>23</v>
      </c>
      <c r="G1856" t="s">
        <v>32</v>
      </c>
      <c r="H1856" t="s">
        <v>43</v>
      </c>
      <c r="I1856" t="s">
        <v>47</v>
      </c>
      <c r="J1856" s="7">
        <v>1837.2</v>
      </c>
      <c r="K1856" s="8">
        <v>7</v>
      </c>
      <c r="L1856" s="7">
        <v>-36.840000000000003</v>
      </c>
    </row>
    <row r="1857" spans="1:12" x14ac:dyDescent="0.2">
      <c r="A1857" s="2">
        <v>42957</v>
      </c>
      <c r="B1857" s="8">
        <f>YEAR(Sales_data[[#This Row],[Order Date]])</f>
        <v>2017</v>
      </c>
      <c r="C1857" s="8">
        <f>MONTH(Sales_data[[#This Row],[Order Date]])</f>
        <v>8</v>
      </c>
      <c r="D1857" s="8" t="str">
        <f>TEXT(Sales_data[[#This Row],[Order Date]],"mmm")</f>
        <v>Aug</v>
      </c>
      <c r="E1857" t="s">
        <v>15</v>
      </c>
      <c r="F1857" t="s">
        <v>29</v>
      </c>
      <c r="G1857" t="s">
        <v>32</v>
      </c>
      <c r="H1857" t="s">
        <v>38</v>
      </c>
      <c r="I1857" t="s">
        <v>44</v>
      </c>
      <c r="J1857" s="7">
        <v>237.92</v>
      </c>
      <c r="K1857" s="8">
        <v>9</v>
      </c>
      <c r="L1857" s="7">
        <v>112.66</v>
      </c>
    </row>
    <row r="1858" spans="1:12" x14ac:dyDescent="0.2">
      <c r="A1858" s="2">
        <v>42957</v>
      </c>
      <c r="B1858" s="8">
        <f>YEAR(Sales_data[[#This Row],[Order Date]])</f>
        <v>2017</v>
      </c>
      <c r="C1858" s="8">
        <f>MONTH(Sales_data[[#This Row],[Order Date]])</f>
        <v>8</v>
      </c>
      <c r="D1858" s="8" t="str">
        <f>TEXT(Sales_data[[#This Row],[Order Date]],"mmm")</f>
        <v>Aug</v>
      </c>
      <c r="E1858" t="s">
        <v>11</v>
      </c>
      <c r="F1858" t="s">
        <v>25</v>
      </c>
      <c r="G1858" t="s">
        <v>34</v>
      </c>
      <c r="H1858" t="s">
        <v>36</v>
      </c>
      <c r="I1858" t="s">
        <v>52</v>
      </c>
      <c r="J1858" s="7">
        <v>811.2</v>
      </c>
      <c r="K1858" s="8">
        <v>7</v>
      </c>
      <c r="L1858" s="7">
        <v>-13.6</v>
      </c>
    </row>
    <row r="1859" spans="1:12" x14ac:dyDescent="0.2">
      <c r="A1859" s="2">
        <v>42957</v>
      </c>
      <c r="B1859" s="8">
        <f>YEAR(Sales_data[[#This Row],[Order Date]])</f>
        <v>2017</v>
      </c>
      <c r="C1859" s="8">
        <f>MONTH(Sales_data[[#This Row],[Order Date]])</f>
        <v>8</v>
      </c>
      <c r="D1859" s="8" t="str">
        <f>TEXT(Sales_data[[#This Row],[Order Date]],"mmm")</f>
        <v>Aug</v>
      </c>
      <c r="E1859" t="s">
        <v>13</v>
      </c>
      <c r="F1859" t="s">
        <v>24</v>
      </c>
      <c r="G1859" t="s">
        <v>32</v>
      </c>
      <c r="H1859" t="s">
        <v>40</v>
      </c>
      <c r="I1859" t="s">
        <v>48</v>
      </c>
      <c r="J1859" s="7">
        <v>995.16</v>
      </c>
      <c r="K1859" s="8">
        <v>3</v>
      </c>
      <c r="L1859" s="7">
        <v>384.8</v>
      </c>
    </row>
    <row r="1860" spans="1:12" x14ac:dyDescent="0.2">
      <c r="A1860" s="2">
        <v>42957</v>
      </c>
      <c r="B1860" s="8">
        <f>YEAR(Sales_data[[#This Row],[Order Date]])</f>
        <v>2017</v>
      </c>
      <c r="C1860" s="8">
        <f>MONTH(Sales_data[[#This Row],[Order Date]])</f>
        <v>8</v>
      </c>
      <c r="D1860" s="8" t="str">
        <f>TEXT(Sales_data[[#This Row],[Order Date]],"mmm")</f>
        <v>Aug</v>
      </c>
      <c r="E1860" t="s">
        <v>13</v>
      </c>
      <c r="F1860" t="s">
        <v>26</v>
      </c>
      <c r="G1860" t="s">
        <v>32</v>
      </c>
      <c r="H1860" t="s">
        <v>41</v>
      </c>
      <c r="I1860" t="s">
        <v>47</v>
      </c>
      <c r="J1860" s="7">
        <v>887.3</v>
      </c>
      <c r="K1860" s="8">
        <v>8</v>
      </c>
      <c r="L1860" s="7">
        <v>302.88</v>
      </c>
    </row>
    <row r="1861" spans="1:12" x14ac:dyDescent="0.2">
      <c r="A1861" s="2">
        <v>42958</v>
      </c>
      <c r="B1861" s="8">
        <f>YEAR(Sales_data[[#This Row],[Order Date]])</f>
        <v>2017</v>
      </c>
      <c r="C1861" s="8">
        <f>MONTH(Sales_data[[#This Row],[Order Date]])</f>
        <v>8</v>
      </c>
      <c r="D1861" s="8" t="str">
        <f>TEXT(Sales_data[[#This Row],[Order Date]],"mmm")</f>
        <v>Aug</v>
      </c>
      <c r="E1861" t="s">
        <v>15</v>
      </c>
      <c r="F1861" t="s">
        <v>28</v>
      </c>
      <c r="G1861" t="s">
        <v>34</v>
      </c>
      <c r="H1861" t="s">
        <v>40</v>
      </c>
      <c r="I1861" t="s">
        <v>48</v>
      </c>
      <c r="J1861" s="7">
        <v>1038.1600000000001</v>
      </c>
      <c r="K1861" s="8">
        <v>5</v>
      </c>
      <c r="L1861" s="7">
        <v>-89.48</v>
      </c>
    </row>
    <row r="1862" spans="1:12" x14ac:dyDescent="0.2">
      <c r="A1862" s="2">
        <v>42958</v>
      </c>
      <c r="B1862" s="8">
        <f>YEAR(Sales_data[[#This Row],[Order Date]])</f>
        <v>2017</v>
      </c>
      <c r="C1862" s="8">
        <f>MONTH(Sales_data[[#This Row],[Order Date]])</f>
        <v>8</v>
      </c>
      <c r="D1862" s="8" t="str">
        <f>TEXT(Sales_data[[#This Row],[Order Date]],"mmm")</f>
        <v>Aug</v>
      </c>
      <c r="E1862" t="s">
        <v>17</v>
      </c>
      <c r="F1862" t="s">
        <v>25</v>
      </c>
      <c r="G1862" t="s">
        <v>34</v>
      </c>
      <c r="H1862" t="s">
        <v>36</v>
      </c>
      <c r="I1862" t="s">
        <v>53</v>
      </c>
      <c r="J1862" s="7">
        <v>614.4</v>
      </c>
      <c r="K1862" s="8">
        <v>1</v>
      </c>
      <c r="L1862" s="7">
        <v>-130.63</v>
      </c>
    </row>
    <row r="1863" spans="1:12" x14ac:dyDescent="0.2">
      <c r="A1863" s="2">
        <v>42958</v>
      </c>
      <c r="B1863" s="8">
        <f>YEAR(Sales_data[[#This Row],[Order Date]])</f>
        <v>2017</v>
      </c>
      <c r="C1863" s="8">
        <f>MONTH(Sales_data[[#This Row],[Order Date]])</f>
        <v>8</v>
      </c>
      <c r="D1863" s="8" t="str">
        <f>TEXT(Sales_data[[#This Row],[Order Date]],"mmm")</f>
        <v>Aug</v>
      </c>
      <c r="E1863" t="s">
        <v>21</v>
      </c>
      <c r="F1863" t="s">
        <v>23</v>
      </c>
      <c r="G1863" t="s">
        <v>33</v>
      </c>
      <c r="H1863" t="s">
        <v>40</v>
      </c>
      <c r="I1863" t="s">
        <v>47</v>
      </c>
      <c r="J1863" s="7">
        <v>721.7</v>
      </c>
      <c r="K1863" s="8">
        <v>8</v>
      </c>
      <c r="L1863" s="7">
        <v>-76</v>
      </c>
    </row>
    <row r="1864" spans="1:12" x14ac:dyDescent="0.2">
      <c r="A1864" s="2">
        <v>42960</v>
      </c>
      <c r="B1864" s="8">
        <f>YEAR(Sales_data[[#This Row],[Order Date]])</f>
        <v>2017</v>
      </c>
      <c r="C1864" s="8">
        <f>MONTH(Sales_data[[#This Row],[Order Date]])</f>
        <v>8</v>
      </c>
      <c r="D1864" s="8" t="str">
        <f>TEXT(Sales_data[[#This Row],[Order Date]],"mmm")</f>
        <v>Aug</v>
      </c>
      <c r="E1864" t="s">
        <v>17</v>
      </c>
      <c r="F1864" t="s">
        <v>23</v>
      </c>
      <c r="G1864" t="s">
        <v>33</v>
      </c>
      <c r="H1864" t="s">
        <v>36</v>
      </c>
      <c r="I1864" t="s">
        <v>48</v>
      </c>
      <c r="J1864" s="7">
        <v>1856.52</v>
      </c>
      <c r="K1864" s="8">
        <v>7</v>
      </c>
      <c r="L1864" s="7">
        <v>186.08</v>
      </c>
    </row>
    <row r="1865" spans="1:12" x14ac:dyDescent="0.2">
      <c r="A1865" s="2">
        <v>42961</v>
      </c>
      <c r="B1865" s="8">
        <f>YEAR(Sales_data[[#This Row],[Order Date]])</f>
        <v>2017</v>
      </c>
      <c r="C1865" s="8">
        <f>MONTH(Sales_data[[#This Row],[Order Date]])</f>
        <v>8</v>
      </c>
      <c r="D1865" s="8" t="str">
        <f>TEXT(Sales_data[[#This Row],[Order Date]],"mmm")</f>
        <v>Aug</v>
      </c>
      <c r="E1865" t="s">
        <v>14</v>
      </c>
      <c r="F1865" t="s">
        <v>26</v>
      </c>
      <c r="G1865" t="s">
        <v>34</v>
      </c>
      <c r="H1865" t="s">
        <v>40</v>
      </c>
      <c r="I1865" t="s">
        <v>50</v>
      </c>
      <c r="J1865" s="7">
        <v>1470.5</v>
      </c>
      <c r="K1865" s="8">
        <v>3</v>
      </c>
      <c r="L1865" s="7">
        <v>274.49</v>
      </c>
    </row>
    <row r="1866" spans="1:12" x14ac:dyDescent="0.2">
      <c r="A1866" s="2">
        <v>42961</v>
      </c>
      <c r="B1866" s="8">
        <f>YEAR(Sales_data[[#This Row],[Order Date]])</f>
        <v>2017</v>
      </c>
      <c r="C1866" s="8">
        <f>MONTH(Sales_data[[#This Row],[Order Date]])</f>
        <v>8</v>
      </c>
      <c r="D1866" s="8" t="str">
        <f>TEXT(Sales_data[[#This Row],[Order Date]],"mmm")</f>
        <v>Aug</v>
      </c>
      <c r="E1866" t="s">
        <v>19</v>
      </c>
      <c r="F1866" t="s">
        <v>31</v>
      </c>
      <c r="G1866" t="s">
        <v>34</v>
      </c>
      <c r="H1866" t="s">
        <v>43</v>
      </c>
      <c r="I1866" t="s">
        <v>47</v>
      </c>
      <c r="J1866" s="7">
        <v>1568.04</v>
      </c>
      <c r="K1866" s="8">
        <v>4</v>
      </c>
      <c r="L1866" s="7">
        <v>42.6</v>
      </c>
    </row>
    <row r="1867" spans="1:12" x14ac:dyDescent="0.2">
      <c r="A1867" s="2">
        <v>42962</v>
      </c>
      <c r="B1867" s="8">
        <f>YEAR(Sales_data[[#This Row],[Order Date]])</f>
        <v>2017</v>
      </c>
      <c r="C1867" s="8">
        <f>MONTH(Sales_data[[#This Row],[Order Date]])</f>
        <v>8</v>
      </c>
      <c r="D1867" s="8" t="str">
        <f>TEXT(Sales_data[[#This Row],[Order Date]],"mmm")</f>
        <v>Aug</v>
      </c>
      <c r="E1867" t="s">
        <v>14</v>
      </c>
      <c r="F1867" t="s">
        <v>31</v>
      </c>
      <c r="G1867" t="s">
        <v>33</v>
      </c>
      <c r="H1867" t="s">
        <v>42</v>
      </c>
      <c r="I1867" t="s">
        <v>51</v>
      </c>
      <c r="J1867" s="7">
        <v>947.63</v>
      </c>
      <c r="K1867" s="8">
        <v>5</v>
      </c>
      <c r="L1867" s="7">
        <v>355.96</v>
      </c>
    </row>
    <row r="1868" spans="1:12" x14ac:dyDescent="0.2">
      <c r="A1868" s="2">
        <v>42962</v>
      </c>
      <c r="B1868" s="8">
        <f>YEAR(Sales_data[[#This Row],[Order Date]])</f>
        <v>2017</v>
      </c>
      <c r="C1868" s="8">
        <f>MONTH(Sales_data[[#This Row],[Order Date]])</f>
        <v>8</v>
      </c>
      <c r="D1868" s="8" t="str">
        <f>TEXT(Sales_data[[#This Row],[Order Date]],"mmm")</f>
        <v>Aug</v>
      </c>
      <c r="E1868" t="s">
        <v>14</v>
      </c>
      <c r="F1868" t="s">
        <v>26</v>
      </c>
      <c r="G1868" t="s">
        <v>34</v>
      </c>
      <c r="H1868" t="s">
        <v>39</v>
      </c>
      <c r="I1868" t="s">
        <v>44</v>
      </c>
      <c r="J1868" s="7">
        <v>1300.58</v>
      </c>
      <c r="K1868" s="8">
        <v>8</v>
      </c>
      <c r="L1868" s="7">
        <v>-85.23</v>
      </c>
    </row>
    <row r="1869" spans="1:12" x14ac:dyDescent="0.2">
      <c r="A1869" s="2">
        <v>42962</v>
      </c>
      <c r="B1869" s="8">
        <f>YEAR(Sales_data[[#This Row],[Order Date]])</f>
        <v>2017</v>
      </c>
      <c r="C1869" s="8">
        <f>MONTH(Sales_data[[#This Row],[Order Date]])</f>
        <v>8</v>
      </c>
      <c r="D1869" s="8" t="str">
        <f>TEXT(Sales_data[[#This Row],[Order Date]],"mmm")</f>
        <v>Aug</v>
      </c>
      <c r="E1869" t="s">
        <v>14</v>
      </c>
      <c r="F1869" t="s">
        <v>29</v>
      </c>
      <c r="G1869" t="s">
        <v>33</v>
      </c>
      <c r="H1869" t="s">
        <v>35</v>
      </c>
      <c r="I1869" t="s">
        <v>53</v>
      </c>
      <c r="J1869" s="7">
        <v>1753.86</v>
      </c>
      <c r="K1869" s="8">
        <v>8</v>
      </c>
      <c r="L1869" s="7">
        <v>83.52</v>
      </c>
    </row>
    <row r="1870" spans="1:12" x14ac:dyDescent="0.2">
      <c r="A1870" s="2">
        <v>42962</v>
      </c>
      <c r="B1870" s="8">
        <f>YEAR(Sales_data[[#This Row],[Order Date]])</f>
        <v>2017</v>
      </c>
      <c r="C1870" s="8">
        <f>MONTH(Sales_data[[#This Row],[Order Date]])</f>
        <v>8</v>
      </c>
      <c r="D1870" s="8" t="str">
        <f>TEXT(Sales_data[[#This Row],[Order Date]],"mmm")</f>
        <v>Aug</v>
      </c>
      <c r="E1870" t="s">
        <v>21</v>
      </c>
      <c r="F1870" t="s">
        <v>25</v>
      </c>
      <c r="G1870" t="s">
        <v>33</v>
      </c>
      <c r="H1870" t="s">
        <v>42</v>
      </c>
      <c r="I1870" t="s">
        <v>45</v>
      </c>
      <c r="J1870" s="7">
        <v>1135.8499999999999</v>
      </c>
      <c r="K1870" s="8">
        <v>6</v>
      </c>
      <c r="L1870" s="7">
        <v>28.8</v>
      </c>
    </row>
    <row r="1871" spans="1:12" x14ac:dyDescent="0.2">
      <c r="A1871" s="2">
        <v>42963</v>
      </c>
      <c r="B1871" s="8">
        <f>YEAR(Sales_data[[#This Row],[Order Date]])</f>
        <v>2017</v>
      </c>
      <c r="C1871" s="8">
        <f>MONTH(Sales_data[[#This Row],[Order Date]])</f>
        <v>8</v>
      </c>
      <c r="D1871" s="8" t="str">
        <f>TEXT(Sales_data[[#This Row],[Order Date]],"mmm")</f>
        <v>Aug</v>
      </c>
      <c r="E1871" t="s">
        <v>14</v>
      </c>
      <c r="F1871" t="s">
        <v>24</v>
      </c>
      <c r="G1871" t="s">
        <v>33</v>
      </c>
      <c r="H1871" t="s">
        <v>40</v>
      </c>
      <c r="I1871" t="s">
        <v>44</v>
      </c>
      <c r="J1871" s="7">
        <v>1407.17</v>
      </c>
      <c r="K1871" s="8">
        <v>6</v>
      </c>
      <c r="L1871" s="7">
        <v>217.3</v>
      </c>
    </row>
    <row r="1872" spans="1:12" x14ac:dyDescent="0.2">
      <c r="A1872" s="2">
        <v>42963</v>
      </c>
      <c r="B1872" s="8">
        <f>YEAR(Sales_data[[#This Row],[Order Date]])</f>
        <v>2017</v>
      </c>
      <c r="C1872" s="8">
        <f>MONTH(Sales_data[[#This Row],[Order Date]])</f>
        <v>8</v>
      </c>
      <c r="D1872" s="8" t="str">
        <f>TEXT(Sales_data[[#This Row],[Order Date]],"mmm")</f>
        <v>Aug</v>
      </c>
      <c r="E1872" t="s">
        <v>17</v>
      </c>
      <c r="F1872" t="s">
        <v>29</v>
      </c>
      <c r="G1872" t="s">
        <v>33</v>
      </c>
      <c r="H1872" t="s">
        <v>41</v>
      </c>
      <c r="I1872" t="s">
        <v>44</v>
      </c>
      <c r="J1872" s="7">
        <v>1255.43</v>
      </c>
      <c r="K1872" s="8">
        <v>8</v>
      </c>
      <c r="L1872" s="7">
        <v>-166.62</v>
      </c>
    </row>
    <row r="1873" spans="1:12" x14ac:dyDescent="0.2">
      <c r="A1873" s="2">
        <v>42964</v>
      </c>
      <c r="B1873" s="8">
        <f>YEAR(Sales_data[[#This Row],[Order Date]])</f>
        <v>2017</v>
      </c>
      <c r="C1873" s="8">
        <f>MONTH(Sales_data[[#This Row],[Order Date]])</f>
        <v>8</v>
      </c>
      <c r="D1873" s="8" t="str">
        <f>TEXT(Sales_data[[#This Row],[Order Date]],"mmm")</f>
        <v>Aug</v>
      </c>
      <c r="E1873" t="s">
        <v>9</v>
      </c>
      <c r="F1873" t="s">
        <v>29</v>
      </c>
      <c r="G1873" t="s">
        <v>34</v>
      </c>
      <c r="H1873" t="s">
        <v>41</v>
      </c>
      <c r="I1873" t="s">
        <v>52</v>
      </c>
      <c r="J1873" s="7">
        <v>1850</v>
      </c>
      <c r="K1873" s="8">
        <v>9</v>
      </c>
      <c r="L1873" s="7">
        <v>70.569999999999993</v>
      </c>
    </row>
    <row r="1874" spans="1:12" x14ac:dyDescent="0.2">
      <c r="A1874" s="2">
        <v>42967</v>
      </c>
      <c r="B1874" s="8">
        <f>YEAR(Sales_data[[#This Row],[Order Date]])</f>
        <v>2017</v>
      </c>
      <c r="C1874" s="8">
        <f>MONTH(Sales_data[[#This Row],[Order Date]])</f>
        <v>8</v>
      </c>
      <c r="D1874" s="8" t="str">
        <f>TEXT(Sales_data[[#This Row],[Order Date]],"mmm")</f>
        <v>Aug</v>
      </c>
      <c r="E1874" t="s">
        <v>18</v>
      </c>
      <c r="F1874" t="s">
        <v>24</v>
      </c>
      <c r="G1874" t="s">
        <v>32</v>
      </c>
      <c r="H1874" t="s">
        <v>39</v>
      </c>
      <c r="I1874" t="s">
        <v>44</v>
      </c>
      <c r="J1874" s="7">
        <v>312.77</v>
      </c>
      <c r="K1874" s="8">
        <v>5</v>
      </c>
      <c r="L1874" s="7">
        <v>357.69</v>
      </c>
    </row>
    <row r="1875" spans="1:12" x14ac:dyDescent="0.2">
      <c r="A1875" s="2">
        <v>42968</v>
      </c>
      <c r="B1875" s="8">
        <f>YEAR(Sales_data[[#This Row],[Order Date]])</f>
        <v>2017</v>
      </c>
      <c r="C1875" s="8">
        <f>MONTH(Sales_data[[#This Row],[Order Date]])</f>
        <v>8</v>
      </c>
      <c r="D1875" s="8" t="str">
        <f>TEXT(Sales_data[[#This Row],[Order Date]],"mmm")</f>
        <v>Aug</v>
      </c>
      <c r="E1875" t="s">
        <v>13</v>
      </c>
      <c r="F1875" t="s">
        <v>26</v>
      </c>
      <c r="G1875" t="s">
        <v>32</v>
      </c>
      <c r="H1875" t="s">
        <v>35</v>
      </c>
      <c r="I1875" t="s">
        <v>53</v>
      </c>
      <c r="J1875" s="7">
        <v>1448</v>
      </c>
      <c r="K1875" s="8">
        <v>6</v>
      </c>
      <c r="L1875" s="7">
        <v>-56.11</v>
      </c>
    </row>
    <row r="1876" spans="1:12" x14ac:dyDescent="0.2">
      <c r="A1876" s="2">
        <v>42968</v>
      </c>
      <c r="B1876" s="8">
        <f>YEAR(Sales_data[[#This Row],[Order Date]])</f>
        <v>2017</v>
      </c>
      <c r="C1876" s="8">
        <f>MONTH(Sales_data[[#This Row],[Order Date]])</f>
        <v>8</v>
      </c>
      <c r="D1876" s="8" t="str">
        <f>TEXT(Sales_data[[#This Row],[Order Date]],"mmm")</f>
        <v>Aug</v>
      </c>
      <c r="E1876" t="s">
        <v>19</v>
      </c>
      <c r="F1876" t="s">
        <v>22</v>
      </c>
      <c r="G1876" t="s">
        <v>34</v>
      </c>
      <c r="H1876" t="s">
        <v>36</v>
      </c>
      <c r="I1876" t="s">
        <v>46</v>
      </c>
      <c r="J1876" s="7">
        <v>1855.46</v>
      </c>
      <c r="K1876" s="8">
        <v>8</v>
      </c>
      <c r="L1876" s="7">
        <v>-129.11000000000001</v>
      </c>
    </row>
    <row r="1877" spans="1:12" x14ac:dyDescent="0.2">
      <c r="A1877" s="2">
        <v>42968</v>
      </c>
      <c r="B1877" s="8">
        <f>YEAR(Sales_data[[#This Row],[Order Date]])</f>
        <v>2017</v>
      </c>
      <c r="C1877" s="8">
        <f>MONTH(Sales_data[[#This Row],[Order Date]])</f>
        <v>8</v>
      </c>
      <c r="D1877" s="8" t="str">
        <f>TEXT(Sales_data[[#This Row],[Order Date]],"mmm")</f>
        <v>Aug</v>
      </c>
      <c r="E1877" t="s">
        <v>17</v>
      </c>
      <c r="F1877" t="s">
        <v>24</v>
      </c>
      <c r="G1877" t="s">
        <v>32</v>
      </c>
      <c r="H1877" t="s">
        <v>35</v>
      </c>
      <c r="I1877" t="s">
        <v>52</v>
      </c>
      <c r="J1877" s="7">
        <v>1792.35</v>
      </c>
      <c r="K1877" s="8">
        <v>4</v>
      </c>
      <c r="L1877" s="7">
        <v>217.81</v>
      </c>
    </row>
    <row r="1878" spans="1:12" x14ac:dyDescent="0.2">
      <c r="A1878" s="2">
        <v>42970</v>
      </c>
      <c r="B1878" s="8">
        <f>YEAR(Sales_data[[#This Row],[Order Date]])</f>
        <v>2017</v>
      </c>
      <c r="C1878" s="8">
        <f>MONTH(Sales_data[[#This Row],[Order Date]])</f>
        <v>8</v>
      </c>
      <c r="D1878" s="8" t="str">
        <f>TEXT(Sales_data[[#This Row],[Order Date]],"mmm")</f>
        <v>Aug</v>
      </c>
      <c r="E1878" t="s">
        <v>10</v>
      </c>
      <c r="F1878" t="s">
        <v>28</v>
      </c>
      <c r="G1878" t="s">
        <v>34</v>
      </c>
      <c r="H1878" t="s">
        <v>42</v>
      </c>
      <c r="I1878" t="s">
        <v>52</v>
      </c>
      <c r="J1878" s="7">
        <v>1234.28</v>
      </c>
      <c r="K1878" s="8">
        <v>6</v>
      </c>
      <c r="L1878" s="7">
        <v>24.25</v>
      </c>
    </row>
    <row r="1879" spans="1:12" x14ac:dyDescent="0.2">
      <c r="A1879" s="2">
        <v>42970</v>
      </c>
      <c r="B1879" s="8">
        <f>YEAR(Sales_data[[#This Row],[Order Date]])</f>
        <v>2017</v>
      </c>
      <c r="C1879" s="8">
        <f>MONTH(Sales_data[[#This Row],[Order Date]])</f>
        <v>8</v>
      </c>
      <c r="D1879" s="8" t="str">
        <f>TEXT(Sales_data[[#This Row],[Order Date]],"mmm")</f>
        <v>Aug</v>
      </c>
      <c r="E1879" t="s">
        <v>14</v>
      </c>
      <c r="F1879" t="s">
        <v>27</v>
      </c>
      <c r="G1879" t="s">
        <v>33</v>
      </c>
      <c r="H1879" t="s">
        <v>40</v>
      </c>
      <c r="I1879" t="s">
        <v>47</v>
      </c>
      <c r="J1879" s="7">
        <v>1293.3599999999999</v>
      </c>
      <c r="K1879" s="8">
        <v>4</v>
      </c>
      <c r="L1879" s="7">
        <v>-149.97</v>
      </c>
    </row>
    <row r="1880" spans="1:12" x14ac:dyDescent="0.2">
      <c r="A1880" s="2">
        <v>42971</v>
      </c>
      <c r="B1880" s="8">
        <f>YEAR(Sales_data[[#This Row],[Order Date]])</f>
        <v>2017</v>
      </c>
      <c r="C1880" s="8">
        <f>MONTH(Sales_data[[#This Row],[Order Date]])</f>
        <v>8</v>
      </c>
      <c r="D1880" s="8" t="str">
        <f>TEXT(Sales_data[[#This Row],[Order Date]],"mmm")</f>
        <v>Aug</v>
      </c>
      <c r="E1880" t="s">
        <v>9</v>
      </c>
      <c r="F1880" t="s">
        <v>27</v>
      </c>
      <c r="G1880" t="s">
        <v>34</v>
      </c>
      <c r="H1880" t="s">
        <v>41</v>
      </c>
      <c r="I1880" t="s">
        <v>46</v>
      </c>
      <c r="J1880" s="7">
        <v>1441.92</v>
      </c>
      <c r="K1880" s="8">
        <v>3</v>
      </c>
      <c r="L1880" s="7">
        <v>29.03</v>
      </c>
    </row>
    <row r="1881" spans="1:12" x14ac:dyDescent="0.2">
      <c r="A1881" s="2">
        <v>42971</v>
      </c>
      <c r="B1881" s="8">
        <f>YEAR(Sales_data[[#This Row],[Order Date]])</f>
        <v>2017</v>
      </c>
      <c r="C1881" s="8">
        <f>MONTH(Sales_data[[#This Row],[Order Date]])</f>
        <v>8</v>
      </c>
      <c r="D1881" s="8" t="str">
        <f>TEXT(Sales_data[[#This Row],[Order Date]],"mmm")</f>
        <v>Aug</v>
      </c>
      <c r="E1881" t="s">
        <v>11</v>
      </c>
      <c r="F1881" t="s">
        <v>24</v>
      </c>
      <c r="G1881" t="s">
        <v>32</v>
      </c>
      <c r="H1881" t="s">
        <v>41</v>
      </c>
      <c r="I1881" t="s">
        <v>51</v>
      </c>
      <c r="J1881" s="7">
        <v>950.86</v>
      </c>
      <c r="K1881" s="8">
        <v>7</v>
      </c>
      <c r="L1881" s="7">
        <v>33.5</v>
      </c>
    </row>
    <row r="1882" spans="1:12" x14ac:dyDescent="0.2">
      <c r="A1882" s="2">
        <v>42971</v>
      </c>
      <c r="B1882" s="8">
        <f>YEAR(Sales_data[[#This Row],[Order Date]])</f>
        <v>2017</v>
      </c>
      <c r="C1882" s="8">
        <f>MONTH(Sales_data[[#This Row],[Order Date]])</f>
        <v>8</v>
      </c>
      <c r="D1882" s="8" t="str">
        <f>TEXT(Sales_data[[#This Row],[Order Date]],"mmm")</f>
        <v>Aug</v>
      </c>
      <c r="E1882" t="s">
        <v>16</v>
      </c>
      <c r="F1882" t="s">
        <v>29</v>
      </c>
      <c r="G1882" t="s">
        <v>34</v>
      </c>
      <c r="H1882" t="s">
        <v>37</v>
      </c>
      <c r="I1882" t="s">
        <v>52</v>
      </c>
      <c r="J1882" s="7">
        <v>866.54</v>
      </c>
      <c r="K1882" s="8">
        <v>7</v>
      </c>
      <c r="L1882" s="7">
        <v>131.13999999999999</v>
      </c>
    </row>
    <row r="1883" spans="1:12" x14ac:dyDescent="0.2">
      <c r="A1883" s="2">
        <v>42973</v>
      </c>
      <c r="B1883" s="8">
        <f>YEAR(Sales_data[[#This Row],[Order Date]])</f>
        <v>2017</v>
      </c>
      <c r="C1883" s="8">
        <f>MONTH(Sales_data[[#This Row],[Order Date]])</f>
        <v>8</v>
      </c>
      <c r="D1883" s="8" t="str">
        <f>TEXT(Sales_data[[#This Row],[Order Date]],"mmm")</f>
        <v>Aug</v>
      </c>
      <c r="E1883" t="s">
        <v>16</v>
      </c>
      <c r="F1883" t="s">
        <v>28</v>
      </c>
      <c r="G1883" t="s">
        <v>32</v>
      </c>
      <c r="H1883" t="s">
        <v>40</v>
      </c>
      <c r="I1883" t="s">
        <v>49</v>
      </c>
      <c r="J1883" s="7">
        <v>1421.54</v>
      </c>
      <c r="K1883" s="8">
        <v>2</v>
      </c>
      <c r="L1883" s="7">
        <v>143.11000000000001</v>
      </c>
    </row>
    <row r="1884" spans="1:12" x14ac:dyDescent="0.2">
      <c r="A1884" s="2">
        <v>42973</v>
      </c>
      <c r="B1884" s="8">
        <f>YEAR(Sales_data[[#This Row],[Order Date]])</f>
        <v>2017</v>
      </c>
      <c r="C1884" s="8">
        <f>MONTH(Sales_data[[#This Row],[Order Date]])</f>
        <v>8</v>
      </c>
      <c r="D1884" s="8" t="str">
        <f>TEXT(Sales_data[[#This Row],[Order Date]],"mmm")</f>
        <v>Aug</v>
      </c>
      <c r="E1884" t="s">
        <v>20</v>
      </c>
      <c r="F1884" t="s">
        <v>29</v>
      </c>
      <c r="G1884" t="s">
        <v>34</v>
      </c>
      <c r="H1884" t="s">
        <v>37</v>
      </c>
      <c r="I1884" t="s">
        <v>49</v>
      </c>
      <c r="J1884" s="7">
        <v>427.23</v>
      </c>
      <c r="K1884" s="8">
        <v>3</v>
      </c>
      <c r="L1884" s="7">
        <v>329.59</v>
      </c>
    </row>
    <row r="1885" spans="1:12" x14ac:dyDescent="0.2">
      <c r="A1885" s="2">
        <v>42974</v>
      </c>
      <c r="B1885" s="8">
        <f>YEAR(Sales_data[[#This Row],[Order Date]])</f>
        <v>2017</v>
      </c>
      <c r="C1885" s="8">
        <f>MONTH(Sales_data[[#This Row],[Order Date]])</f>
        <v>8</v>
      </c>
      <c r="D1885" s="8" t="str">
        <f>TEXT(Sales_data[[#This Row],[Order Date]],"mmm")</f>
        <v>Aug</v>
      </c>
      <c r="E1885" t="s">
        <v>15</v>
      </c>
      <c r="F1885" t="s">
        <v>31</v>
      </c>
      <c r="G1885" t="s">
        <v>32</v>
      </c>
      <c r="H1885" t="s">
        <v>37</v>
      </c>
      <c r="I1885" t="s">
        <v>51</v>
      </c>
      <c r="J1885" s="7">
        <v>1690.97</v>
      </c>
      <c r="K1885" s="8">
        <v>7</v>
      </c>
      <c r="L1885" s="7">
        <v>346.95</v>
      </c>
    </row>
    <row r="1886" spans="1:12" x14ac:dyDescent="0.2">
      <c r="A1886" s="2">
        <v>42975</v>
      </c>
      <c r="B1886" s="8">
        <f>YEAR(Sales_data[[#This Row],[Order Date]])</f>
        <v>2017</v>
      </c>
      <c r="C1886" s="8">
        <f>MONTH(Sales_data[[#This Row],[Order Date]])</f>
        <v>8</v>
      </c>
      <c r="D1886" s="8" t="str">
        <f>TEXT(Sales_data[[#This Row],[Order Date]],"mmm")</f>
        <v>Aug</v>
      </c>
      <c r="E1886" t="s">
        <v>10</v>
      </c>
      <c r="F1886" t="s">
        <v>29</v>
      </c>
      <c r="G1886" t="s">
        <v>32</v>
      </c>
      <c r="H1886" t="s">
        <v>37</v>
      </c>
      <c r="I1886" t="s">
        <v>52</v>
      </c>
      <c r="J1886" s="7">
        <v>1033.02</v>
      </c>
      <c r="K1886" s="8">
        <v>8</v>
      </c>
      <c r="L1886" s="7">
        <v>-99.78</v>
      </c>
    </row>
    <row r="1887" spans="1:12" x14ac:dyDescent="0.2">
      <c r="A1887" s="2">
        <v>42975</v>
      </c>
      <c r="B1887" s="8">
        <f>YEAR(Sales_data[[#This Row],[Order Date]])</f>
        <v>2017</v>
      </c>
      <c r="C1887" s="8">
        <f>MONTH(Sales_data[[#This Row],[Order Date]])</f>
        <v>8</v>
      </c>
      <c r="D1887" s="8" t="str">
        <f>TEXT(Sales_data[[#This Row],[Order Date]],"mmm")</f>
        <v>Aug</v>
      </c>
      <c r="E1887" t="s">
        <v>15</v>
      </c>
      <c r="F1887" t="s">
        <v>25</v>
      </c>
      <c r="G1887" t="s">
        <v>34</v>
      </c>
      <c r="H1887" t="s">
        <v>35</v>
      </c>
      <c r="I1887" t="s">
        <v>52</v>
      </c>
      <c r="J1887" s="7">
        <v>1574.5</v>
      </c>
      <c r="K1887" s="8">
        <v>8</v>
      </c>
      <c r="L1887" s="7">
        <v>-94.75</v>
      </c>
    </row>
    <row r="1888" spans="1:12" x14ac:dyDescent="0.2">
      <c r="A1888" s="2">
        <v>42976</v>
      </c>
      <c r="B1888" s="8">
        <f>YEAR(Sales_data[[#This Row],[Order Date]])</f>
        <v>2017</v>
      </c>
      <c r="C1888" s="8">
        <f>MONTH(Sales_data[[#This Row],[Order Date]])</f>
        <v>8</v>
      </c>
      <c r="D1888" s="8" t="str">
        <f>TEXT(Sales_data[[#This Row],[Order Date]],"mmm")</f>
        <v>Aug</v>
      </c>
      <c r="E1888" t="s">
        <v>20</v>
      </c>
      <c r="F1888" t="s">
        <v>23</v>
      </c>
      <c r="G1888" t="s">
        <v>33</v>
      </c>
      <c r="H1888" t="s">
        <v>36</v>
      </c>
      <c r="I1888" t="s">
        <v>46</v>
      </c>
      <c r="J1888" s="7">
        <v>1930.41</v>
      </c>
      <c r="K1888" s="8">
        <v>6</v>
      </c>
      <c r="L1888" s="7">
        <v>214.57</v>
      </c>
    </row>
    <row r="1889" spans="1:12" x14ac:dyDescent="0.2">
      <c r="A1889" s="2">
        <v>42979</v>
      </c>
      <c r="B1889" s="8">
        <f>YEAR(Sales_data[[#This Row],[Order Date]])</f>
        <v>2017</v>
      </c>
      <c r="C1889" s="8">
        <f>MONTH(Sales_data[[#This Row],[Order Date]])</f>
        <v>9</v>
      </c>
      <c r="D1889" s="8" t="str">
        <f>TEXT(Sales_data[[#This Row],[Order Date]],"mmm")</f>
        <v>Sep</v>
      </c>
      <c r="E1889" t="s">
        <v>21</v>
      </c>
      <c r="F1889" t="s">
        <v>26</v>
      </c>
      <c r="G1889" t="s">
        <v>33</v>
      </c>
      <c r="H1889" t="s">
        <v>43</v>
      </c>
      <c r="I1889" t="s">
        <v>45</v>
      </c>
      <c r="J1889" s="7">
        <v>464.43</v>
      </c>
      <c r="K1889" s="8">
        <v>7</v>
      </c>
      <c r="L1889" s="7">
        <v>48.47</v>
      </c>
    </row>
    <row r="1890" spans="1:12" x14ac:dyDescent="0.2">
      <c r="A1890" s="2">
        <v>42980</v>
      </c>
      <c r="B1890" s="8">
        <f>YEAR(Sales_data[[#This Row],[Order Date]])</f>
        <v>2017</v>
      </c>
      <c r="C1890" s="8">
        <f>MONTH(Sales_data[[#This Row],[Order Date]])</f>
        <v>9</v>
      </c>
      <c r="D1890" s="8" t="str">
        <f>TEXT(Sales_data[[#This Row],[Order Date]],"mmm")</f>
        <v>Sep</v>
      </c>
      <c r="E1890" t="s">
        <v>18</v>
      </c>
      <c r="F1890" t="s">
        <v>22</v>
      </c>
      <c r="G1890" t="s">
        <v>32</v>
      </c>
      <c r="H1890" t="s">
        <v>36</v>
      </c>
      <c r="I1890" t="s">
        <v>46</v>
      </c>
      <c r="J1890" s="7">
        <v>447.93</v>
      </c>
      <c r="K1890" s="8">
        <v>9</v>
      </c>
      <c r="L1890" s="7">
        <v>-184.8</v>
      </c>
    </row>
    <row r="1891" spans="1:12" x14ac:dyDescent="0.2">
      <c r="A1891" s="2">
        <v>42980</v>
      </c>
      <c r="B1891" s="8">
        <f>YEAR(Sales_data[[#This Row],[Order Date]])</f>
        <v>2017</v>
      </c>
      <c r="C1891" s="8">
        <f>MONTH(Sales_data[[#This Row],[Order Date]])</f>
        <v>9</v>
      </c>
      <c r="D1891" s="8" t="str">
        <f>TEXT(Sales_data[[#This Row],[Order Date]],"mmm")</f>
        <v>Sep</v>
      </c>
      <c r="E1891" t="s">
        <v>19</v>
      </c>
      <c r="F1891" t="s">
        <v>25</v>
      </c>
      <c r="G1891" t="s">
        <v>33</v>
      </c>
      <c r="H1891" t="s">
        <v>36</v>
      </c>
      <c r="I1891" t="s">
        <v>53</v>
      </c>
      <c r="J1891" s="7">
        <v>1213.8499999999999</v>
      </c>
      <c r="K1891" s="8">
        <v>6</v>
      </c>
      <c r="L1891" s="7">
        <v>208.75</v>
      </c>
    </row>
    <row r="1892" spans="1:12" x14ac:dyDescent="0.2">
      <c r="A1892" s="2">
        <v>42982</v>
      </c>
      <c r="B1892" s="8">
        <f>YEAR(Sales_data[[#This Row],[Order Date]])</f>
        <v>2017</v>
      </c>
      <c r="C1892" s="8">
        <f>MONTH(Sales_data[[#This Row],[Order Date]])</f>
        <v>9</v>
      </c>
      <c r="D1892" s="8" t="str">
        <f>TEXT(Sales_data[[#This Row],[Order Date]],"mmm")</f>
        <v>Sep</v>
      </c>
      <c r="E1892" t="s">
        <v>16</v>
      </c>
      <c r="F1892" t="s">
        <v>27</v>
      </c>
      <c r="G1892" t="s">
        <v>32</v>
      </c>
      <c r="H1892" t="s">
        <v>41</v>
      </c>
      <c r="I1892" t="s">
        <v>52</v>
      </c>
      <c r="J1892" s="7">
        <v>685.01</v>
      </c>
      <c r="K1892" s="8">
        <v>2</v>
      </c>
      <c r="L1892" s="7">
        <v>-166.17</v>
      </c>
    </row>
    <row r="1893" spans="1:12" x14ac:dyDescent="0.2">
      <c r="A1893" s="2">
        <v>42983</v>
      </c>
      <c r="B1893" s="8">
        <f>YEAR(Sales_data[[#This Row],[Order Date]])</f>
        <v>2017</v>
      </c>
      <c r="C1893" s="8">
        <f>MONTH(Sales_data[[#This Row],[Order Date]])</f>
        <v>9</v>
      </c>
      <c r="D1893" s="8" t="str">
        <f>TEXT(Sales_data[[#This Row],[Order Date]],"mmm")</f>
        <v>Sep</v>
      </c>
      <c r="E1893" t="s">
        <v>12</v>
      </c>
      <c r="F1893" t="s">
        <v>25</v>
      </c>
      <c r="G1893" t="s">
        <v>34</v>
      </c>
      <c r="H1893" t="s">
        <v>42</v>
      </c>
      <c r="I1893" t="s">
        <v>46</v>
      </c>
      <c r="J1893" s="7">
        <v>467.62</v>
      </c>
      <c r="K1893" s="8">
        <v>2</v>
      </c>
      <c r="L1893" s="7">
        <v>122.48</v>
      </c>
    </row>
    <row r="1894" spans="1:12" x14ac:dyDescent="0.2">
      <c r="A1894" s="2">
        <v>42983</v>
      </c>
      <c r="B1894" s="8">
        <f>YEAR(Sales_data[[#This Row],[Order Date]])</f>
        <v>2017</v>
      </c>
      <c r="C1894" s="8">
        <f>MONTH(Sales_data[[#This Row],[Order Date]])</f>
        <v>9</v>
      </c>
      <c r="D1894" s="8" t="str">
        <f>TEXT(Sales_data[[#This Row],[Order Date]],"mmm")</f>
        <v>Sep</v>
      </c>
      <c r="E1894" t="s">
        <v>10</v>
      </c>
      <c r="F1894" t="s">
        <v>23</v>
      </c>
      <c r="G1894" t="s">
        <v>33</v>
      </c>
      <c r="H1894" t="s">
        <v>43</v>
      </c>
      <c r="I1894" t="s">
        <v>50</v>
      </c>
      <c r="J1894" s="7">
        <v>992.07</v>
      </c>
      <c r="K1894" s="8">
        <v>1</v>
      </c>
      <c r="L1894" s="7">
        <v>-45.21</v>
      </c>
    </row>
    <row r="1895" spans="1:12" x14ac:dyDescent="0.2">
      <c r="A1895" s="2">
        <v>42987</v>
      </c>
      <c r="B1895" s="8">
        <f>YEAR(Sales_data[[#This Row],[Order Date]])</f>
        <v>2017</v>
      </c>
      <c r="C1895" s="8">
        <f>MONTH(Sales_data[[#This Row],[Order Date]])</f>
        <v>9</v>
      </c>
      <c r="D1895" s="8" t="str">
        <f>TEXT(Sales_data[[#This Row],[Order Date]],"mmm")</f>
        <v>Sep</v>
      </c>
      <c r="E1895" t="s">
        <v>17</v>
      </c>
      <c r="F1895" t="s">
        <v>31</v>
      </c>
      <c r="G1895" t="s">
        <v>34</v>
      </c>
      <c r="H1895" t="s">
        <v>42</v>
      </c>
      <c r="I1895" t="s">
        <v>48</v>
      </c>
      <c r="J1895" s="7">
        <v>109.63</v>
      </c>
      <c r="K1895" s="8">
        <v>4</v>
      </c>
      <c r="L1895" s="7">
        <v>226.16</v>
      </c>
    </row>
    <row r="1896" spans="1:12" x14ac:dyDescent="0.2">
      <c r="A1896" s="2">
        <v>42987</v>
      </c>
      <c r="B1896" s="8">
        <f>YEAR(Sales_data[[#This Row],[Order Date]])</f>
        <v>2017</v>
      </c>
      <c r="C1896" s="8">
        <f>MONTH(Sales_data[[#This Row],[Order Date]])</f>
        <v>9</v>
      </c>
      <c r="D1896" s="8" t="str">
        <f>TEXT(Sales_data[[#This Row],[Order Date]],"mmm")</f>
        <v>Sep</v>
      </c>
      <c r="E1896" t="s">
        <v>17</v>
      </c>
      <c r="F1896" t="s">
        <v>23</v>
      </c>
      <c r="G1896" t="s">
        <v>32</v>
      </c>
      <c r="H1896" t="s">
        <v>40</v>
      </c>
      <c r="I1896" t="s">
        <v>44</v>
      </c>
      <c r="J1896" s="7">
        <v>949.84</v>
      </c>
      <c r="K1896" s="8">
        <v>6</v>
      </c>
      <c r="L1896" s="7">
        <v>206.3</v>
      </c>
    </row>
    <row r="1897" spans="1:12" x14ac:dyDescent="0.2">
      <c r="A1897" s="2">
        <v>42989</v>
      </c>
      <c r="B1897" s="8">
        <f>YEAR(Sales_data[[#This Row],[Order Date]])</f>
        <v>2017</v>
      </c>
      <c r="C1897" s="8">
        <f>MONTH(Sales_data[[#This Row],[Order Date]])</f>
        <v>9</v>
      </c>
      <c r="D1897" s="8" t="str">
        <f>TEXT(Sales_data[[#This Row],[Order Date]],"mmm")</f>
        <v>Sep</v>
      </c>
      <c r="E1897" t="s">
        <v>10</v>
      </c>
      <c r="F1897" t="s">
        <v>25</v>
      </c>
      <c r="G1897" t="s">
        <v>34</v>
      </c>
      <c r="H1897" t="s">
        <v>37</v>
      </c>
      <c r="I1897" t="s">
        <v>51</v>
      </c>
      <c r="J1897" s="7">
        <v>1247.8399999999999</v>
      </c>
      <c r="K1897" s="8">
        <v>2</v>
      </c>
      <c r="L1897" s="7">
        <v>139.07</v>
      </c>
    </row>
    <row r="1898" spans="1:12" x14ac:dyDescent="0.2">
      <c r="A1898" s="2">
        <v>42989</v>
      </c>
      <c r="B1898" s="8">
        <f>YEAR(Sales_data[[#This Row],[Order Date]])</f>
        <v>2017</v>
      </c>
      <c r="C1898" s="8">
        <f>MONTH(Sales_data[[#This Row],[Order Date]])</f>
        <v>9</v>
      </c>
      <c r="D1898" s="8" t="str">
        <f>TEXT(Sales_data[[#This Row],[Order Date]],"mmm")</f>
        <v>Sep</v>
      </c>
      <c r="E1898" t="s">
        <v>20</v>
      </c>
      <c r="F1898" t="s">
        <v>25</v>
      </c>
      <c r="G1898" t="s">
        <v>32</v>
      </c>
      <c r="H1898" t="s">
        <v>38</v>
      </c>
      <c r="I1898" t="s">
        <v>50</v>
      </c>
      <c r="J1898" s="7">
        <v>442.11</v>
      </c>
      <c r="K1898" s="8">
        <v>4</v>
      </c>
      <c r="L1898" s="7">
        <v>362.62</v>
      </c>
    </row>
    <row r="1899" spans="1:12" x14ac:dyDescent="0.2">
      <c r="A1899" s="2">
        <v>42990</v>
      </c>
      <c r="B1899" s="8">
        <f>YEAR(Sales_data[[#This Row],[Order Date]])</f>
        <v>2017</v>
      </c>
      <c r="C1899" s="8">
        <f>MONTH(Sales_data[[#This Row],[Order Date]])</f>
        <v>9</v>
      </c>
      <c r="D1899" s="8" t="str">
        <f>TEXT(Sales_data[[#This Row],[Order Date]],"mmm")</f>
        <v>Sep</v>
      </c>
      <c r="E1899" t="s">
        <v>15</v>
      </c>
      <c r="F1899" t="s">
        <v>27</v>
      </c>
      <c r="G1899" t="s">
        <v>34</v>
      </c>
      <c r="H1899" t="s">
        <v>40</v>
      </c>
      <c r="I1899" t="s">
        <v>44</v>
      </c>
      <c r="J1899" s="7">
        <v>1191.28</v>
      </c>
      <c r="K1899" s="8">
        <v>1</v>
      </c>
      <c r="L1899" s="7">
        <v>-71.599999999999994</v>
      </c>
    </row>
    <row r="1900" spans="1:12" x14ac:dyDescent="0.2">
      <c r="A1900" s="2">
        <v>42990</v>
      </c>
      <c r="B1900" s="8">
        <f>YEAR(Sales_data[[#This Row],[Order Date]])</f>
        <v>2017</v>
      </c>
      <c r="C1900" s="8">
        <f>MONTH(Sales_data[[#This Row],[Order Date]])</f>
        <v>9</v>
      </c>
      <c r="D1900" s="8" t="str">
        <f>TEXT(Sales_data[[#This Row],[Order Date]],"mmm")</f>
        <v>Sep</v>
      </c>
      <c r="E1900" t="s">
        <v>9</v>
      </c>
      <c r="F1900" t="s">
        <v>30</v>
      </c>
      <c r="G1900" t="s">
        <v>34</v>
      </c>
      <c r="H1900" t="s">
        <v>38</v>
      </c>
      <c r="I1900" t="s">
        <v>51</v>
      </c>
      <c r="J1900" s="7">
        <v>1676.07</v>
      </c>
      <c r="K1900" s="8">
        <v>7</v>
      </c>
      <c r="L1900" s="7">
        <v>235.54</v>
      </c>
    </row>
    <row r="1901" spans="1:12" x14ac:dyDescent="0.2">
      <c r="A1901" s="2">
        <v>42990</v>
      </c>
      <c r="B1901" s="8">
        <f>YEAR(Sales_data[[#This Row],[Order Date]])</f>
        <v>2017</v>
      </c>
      <c r="C1901" s="8">
        <f>MONTH(Sales_data[[#This Row],[Order Date]])</f>
        <v>9</v>
      </c>
      <c r="D1901" s="8" t="str">
        <f>TEXT(Sales_data[[#This Row],[Order Date]],"mmm")</f>
        <v>Sep</v>
      </c>
      <c r="E1901" t="s">
        <v>19</v>
      </c>
      <c r="F1901" t="s">
        <v>30</v>
      </c>
      <c r="G1901" t="s">
        <v>32</v>
      </c>
      <c r="H1901" t="s">
        <v>38</v>
      </c>
      <c r="I1901" t="s">
        <v>44</v>
      </c>
      <c r="J1901" s="7">
        <v>513.17999999999995</v>
      </c>
      <c r="K1901" s="8">
        <v>5</v>
      </c>
      <c r="L1901" s="7">
        <v>237.02</v>
      </c>
    </row>
    <row r="1902" spans="1:12" x14ac:dyDescent="0.2">
      <c r="A1902" s="2">
        <v>42991</v>
      </c>
      <c r="B1902" s="8">
        <f>YEAR(Sales_data[[#This Row],[Order Date]])</f>
        <v>2017</v>
      </c>
      <c r="C1902" s="8">
        <f>MONTH(Sales_data[[#This Row],[Order Date]])</f>
        <v>9</v>
      </c>
      <c r="D1902" s="8" t="str">
        <f>TEXT(Sales_data[[#This Row],[Order Date]],"mmm")</f>
        <v>Sep</v>
      </c>
      <c r="E1902" t="s">
        <v>19</v>
      </c>
      <c r="F1902" t="s">
        <v>26</v>
      </c>
      <c r="G1902" t="s">
        <v>32</v>
      </c>
      <c r="H1902" t="s">
        <v>39</v>
      </c>
      <c r="I1902" t="s">
        <v>53</v>
      </c>
      <c r="J1902" s="7">
        <v>1405.27</v>
      </c>
      <c r="K1902" s="8">
        <v>4</v>
      </c>
      <c r="L1902" s="7">
        <v>-151.38999999999999</v>
      </c>
    </row>
    <row r="1903" spans="1:12" x14ac:dyDescent="0.2">
      <c r="A1903" s="2">
        <v>42993</v>
      </c>
      <c r="B1903" s="8">
        <f>YEAR(Sales_data[[#This Row],[Order Date]])</f>
        <v>2017</v>
      </c>
      <c r="C1903" s="8">
        <f>MONTH(Sales_data[[#This Row],[Order Date]])</f>
        <v>9</v>
      </c>
      <c r="D1903" s="8" t="str">
        <f>TEXT(Sales_data[[#This Row],[Order Date]],"mmm")</f>
        <v>Sep</v>
      </c>
      <c r="E1903" t="s">
        <v>10</v>
      </c>
      <c r="F1903" t="s">
        <v>29</v>
      </c>
      <c r="G1903" t="s">
        <v>32</v>
      </c>
      <c r="H1903" t="s">
        <v>40</v>
      </c>
      <c r="I1903" t="s">
        <v>51</v>
      </c>
      <c r="J1903" s="7">
        <v>1754.43</v>
      </c>
      <c r="K1903" s="8">
        <v>1</v>
      </c>
      <c r="L1903" s="7">
        <v>23.31</v>
      </c>
    </row>
    <row r="1904" spans="1:12" x14ac:dyDescent="0.2">
      <c r="A1904" s="2">
        <v>42994</v>
      </c>
      <c r="B1904" s="8">
        <f>YEAR(Sales_data[[#This Row],[Order Date]])</f>
        <v>2017</v>
      </c>
      <c r="C1904" s="8">
        <f>MONTH(Sales_data[[#This Row],[Order Date]])</f>
        <v>9</v>
      </c>
      <c r="D1904" s="8" t="str">
        <f>TEXT(Sales_data[[#This Row],[Order Date]],"mmm")</f>
        <v>Sep</v>
      </c>
      <c r="E1904" t="s">
        <v>17</v>
      </c>
      <c r="F1904" t="s">
        <v>28</v>
      </c>
      <c r="G1904" t="s">
        <v>34</v>
      </c>
      <c r="H1904" t="s">
        <v>42</v>
      </c>
      <c r="I1904" t="s">
        <v>47</v>
      </c>
      <c r="J1904" s="7">
        <v>1705.26</v>
      </c>
      <c r="K1904" s="8">
        <v>1</v>
      </c>
      <c r="L1904" s="7">
        <v>132.58000000000001</v>
      </c>
    </row>
    <row r="1905" spans="1:12" x14ac:dyDescent="0.2">
      <c r="A1905" s="2">
        <v>42994</v>
      </c>
      <c r="B1905" s="8">
        <f>YEAR(Sales_data[[#This Row],[Order Date]])</f>
        <v>2017</v>
      </c>
      <c r="C1905" s="8">
        <f>MONTH(Sales_data[[#This Row],[Order Date]])</f>
        <v>9</v>
      </c>
      <c r="D1905" s="8" t="str">
        <f>TEXT(Sales_data[[#This Row],[Order Date]],"mmm")</f>
        <v>Sep</v>
      </c>
      <c r="E1905" t="s">
        <v>13</v>
      </c>
      <c r="F1905" t="s">
        <v>22</v>
      </c>
      <c r="G1905" t="s">
        <v>34</v>
      </c>
      <c r="H1905" t="s">
        <v>37</v>
      </c>
      <c r="I1905" t="s">
        <v>46</v>
      </c>
      <c r="J1905" s="7">
        <v>1054.6199999999999</v>
      </c>
      <c r="K1905" s="8">
        <v>7</v>
      </c>
      <c r="L1905" s="7">
        <v>-126.64</v>
      </c>
    </row>
    <row r="1906" spans="1:12" x14ac:dyDescent="0.2">
      <c r="A1906" s="2">
        <v>42996</v>
      </c>
      <c r="B1906" s="8">
        <f>YEAR(Sales_data[[#This Row],[Order Date]])</f>
        <v>2017</v>
      </c>
      <c r="C1906" s="8">
        <f>MONTH(Sales_data[[#This Row],[Order Date]])</f>
        <v>9</v>
      </c>
      <c r="D1906" s="8" t="str">
        <f>TEXT(Sales_data[[#This Row],[Order Date]],"mmm")</f>
        <v>Sep</v>
      </c>
      <c r="E1906" t="s">
        <v>15</v>
      </c>
      <c r="F1906" t="s">
        <v>23</v>
      </c>
      <c r="G1906" t="s">
        <v>32</v>
      </c>
      <c r="H1906" t="s">
        <v>40</v>
      </c>
      <c r="I1906" t="s">
        <v>53</v>
      </c>
      <c r="J1906" s="7">
        <v>1444.58</v>
      </c>
      <c r="K1906" s="8">
        <v>2</v>
      </c>
      <c r="L1906" s="7">
        <v>145.04</v>
      </c>
    </row>
    <row r="1907" spans="1:12" x14ac:dyDescent="0.2">
      <c r="A1907" s="2">
        <v>42997</v>
      </c>
      <c r="B1907" s="8">
        <f>YEAR(Sales_data[[#This Row],[Order Date]])</f>
        <v>2017</v>
      </c>
      <c r="C1907" s="8">
        <f>MONTH(Sales_data[[#This Row],[Order Date]])</f>
        <v>9</v>
      </c>
      <c r="D1907" s="8" t="str">
        <f>TEXT(Sales_data[[#This Row],[Order Date]],"mmm")</f>
        <v>Sep</v>
      </c>
      <c r="E1907" t="s">
        <v>14</v>
      </c>
      <c r="F1907" t="s">
        <v>31</v>
      </c>
      <c r="G1907" t="s">
        <v>33</v>
      </c>
      <c r="H1907" t="s">
        <v>36</v>
      </c>
      <c r="I1907" t="s">
        <v>49</v>
      </c>
      <c r="J1907" s="7">
        <v>753.4</v>
      </c>
      <c r="K1907" s="8">
        <v>1</v>
      </c>
      <c r="L1907" s="7">
        <v>386.22</v>
      </c>
    </row>
    <row r="1908" spans="1:12" x14ac:dyDescent="0.2">
      <c r="A1908" s="2">
        <v>42999</v>
      </c>
      <c r="B1908" s="8">
        <f>YEAR(Sales_data[[#This Row],[Order Date]])</f>
        <v>2017</v>
      </c>
      <c r="C1908" s="8">
        <f>MONTH(Sales_data[[#This Row],[Order Date]])</f>
        <v>9</v>
      </c>
      <c r="D1908" s="8" t="str">
        <f>TEXT(Sales_data[[#This Row],[Order Date]],"mmm")</f>
        <v>Sep</v>
      </c>
      <c r="E1908" t="s">
        <v>9</v>
      </c>
      <c r="F1908" t="s">
        <v>26</v>
      </c>
      <c r="G1908" t="s">
        <v>33</v>
      </c>
      <c r="H1908" t="s">
        <v>40</v>
      </c>
      <c r="I1908" t="s">
        <v>49</v>
      </c>
      <c r="J1908" s="7">
        <v>638.15</v>
      </c>
      <c r="K1908" s="8">
        <v>1</v>
      </c>
      <c r="L1908" s="7">
        <v>51.85</v>
      </c>
    </row>
    <row r="1909" spans="1:12" x14ac:dyDescent="0.2">
      <c r="A1909" s="2">
        <v>42999</v>
      </c>
      <c r="B1909" s="8">
        <f>YEAR(Sales_data[[#This Row],[Order Date]])</f>
        <v>2017</v>
      </c>
      <c r="C1909" s="8">
        <f>MONTH(Sales_data[[#This Row],[Order Date]])</f>
        <v>9</v>
      </c>
      <c r="D1909" s="8" t="str">
        <f>TEXT(Sales_data[[#This Row],[Order Date]],"mmm")</f>
        <v>Sep</v>
      </c>
      <c r="E1909" t="s">
        <v>10</v>
      </c>
      <c r="F1909" t="s">
        <v>30</v>
      </c>
      <c r="G1909" t="s">
        <v>34</v>
      </c>
      <c r="H1909" t="s">
        <v>38</v>
      </c>
      <c r="I1909" t="s">
        <v>44</v>
      </c>
      <c r="J1909" s="7">
        <v>1750.66</v>
      </c>
      <c r="K1909" s="8">
        <v>3</v>
      </c>
      <c r="L1909" s="7">
        <v>310.42</v>
      </c>
    </row>
    <row r="1910" spans="1:12" x14ac:dyDescent="0.2">
      <c r="A1910" s="2">
        <v>43000</v>
      </c>
      <c r="B1910" s="8">
        <f>YEAR(Sales_data[[#This Row],[Order Date]])</f>
        <v>2017</v>
      </c>
      <c r="C1910" s="8">
        <f>MONTH(Sales_data[[#This Row],[Order Date]])</f>
        <v>9</v>
      </c>
      <c r="D1910" s="8" t="str">
        <f>TEXT(Sales_data[[#This Row],[Order Date]],"mmm")</f>
        <v>Sep</v>
      </c>
      <c r="E1910" t="s">
        <v>15</v>
      </c>
      <c r="F1910" t="s">
        <v>28</v>
      </c>
      <c r="G1910" t="s">
        <v>33</v>
      </c>
      <c r="H1910" t="s">
        <v>43</v>
      </c>
      <c r="I1910" t="s">
        <v>49</v>
      </c>
      <c r="J1910" s="7">
        <v>1467.15</v>
      </c>
      <c r="K1910" s="8">
        <v>5</v>
      </c>
      <c r="L1910" s="7">
        <v>240.14</v>
      </c>
    </row>
    <row r="1911" spans="1:12" x14ac:dyDescent="0.2">
      <c r="A1911" s="2">
        <v>43002</v>
      </c>
      <c r="B1911" s="8">
        <f>YEAR(Sales_data[[#This Row],[Order Date]])</f>
        <v>2017</v>
      </c>
      <c r="C1911" s="8">
        <f>MONTH(Sales_data[[#This Row],[Order Date]])</f>
        <v>9</v>
      </c>
      <c r="D1911" s="8" t="str">
        <f>TEXT(Sales_data[[#This Row],[Order Date]],"mmm")</f>
        <v>Sep</v>
      </c>
      <c r="E1911" t="s">
        <v>18</v>
      </c>
      <c r="F1911" t="s">
        <v>22</v>
      </c>
      <c r="G1911" t="s">
        <v>33</v>
      </c>
      <c r="H1911" t="s">
        <v>36</v>
      </c>
      <c r="I1911" t="s">
        <v>48</v>
      </c>
      <c r="J1911" s="7">
        <v>1438.69</v>
      </c>
      <c r="K1911" s="8">
        <v>9</v>
      </c>
      <c r="L1911" s="7">
        <v>-16.309999999999999</v>
      </c>
    </row>
    <row r="1912" spans="1:12" x14ac:dyDescent="0.2">
      <c r="A1912" s="2">
        <v>43002</v>
      </c>
      <c r="B1912" s="8">
        <f>YEAR(Sales_data[[#This Row],[Order Date]])</f>
        <v>2017</v>
      </c>
      <c r="C1912" s="8">
        <f>MONTH(Sales_data[[#This Row],[Order Date]])</f>
        <v>9</v>
      </c>
      <c r="D1912" s="8" t="str">
        <f>TEXT(Sales_data[[#This Row],[Order Date]],"mmm")</f>
        <v>Sep</v>
      </c>
      <c r="E1912" t="s">
        <v>11</v>
      </c>
      <c r="F1912" t="s">
        <v>23</v>
      </c>
      <c r="G1912" t="s">
        <v>34</v>
      </c>
      <c r="H1912" t="s">
        <v>38</v>
      </c>
      <c r="I1912" t="s">
        <v>51</v>
      </c>
      <c r="J1912" s="7">
        <v>772.37</v>
      </c>
      <c r="K1912" s="8">
        <v>4</v>
      </c>
      <c r="L1912" s="7">
        <v>-197.83</v>
      </c>
    </row>
    <row r="1913" spans="1:12" x14ac:dyDescent="0.2">
      <c r="A1913" s="2">
        <v>43003</v>
      </c>
      <c r="B1913" s="8">
        <f>YEAR(Sales_data[[#This Row],[Order Date]])</f>
        <v>2017</v>
      </c>
      <c r="C1913" s="8">
        <f>MONTH(Sales_data[[#This Row],[Order Date]])</f>
        <v>9</v>
      </c>
      <c r="D1913" s="8" t="str">
        <f>TEXT(Sales_data[[#This Row],[Order Date]],"mmm")</f>
        <v>Sep</v>
      </c>
      <c r="E1913" t="s">
        <v>13</v>
      </c>
      <c r="F1913" t="s">
        <v>25</v>
      </c>
      <c r="G1913" t="s">
        <v>33</v>
      </c>
      <c r="H1913" t="s">
        <v>40</v>
      </c>
      <c r="I1913" t="s">
        <v>53</v>
      </c>
      <c r="J1913" s="7">
        <v>1951.45</v>
      </c>
      <c r="K1913" s="8">
        <v>4</v>
      </c>
      <c r="L1913" s="7">
        <v>355.92</v>
      </c>
    </row>
    <row r="1914" spans="1:12" x14ac:dyDescent="0.2">
      <c r="A1914" s="2">
        <v>43004</v>
      </c>
      <c r="B1914" s="8">
        <f>YEAR(Sales_data[[#This Row],[Order Date]])</f>
        <v>2017</v>
      </c>
      <c r="C1914" s="8">
        <f>MONTH(Sales_data[[#This Row],[Order Date]])</f>
        <v>9</v>
      </c>
      <c r="D1914" s="8" t="str">
        <f>TEXT(Sales_data[[#This Row],[Order Date]],"mmm")</f>
        <v>Sep</v>
      </c>
      <c r="E1914" t="s">
        <v>20</v>
      </c>
      <c r="F1914" t="s">
        <v>24</v>
      </c>
      <c r="G1914" t="s">
        <v>33</v>
      </c>
      <c r="H1914" t="s">
        <v>38</v>
      </c>
      <c r="I1914" t="s">
        <v>47</v>
      </c>
      <c r="J1914" s="7">
        <v>91.16</v>
      </c>
      <c r="K1914" s="8">
        <v>5</v>
      </c>
      <c r="L1914" s="7">
        <v>397.51</v>
      </c>
    </row>
    <row r="1915" spans="1:12" x14ac:dyDescent="0.2">
      <c r="A1915" s="2">
        <v>43008</v>
      </c>
      <c r="B1915" s="8">
        <f>YEAR(Sales_data[[#This Row],[Order Date]])</f>
        <v>2017</v>
      </c>
      <c r="C1915" s="8">
        <f>MONTH(Sales_data[[#This Row],[Order Date]])</f>
        <v>9</v>
      </c>
      <c r="D1915" s="8" t="str">
        <f>TEXT(Sales_data[[#This Row],[Order Date]],"mmm")</f>
        <v>Sep</v>
      </c>
      <c r="E1915" t="s">
        <v>18</v>
      </c>
      <c r="F1915" t="s">
        <v>29</v>
      </c>
      <c r="G1915" t="s">
        <v>32</v>
      </c>
      <c r="H1915" t="s">
        <v>43</v>
      </c>
      <c r="I1915" t="s">
        <v>53</v>
      </c>
      <c r="J1915" s="7">
        <v>1704.45</v>
      </c>
      <c r="K1915" s="8">
        <v>1</v>
      </c>
      <c r="L1915" s="7">
        <v>302.37</v>
      </c>
    </row>
    <row r="1916" spans="1:12" x14ac:dyDescent="0.2">
      <c r="A1916" s="2">
        <v>43008</v>
      </c>
      <c r="B1916" s="8">
        <f>YEAR(Sales_data[[#This Row],[Order Date]])</f>
        <v>2017</v>
      </c>
      <c r="C1916" s="8">
        <f>MONTH(Sales_data[[#This Row],[Order Date]])</f>
        <v>9</v>
      </c>
      <c r="D1916" s="8" t="str">
        <f>TEXT(Sales_data[[#This Row],[Order Date]],"mmm")</f>
        <v>Sep</v>
      </c>
      <c r="E1916" t="s">
        <v>18</v>
      </c>
      <c r="F1916" t="s">
        <v>26</v>
      </c>
      <c r="G1916" t="s">
        <v>34</v>
      </c>
      <c r="H1916" t="s">
        <v>37</v>
      </c>
      <c r="I1916" t="s">
        <v>53</v>
      </c>
      <c r="J1916" s="7">
        <v>1038.51</v>
      </c>
      <c r="K1916" s="8">
        <v>1</v>
      </c>
      <c r="L1916" s="7">
        <v>341.64</v>
      </c>
    </row>
    <row r="1917" spans="1:12" x14ac:dyDescent="0.2">
      <c r="A1917" s="2">
        <v>43009</v>
      </c>
      <c r="B1917" s="8">
        <f>YEAR(Sales_data[[#This Row],[Order Date]])</f>
        <v>2017</v>
      </c>
      <c r="C1917" s="8">
        <f>MONTH(Sales_data[[#This Row],[Order Date]])</f>
        <v>10</v>
      </c>
      <c r="D1917" s="8" t="str">
        <f>TEXT(Sales_data[[#This Row],[Order Date]],"mmm")</f>
        <v>Oct</v>
      </c>
      <c r="E1917" t="s">
        <v>21</v>
      </c>
      <c r="F1917" t="s">
        <v>30</v>
      </c>
      <c r="G1917" t="s">
        <v>34</v>
      </c>
      <c r="H1917" t="s">
        <v>39</v>
      </c>
      <c r="I1917" t="s">
        <v>52</v>
      </c>
      <c r="J1917" s="7">
        <v>958.37</v>
      </c>
      <c r="K1917" s="8">
        <v>2</v>
      </c>
      <c r="L1917" s="7">
        <v>202.59</v>
      </c>
    </row>
    <row r="1918" spans="1:12" x14ac:dyDescent="0.2">
      <c r="A1918" s="2">
        <v>43009</v>
      </c>
      <c r="B1918" s="8">
        <f>YEAR(Sales_data[[#This Row],[Order Date]])</f>
        <v>2017</v>
      </c>
      <c r="C1918" s="8">
        <f>MONTH(Sales_data[[#This Row],[Order Date]])</f>
        <v>10</v>
      </c>
      <c r="D1918" s="8" t="str">
        <f>TEXT(Sales_data[[#This Row],[Order Date]],"mmm")</f>
        <v>Oct</v>
      </c>
      <c r="E1918" t="s">
        <v>18</v>
      </c>
      <c r="F1918" t="s">
        <v>31</v>
      </c>
      <c r="G1918" t="s">
        <v>32</v>
      </c>
      <c r="H1918" t="s">
        <v>43</v>
      </c>
      <c r="I1918" t="s">
        <v>48</v>
      </c>
      <c r="J1918" s="7">
        <v>1027.48</v>
      </c>
      <c r="K1918" s="8">
        <v>1</v>
      </c>
      <c r="L1918" s="7">
        <v>72.75</v>
      </c>
    </row>
    <row r="1919" spans="1:12" x14ac:dyDescent="0.2">
      <c r="A1919" s="2">
        <v>43018</v>
      </c>
      <c r="B1919" s="8">
        <f>YEAR(Sales_data[[#This Row],[Order Date]])</f>
        <v>2017</v>
      </c>
      <c r="C1919" s="8">
        <f>MONTH(Sales_data[[#This Row],[Order Date]])</f>
        <v>10</v>
      </c>
      <c r="D1919" s="8" t="str">
        <f>TEXT(Sales_data[[#This Row],[Order Date]],"mmm")</f>
        <v>Oct</v>
      </c>
      <c r="E1919" t="s">
        <v>20</v>
      </c>
      <c r="F1919" t="s">
        <v>25</v>
      </c>
      <c r="G1919" t="s">
        <v>33</v>
      </c>
      <c r="H1919" t="s">
        <v>39</v>
      </c>
      <c r="I1919" t="s">
        <v>45</v>
      </c>
      <c r="J1919" s="7">
        <v>1901.68</v>
      </c>
      <c r="K1919" s="8">
        <v>7</v>
      </c>
      <c r="L1919" s="7">
        <v>25.69</v>
      </c>
    </row>
    <row r="1920" spans="1:12" x14ac:dyDescent="0.2">
      <c r="A1920" s="2">
        <v>43022</v>
      </c>
      <c r="B1920" s="8">
        <f>YEAR(Sales_data[[#This Row],[Order Date]])</f>
        <v>2017</v>
      </c>
      <c r="C1920" s="8">
        <f>MONTH(Sales_data[[#This Row],[Order Date]])</f>
        <v>10</v>
      </c>
      <c r="D1920" s="8" t="str">
        <f>TEXT(Sales_data[[#This Row],[Order Date]],"mmm")</f>
        <v>Oct</v>
      </c>
      <c r="E1920" t="s">
        <v>9</v>
      </c>
      <c r="F1920" t="s">
        <v>25</v>
      </c>
      <c r="G1920" t="s">
        <v>33</v>
      </c>
      <c r="H1920" t="s">
        <v>37</v>
      </c>
      <c r="I1920" t="s">
        <v>45</v>
      </c>
      <c r="J1920" s="7">
        <v>297.58999999999997</v>
      </c>
      <c r="K1920" s="8">
        <v>2</v>
      </c>
      <c r="L1920" s="7">
        <v>294.42</v>
      </c>
    </row>
    <row r="1921" spans="1:12" x14ac:dyDescent="0.2">
      <c r="A1921" s="2">
        <v>43023</v>
      </c>
      <c r="B1921" s="8">
        <f>YEAR(Sales_data[[#This Row],[Order Date]])</f>
        <v>2017</v>
      </c>
      <c r="C1921" s="8">
        <f>MONTH(Sales_data[[#This Row],[Order Date]])</f>
        <v>10</v>
      </c>
      <c r="D1921" s="8" t="str">
        <f>TEXT(Sales_data[[#This Row],[Order Date]],"mmm")</f>
        <v>Oct</v>
      </c>
      <c r="E1921" t="s">
        <v>16</v>
      </c>
      <c r="F1921" t="s">
        <v>25</v>
      </c>
      <c r="G1921" t="s">
        <v>32</v>
      </c>
      <c r="H1921" t="s">
        <v>41</v>
      </c>
      <c r="I1921" t="s">
        <v>50</v>
      </c>
      <c r="J1921" s="7">
        <v>1339.68</v>
      </c>
      <c r="K1921" s="8">
        <v>6</v>
      </c>
      <c r="L1921" s="7">
        <v>115.22</v>
      </c>
    </row>
    <row r="1922" spans="1:12" x14ac:dyDescent="0.2">
      <c r="A1922" s="2">
        <v>43024</v>
      </c>
      <c r="B1922" s="8">
        <f>YEAR(Sales_data[[#This Row],[Order Date]])</f>
        <v>2017</v>
      </c>
      <c r="C1922" s="8">
        <f>MONTH(Sales_data[[#This Row],[Order Date]])</f>
        <v>10</v>
      </c>
      <c r="D1922" s="8" t="str">
        <f>TEXT(Sales_data[[#This Row],[Order Date]],"mmm")</f>
        <v>Oct</v>
      </c>
      <c r="E1922" t="s">
        <v>16</v>
      </c>
      <c r="F1922" t="s">
        <v>29</v>
      </c>
      <c r="G1922" t="s">
        <v>34</v>
      </c>
      <c r="H1922" t="s">
        <v>40</v>
      </c>
      <c r="I1922" t="s">
        <v>49</v>
      </c>
      <c r="J1922" s="7">
        <v>214.04</v>
      </c>
      <c r="K1922" s="8">
        <v>5</v>
      </c>
      <c r="L1922" s="7">
        <v>-31.41</v>
      </c>
    </row>
    <row r="1923" spans="1:12" x14ac:dyDescent="0.2">
      <c r="A1923" s="2">
        <v>43025</v>
      </c>
      <c r="B1923" s="8">
        <f>YEAR(Sales_data[[#This Row],[Order Date]])</f>
        <v>2017</v>
      </c>
      <c r="C1923" s="8">
        <f>MONTH(Sales_data[[#This Row],[Order Date]])</f>
        <v>10</v>
      </c>
      <c r="D1923" s="8" t="str">
        <f>TEXT(Sales_data[[#This Row],[Order Date]],"mmm")</f>
        <v>Oct</v>
      </c>
      <c r="E1923" t="s">
        <v>12</v>
      </c>
      <c r="F1923" t="s">
        <v>22</v>
      </c>
      <c r="G1923" t="s">
        <v>34</v>
      </c>
      <c r="H1923" t="s">
        <v>39</v>
      </c>
      <c r="I1923" t="s">
        <v>51</v>
      </c>
      <c r="J1923" s="7">
        <v>1137.22</v>
      </c>
      <c r="K1923" s="8">
        <v>9</v>
      </c>
      <c r="L1923" s="7">
        <v>-16.170000000000002</v>
      </c>
    </row>
    <row r="1924" spans="1:12" x14ac:dyDescent="0.2">
      <c r="A1924" s="2">
        <v>43025</v>
      </c>
      <c r="B1924" s="8">
        <f>YEAR(Sales_data[[#This Row],[Order Date]])</f>
        <v>2017</v>
      </c>
      <c r="C1924" s="8">
        <f>MONTH(Sales_data[[#This Row],[Order Date]])</f>
        <v>10</v>
      </c>
      <c r="D1924" s="8" t="str">
        <f>TEXT(Sales_data[[#This Row],[Order Date]],"mmm")</f>
        <v>Oct</v>
      </c>
      <c r="E1924" t="s">
        <v>16</v>
      </c>
      <c r="F1924" t="s">
        <v>27</v>
      </c>
      <c r="G1924" t="s">
        <v>32</v>
      </c>
      <c r="H1924" t="s">
        <v>40</v>
      </c>
      <c r="I1924" t="s">
        <v>45</v>
      </c>
      <c r="J1924" s="7">
        <v>513.96</v>
      </c>
      <c r="K1924" s="8">
        <v>9</v>
      </c>
      <c r="L1924" s="7">
        <v>237.76</v>
      </c>
    </row>
    <row r="1925" spans="1:12" x14ac:dyDescent="0.2">
      <c r="A1925" s="2">
        <v>43025</v>
      </c>
      <c r="B1925" s="8">
        <f>YEAR(Sales_data[[#This Row],[Order Date]])</f>
        <v>2017</v>
      </c>
      <c r="C1925" s="8">
        <f>MONTH(Sales_data[[#This Row],[Order Date]])</f>
        <v>10</v>
      </c>
      <c r="D1925" s="8" t="str">
        <f>TEXT(Sales_data[[#This Row],[Order Date]],"mmm")</f>
        <v>Oct</v>
      </c>
      <c r="E1925" t="s">
        <v>19</v>
      </c>
      <c r="F1925" t="s">
        <v>29</v>
      </c>
      <c r="G1925" t="s">
        <v>34</v>
      </c>
      <c r="H1925" t="s">
        <v>35</v>
      </c>
      <c r="I1925" t="s">
        <v>52</v>
      </c>
      <c r="J1925" s="7">
        <v>1811.11</v>
      </c>
      <c r="K1925" s="8">
        <v>7</v>
      </c>
      <c r="L1925" s="7">
        <v>-26.37</v>
      </c>
    </row>
    <row r="1926" spans="1:12" x14ac:dyDescent="0.2">
      <c r="A1926" s="2">
        <v>43025</v>
      </c>
      <c r="B1926" s="8">
        <f>YEAR(Sales_data[[#This Row],[Order Date]])</f>
        <v>2017</v>
      </c>
      <c r="C1926" s="8">
        <f>MONTH(Sales_data[[#This Row],[Order Date]])</f>
        <v>10</v>
      </c>
      <c r="D1926" s="8" t="str">
        <f>TEXT(Sales_data[[#This Row],[Order Date]],"mmm")</f>
        <v>Oct</v>
      </c>
      <c r="E1926" t="s">
        <v>17</v>
      </c>
      <c r="F1926" t="s">
        <v>27</v>
      </c>
      <c r="G1926" t="s">
        <v>33</v>
      </c>
      <c r="H1926" t="s">
        <v>40</v>
      </c>
      <c r="I1926" t="s">
        <v>46</v>
      </c>
      <c r="J1926" s="7">
        <v>1148.48</v>
      </c>
      <c r="K1926" s="8">
        <v>4</v>
      </c>
      <c r="L1926" s="7">
        <v>-10.96</v>
      </c>
    </row>
    <row r="1927" spans="1:12" x14ac:dyDescent="0.2">
      <c r="A1927" s="2">
        <v>43026</v>
      </c>
      <c r="B1927" s="8">
        <f>YEAR(Sales_data[[#This Row],[Order Date]])</f>
        <v>2017</v>
      </c>
      <c r="C1927" s="8">
        <f>MONTH(Sales_data[[#This Row],[Order Date]])</f>
        <v>10</v>
      </c>
      <c r="D1927" s="8" t="str">
        <f>TEXT(Sales_data[[#This Row],[Order Date]],"mmm")</f>
        <v>Oct</v>
      </c>
      <c r="E1927" t="s">
        <v>12</v>
      </c>
      <c r="F1927" t="s">
        <v>25</v>
      </c>
      <c r="G1927" t="s">
        <v>34</v>
      </c>
      <c r="H1927" t="s">
        <v>36</v>
      </c>
      <c r="I1927" t="s">
        <v>46</v>
      </c>
      <c r="J1927" s="7">
        <v>1887.69</v>
      </c>
      <c r="K1927" s="8">
        <v>4</v>
      </c>
      <c r="L1927" s="7">
        <v>84.21</v>
      </c>
    </row>
    <row r="1928" spans="1:12" x14ac:dyDescent="0.2">
      <c r="A1928" s="2">
        <v>43028</v>
      </c>
      <c r="B1928" s="8">
        <f>YEAR(Sales_data[[#This Row],[Order Date]])</f>
        <v>2017</v>
      </c>
      <c r="C1928" s="8">
        <f>MONTH(Sales_data[[#This Row],[Order Date]])</f>
        <v>10</v>
      </c>
      <c r="D1928" s="8" t="str">
        <f>TEXT(Sales_data[[#This Row],[Order Date]],"mmm")</f>
        <v>Oct</v>
      </c>
      <c r="E1928" t="s">
        <v>18</v>
      </c>
      <c r="F1928" t="s">
        <v>23</v>
      </c>
      <c r="G1928" t="s">
        <v>32</v>
      </c>
      <c r="H1928" t="s">
        <v>35</v>
      </c>
      <c r="I1928" t="s">
        <v>52</v>
      </c>
      <c r="J1928" s="7">
        <v>369.04</v>
      </c>
      <c r="K1928" s="8">
        <v>1</v>
      </c>
      <c r="L1928" s="7">
        <v>-121.31</v>
      </c>
    </row>
    <row r="1929" spans="1:12" x14ac:dyDescent="0.2">
      <c r="A1929" s="2">
        <v>43030</v>
      </c>
      <c r="B1929" s="8">
        <f>YEAR(Sales_data[[#This Row],[Order Date]])</f>
        <v>2017</v>
      </c>
      <c r="C1929" s="8">
        <f>MONTH(Sales_data[[#This Row],[Order Date]])</f>
        <v>10</v>
      </c>
      <c r="D1929" s="8" t="str">
        <f>TEXT(Sales_data[[#This Row],[Order Date]],"mmm")</f>
        <v>Oct</v>
      </c>
      <c r="E1929" t="s">
        <v>20</v>
      </c>
      <c r="F1929" t="s">
        <v>25</v>
      </c>
      <c r="G1929" t="s">
        <v>33</v>
      </c>
      <c r="H1929" t="s">
        <v>42</v>
      </c>
      <c r="I1929" t="s">
        <v>44</v>
      </c>
      <c r="J1929" s="7">
        <v>1438.34</v>
      </c>
      <c r="K1929" s="8">
        <v>5</v>
      </c>
      <c r="L1929" s="7">
        <v>-8.5399999999999991</v>
      </c>
    </row>
    <row r="1930" spans="1:12" x14ac:dyDescent="0.2">
      <c r="A1930" s="2">
        <v>43032</v>
      </c>
      <c r="B1930" s="8">
        <f>YEAR(Sales_data[[#This Row],[Order Date]])</f>
        <v>2017</v>
      </c>
      <c r="C1930" s="8">
        <f>MONTH(Sales_data[[#This Row],[Order Date]])</f>
        <v>10</v>
      </c>
      <c r="D1930" s="8" t="str">
        <f>TEXT(Sales_data[[#This Row],[Order Date]],"mmm")</f>
        <v>Oct</v>
      </c>
      <c r="E1930" t="s">
        <v>10</v>
      </c>
      <c r="F1930" t="s">
        <v>23</v>
      </c>
      <c r="G1930" t="s">
        <v>32</v>
      </c>
      <c r="H1930" t="s">
        <v>39</v>
      </c>
      <c r="I1930" t="s">
        <v>50</v>
      </c>
      <c r="J1930" s="7">
        <v>1135.46</v>
      </c>
      <c r="K1930" s="8">
        <v>7</v>
      </c>
      <c r="L1930" s="7">
        <v>-27.86</v>
      </c>
    </row>
    <row r="1931" spans="1:12" x14ac:dyDescent="0.2">
      <c r="A1931" s="2">
        <v>43032</v>
      </c>
      <c r="B1931" s="8">
        <f>YEAR(Sales_data[[#This Row],[Order Date]])</f>
        <v>2017</v>
      </c>
      <c r="C1931" s="8">
        <f>MONTH(Sales_data[[#This Row],[Order Date]])</f>
        <v>10</v>
      </c>
      <c r="D1931" s="8" t="str">
        <f>TEXT(Sales_data[[#This Row],[Order Date]],"mmm")</f>
        <v>Oct</v>
      </c>
      <c r="E1931" t="s">
        <v>16</v>
      </c>
      <c r="F1931" t="s">
        <v>26</v>
      </c>
      <c r="G1931" t="s">
        <v>32</v>
      </c>
      <c r="H1931" t="s">
        <v>39</v>
      </c>
      <c r="I1931" t="s">
        <v>44</v>
      </c>
      <c r="J1931" s="7">
        <v>1028.93</v>
      </c>
      <c r="K1931" s="8">
        <v>7</v>
      </c>
      <c r="L1931" s="7">
        <v>-2.44</v>
      </c>
    </row>
    <row r="1932" spans="1:12" x14ac:dyDescent="0.2">
      <c r="A1932" s="2">
        <v>43032</v>
      </c>
      <c r="B1932" s="8">
        <f>YEAR(Sales_data[[#This Row],[Order Date]])</f>
        <v>2017</v>
      </c>
      <c r="C1932" s="8">
        <f>MONTH(Sales_data[[#This Row],[Order Date]])</f>
        <v>10</v>
      </c>
      <c r="D1932" s="8" t="str">
        <f>TEXT(Sales_data[[#This Row],[Order Date]],"mmm")</f>
        <v>Oct</v>
      </c>
      <c r="E1932" t="s">
        <v>20</v>
      </c>
      <c r="F1932" t="s">
        <v>22</v>
      </c>
      <c r="G1932" t="s">
        <v>34</v>
      </c>
      <c r="H1932" t="s">
        <v>36</v>
      </c>
      <c r="I1932" t="s">
        <v>52</v>
      </c>
      <c r="J1932" s="7">
        <v>328.23</v>
      </c>
      <c r="K1932" s="8">
        <v>3</v>
      </c>
      <c r="L1932" s="7">
        <v>32.82</v>
      </c>
    </row>
    <row r="1933" spans="1:12" x14ac:dyDescent="0.2">
      <c r="A1933" s="2">
        <v>43032</v>
      </c>
      <c r="B1933" s="8">
        <f>YEAR(Sales_data[[#This Row],[Order Date]])</f>
        <v>2017</v>
      </c>
      <c r="C1933" s="8">
        <f>MONTH(Sales_data[[#This Row],[Order Date]])</f>
        <v>10</v>
      </c>
      <c r="D1933" s="8" t="str">
        <f>TEXT(Sales_data[[#This Row],[Order Date]],"mmm")</f>
        <v>Oct</v>
      </c>
      <c r="E1933" t="s">
        <v>19</v>
      </c>
      <c r="F1933" t="s">
        <v>26</v>
      </c>
      <c r="G1933" t="s">
        <v>34</v>
      </c>
      <c r="H1933" t="s">
        <v>42</v>
      </c>
      <c r="I1933" t="s">
        <v>46</v>
      </c>
      <c r="J1933" s="7">
        <v>1816.99</v>
      </c>
      <c r="K1933" s="8">
        <v>2</v>
      </c>
      <c r="L1933" s="7">
        <v>-53.38</v>
      </c>
    </row>
    <row r="1934" spans="1:12" x14ac:dyDescent="0.2">
      <c r="A1934" s="2">
        <v>43033</v>
      </c>
      <c r="B1934" s="8">
        <f>YEAR(Sales_data[[#This Row],[Order Date]])</f>
        <v>2017</v>
      </c>
      <c r="C1934" s="8">
        <f>MONTH(Sales_data[[#This Row],[Order Date]])</f>
        <v>10</v>
      </c>
      <c r="D1934" s="8" t="str">
        <f>TEXT(Sales_data[[#This Row],[Order Date]],"mmm")</f>
        <v>Oct</v>
      </c>
      <c r="E1934" t="s">
        <v>14</v>
      </c>
      <c r="F1934" t="s">
        <v>25</v>
      </c>
      <c r="G1934" t="s">
        <v>34</v>
      </c>
      <c r="H1934" t="s">
        <v>41</v>
      </c>
      <c r="I1934" t="s">
        <v>44</v>
      </c>
      <c r="J1934" s="7">
        <v>1108.92</v>
      </c>
      <c r="K1934" s="8">
        <v>8</v>
      </c>
      <c r="L1934" s="7">
        <v>37.14</v>
      </c>
    </row>
    <row r="1935" spans="1:12" x14ac:dyDescent="0.2">
      <c r="A1935" s="2">
        <v>43034</v>
      </c>
      <c r="B1935" s="8">
        <f>YEAR(Sales_data[[#This Row],[Order Date]])</f>
        <v>2017</v>
      </c>
      <c r="C1935" s="8">
        <f>MONTH(Sales_data[[#This Row],[Order Date]])</f>
        <v>10</v>
      </c>
      <c r="D1935" s="8" t="str">
        <f>TEXT(Sales_data[[#This Row],[Order Date]],"mmm")</f>
        <v>Oct</v>
      </c>
      <c r="E1935" t="s">
        <v>13</v>
      </c>
      <c r="F1935" t="s">
        <v>30</v>
      </c>
      <c r="G1935" t="s">
        <v>33</v>
      </c>
      <c r="H1935" t="s">
        <v>36</v>
      </c>
      <c r="I1935" t="s">
        <v>47</v>
      </c>
      <c r="J1935" s="7">
        <v>1862.31</v>
      </c>
      <c r="K1935" s="8">
        <v>8</v>
      </c>
      <c r="L1935" s="7">
        <v>44.03</v>
      </c>
    </row>
    <row r="1936" spans="1:12" x14ac:dyDescent="0.2">
      <c r="A1936" s="2">
        <v>43034</v>
      </c>
      <c r="B1936" s="8">
        <f>YEAR(Sales_data[[#This Row],[Order Date]])</f>
        <v>2017</v>
      </c>
      <c r="C1936" s="8">
        <f>MONTH(Sales_data[[#This Row],[Order Date]])</f>
        <v>10</v>
      </c>
      <c r="D1936" s="8" t="str">
        <f>TEXT(Sales_data[[#This Row],[Order Date]],"mmm")</f>
        <v>Oct</v>
      </c>
      <c r="E1936" t="s">
        <v>10</v>
      </c>
      <c r="F1936" t="s">
        <v>26</v>
      </c>
      <c r="G1936" t="s">
        <v>33</v>
      </c>
      <c r="H1936" t="s">
        <v>35</v>
      </c>
      <c r="I1936" t="s">
        <v>48</v>
      </c>
      <c r="J1936" s="7">
        <v>608.29999999999995</v>
      </c>
      <c r="K1936" s="8">
        <v>8</v>
      </c>
      <c r="L1936" s="7">
        <v>218.01</v>
      </c>
    </row>
    <row r="1937" spans="1:12" x14ac:dyDescent="0.2">
      <c r="A1937" s="2">
        <v>43034</v>
      </c>
      <c r="B1937" s="8">
        <f>YEAR(Sales_data[[#This Row],[Order Date]])</f>
        <v>2017</v>
      </c>
      <c r="C1937" s="8">
        <f>MONTH(Sales_data[[#This Row],[Order Date]])</f>
        <v>10</v>
      </c>
      <c r="D1937" s="8" t="str">
        <f>TEXT(Sales_data[[#This Row],[Order Date]],"mmm")</f>
        <v>Oct</v>
      </c>
      <c r="E1937" t="s">
        <v>13</v>
      </c>
      <c r="F1937" t="s">
        <v>22</v>
      </c>
      <c r="G1937" t="s">
        <v>34</v>
      </c>
      <c r="H1937" t="s">
        <v>35</v>
      </c>
      <c r="I1937" t="s">
        <v>48</v>
      </c>
      <c r="J1937" s="7">
        <v>46.96</v>
      </c>
      <c r="K1937" s="8">
        <v>5</v>
      </c>
      <c r="L1937" s="7">
        <v>-155.13</v>
      </c>
    </row>
    <row r="1938" spans="1:12" x14ac:dyDescent="0.2">
      <c r="A1938" s="2">
        <v>43036</v>
      </c>
      <c r="B1938" s="8">
        <f>YEAR(Sales_data[[#This Row],[Order Date]])</f>
        <v>2017</v>
      </c>
      <c r="C1938" s="8">
        <f>MONTH(Sales_data[[#This Row],[Order Date]])</f>
        <v>10</v>
      </c>
      <c r="D1938" s="8" t="str">
        <f>TEXT(Sales_data[[#This Row],[Order Date]],"mmm")</f>
        <v>Oct</v>
      </c>
      <c r="E1938" t="s">
        <v>11</v>
      </c>
      <c r="F1938" t="s">
        <v>25</v>
      </c>
      <c r="G1938" t="s">
        <v>32</v>
      </c>
      <c r="H1938" t="s">
        <v>39</v>
      </c>
      <c r="I1938" t="s">
        <v>52</v>
      </c>
      <c r="J1938" s="7">
        <v>1047.98</v>
      </c>
      <c r="K1938" s="8">
        <v>3</v>
      </c>
      <c r="L1938" s="7">
        <v>324.23</v>
      </c>
    </row>
    <row r="1939" spans="1:12" x14ac:dyDescent="0.2">
      <c r="A1939" s="2">
        <v>43037</v>
      </c>
      <c r="B1939" s="8">
        <f>YEAR(Sales_data[[#This Row],[Order Date]])</f>
        <v>2017</v>
      </c>
      <c r="C1939" s="8">
        <f>MONTH(Sales_data[[#This Row],[Order Date]])</f>
        <v>10</v>
      </c>
      <c r="D1939" s="8" t="str">
        <f>TEXT(Sales_data[[#This Row],[Order Date]],"mmm")</f>
        <v>Oct</v>
      </c>
      <c r="E1939" t="s">
        <v>11</v>
      </c>
      <c r="F1939" t="s">
        <v>25</v>
      </c>
      <c r="G1939" t="s">
        <v>34</v>
      </c>
      <c r="H1939" t="s">
        <v>40</v>
      </c>
      <c r="I1939" t="s">
        <v>51</v>
      </c>
      <c r="J1939" s="7">
        <v>1708.72</v>
      </c>
      <c r="K1939" s="8">
        <v>9</v>
      </c>
      <c r="L1939" s="7">
        <v>-124.07</v>
      </c>
    </row>
    <row r="1940" spans="1:12" x14ac:dyDescent="0.2">
      <c r="A1940" s="2">
        <v>43037</v>
      </c>
      <c r="B1940" s="8">
        <f>YEAR(Sales_data[[#This Row],[Order Date]])</f>
        <v>2017</v>
      </c>
      <c r="C1940" s="8">
        <f>MONTH(Sales_data[[#This Row],[Order Date]])</f>
        <v>10</v>
      </c>
      <c r="D1940" s="8" t="str">
        <f>TEXT(Sales_data[[#This Row],[Order Date]],"mmm")</f>
        <v>Oct</v>
      </c>
      <c r="E1940" t="s">
        <v>17</v>
      </c>
      <c r="F1940" t="s">
        <v>28</v>
      </c>
      <c r="G1940" t="s">
        <v>33</v>
      </c>
      <c r="H1940" t="s">
        <v>35</v>
      </c>
      <c r="I1940" t="s">
        <v>51</v>
      </c>
      <c r="J1940" s="7">
        <v>382.95</v>
      </c>
      <c r="K1940" s="8">
        <v>3</v>
      </c>
      <c r="L1940" s="7">
        <v>19.05</v>
      </c>
    </row>
    <row r="1941" spans="1:12" x14ac:dyDescent="0.2">
      <c r="A1941" s="2">
        <v>43037</v>
      </c>
      <c r="B1941" s="8">
        <f>YEAR(Sales_data[[#This Row],[Order Date]])</f>
        <v>2017</v>
      </c>
      <c r="C1941" s="8">
        <f>MONTH(Sales_data[[#This Row],[Order Date]])</f>
        <v>10</v>
      </c>
      <c r="D1941" s="8" t="str">
        <f>TEXT(Sales_data[[#This Row],[Order Date]],"mmm")</f>
        <v>Oct</v>
      </c>
      <c r="E1941" t="s">
        <v>10</v>
      </c>
      <c r="F1941" t="s">
        <v>22</v>
      </c>
      <c r="G1941" t="s">
        <v>32</v>
      </c>
      <c r="H1941" t="s">
        <v>40</v>
      </c>
      <c r="I1941" t="s">
        <v>47</v>
      </c>
      <c r="J1941" s="7">
        <v>244.54</v>
      </c>
      <c r="K1941" s="8">
        <v>5</v>
      </c>
      <c r="L1941" s="7">
        <v>22.1</v>
      </c>
    </row>
    <row r="1942" spans="1:12" x14ac:dyDescent="0.2">
      <c r="A1942" s="2">
        <v>43037</v>
      </c>
      <c r="B1942" s="8">
        <f>YEAR(Sales_data[[#This Row],[Order Date]])</f>
        <v>2017</v>
      </c>
      <c r="C1942" s="8">
        <f>MONTH(Sales_data[[#This Row],[Order Date]])</f>
        <v>10</v>
      </c>
      <c r="D1942" s="8" t="str">
        <f>TEXT(Sales_data[[#This Row],[Order Date]],"mmm")</f>
        <v>Oct</v>
      </c>
      <c r="E1942" t="s">
        <v>13</v>
      </c>
      <c r="F1942" t="s">
        <v>23</v>
      </c>
      <c r="G1942" t="s">
        <v>32</v>
      </c>
      <c r="H1942" t="s">
        <v>41</v>
      </c>
      <c r="I1942" t="s">
        <v>45</v>
      </c>
      <c r="J1942" s="7">
        <v>1082.25</v>
      </c>
      <c r="K1942" s="8">
        <v>8</v>
      </c>
      <c r="L1942" s="7">
        <v>134.18</v>
      </c>
    </row>
    <row r="1943" spans="1:12" x14ac:dyDescent="0.2">
      <c r="A1943" s="2">
        <v>43039</v>
      </c>
      <c r="B1943" s="8">
        <f>YEAR(Sales_data[[#This Row],[Order Date]])</f>
        <v>2017</v>
      </c>
      <c r="C1943" s="8">
        <f>MONTH(Sales_data[[#This Row],[Order Date]])</f>
        <v>10</v>
      </c>
      <c r="D1943" s="8" t="str">
        <f>TEXT(Sales_data[[#This Row],[Order Date]],"mmm")</f>
        <v>Oct</v>
      </c>
      <c r="E1943" t="s">
        <v>9</v>
      </c>
      <c r="F1943" t="s">
        <v>25</v>
      </c>
      <c r="G1943" t="s">
        <v>32</v>
      </c>
      <c r="H1943" t="s">
        <v>35</v>
      </c>
      <c r="I1943" t="s">
        <v>44</v>
      </c>
      <c r="J1943" s="7">
        <v>20</v>
      </c>
      <c r="K1943" s="8">
        <v>1</v>
      </c>
      <c r="L1943" s="7">
        <v>-171</v>
      </c>
    </row>
    <row r="1944" spans="1:12" x14ac:dyDescent="0.2">
      <c r="A1944" s="2">
        <v>43043</v>
      </c>
      <c r="B1944" s="8">
        <f>YEAR(Sales_data[[#This Row],[Order Date]])</f>
        <v>2017</v>
      </c>
      <c r="C1944" s="8">
        <f>MONTH(Sales_data[[#This Row],[Order Date]])</f>
        <v>11</v>
      </c>
      <c r="D1944" s="8" t="str">
        <f>TEXT(Sales_data[[#This Row],[Order Date]],"mmm")</f>
        <v>Nov</v>
      </c>
      <c r="E1944" t="s">
        <v>13</v>
      </c>
      <c r="F1944" t="s">
        <v>27</v>
      </c>
      <c r="G1944" t="s">
        <v>34</v>
      </c>
      <c r="H1944" t="s">
        <v>42</v>
      </c>
      <c r="I1944" t="s">
        <v>52</v>
      </c>
      <c r="J1944" s="7">
        <v>1111.92</v>
      </c>
      <c r="K1944" s="8">
        <v>3</v>
      </c>
      <c r="L1944" s="7">
        <v>161.77000000000001</v>
      </c>
    </row>
    <row r="1945" spans="1:12" x14ac:dyDescent="0.2">
      <c r="A1945" s="2">
        <v>43043</v>
      </c>
      <c r="B1945" s="8">
        <f>YEAR(Sales_data[[#This Row],[Order Date]])</f>
        <v>2017</v>
      </c>
      <c r="C1945" s="8">
        <f>MONTH(Sales_data[[#This Row],[Order Date]])</f>
        <v>11</v>
      </c>
      <c r="D1945" s="8" t="str">
        <f>TEXT(Sales_data[[#This Row],[Order Date]],"mmm")</f>
        <v>Nov</v>
      </c>
      <c r="E1945" t="s">
        <v>19</v>
      </c>
      <c r="F1945" t="s">
        <v>25</v>
      </c>
      <c r="G1945" t="s">
        <v>34</v>
      </c>
      <c r="H1945" t="s">
        <v>41</v>
      </c>
      <c r="I1945" t="s">
        <v>45</v>
      </c>
      <c r="J1945" s="7">
        <v>927.46</v>
      </c>
      <c r="K1945" s="8">
        <v>7</v>
      </c>
      <c r="L1945" s="7">
        <v>132.13999999999999</v>
      </c>
    </row>
    <row r="1946" spans="1:12" x14ac:dyDescent="0.2">
      <c r="A1946" s="2">
        <v>43045</v>
      </c>
      <c r="B1946" s="8">
        <f>YEAR(Sales_data[[#This Row],[Order Date]])</f>
        <v>2017</v>
      </c>
      <c r="C1946" s="8">
        <f>MONTH(Sales_data[[#This Row],[Order Date]])</f>
        <v>11</v>
      </c>
      <c r="D1946" s="8" t="str">
        <f>TEXT(Sales_data[[#This Row],[Order Date]],"mmm")</f>
        <v>Nov</v>
      </c>
      <c r="E1946" t="s">
        <v>13</v>
      </c>
      <c r="F1946" t="s">
        <v>31</v>
      </c>
      <c r="G1946" t="s">
        <v>32</v>
      </c>
      <c r="H1946" t="s">
        <v>38</v>
      </c>
      <c r="I1946" t="s">
        <v>46</v>
      </c>
      <c r="J1946" s="7">
        <v>380.47</v>
      </c>
      <c r="K1946" s="8">
        <v>8</v>
      </c>
      <c r="L1946" s="7">
        <v>66.5</v>
      </c>
    </row>
    <row r="1947" spans="1:12" x14ac:dyDescent="0.2">
      <c r="A1947" s="2">
        <v>43046</v>
      </c>
      <c r="B1947" s="8">
        <f>YEAR(Sales_data[[#This Row],[Order Date]])</f>
        <v>2017</v>
      </c>
      <c r="C1947" s="8">
        <f>MONTH(Sales_data[[#This Row],[Order Date]])</f>
        <v>11</v>
      </c>
      <c r="D1947" s="8" t="str">
        <f>TEXT(Sales_data[[#This Row],[Order Date]],"mmm")</f>
        <v>Nov</v>
      </c>
      <c r="E1947" t="s">
        <v>15</v>
      </c>
      <c r="F1947" t="s">
        <v>23</v>
      </c>
      <c r="G1947" t="s">
        <v>34</v>
      </c>
      <c r="H1947" t="s">
        <v>37</v>
      </c>
      <c r="I1947" t="s">
        <v>48</v>
      </c>
      <c r="J1947" s="7">
        <v>600.63</v>
      </c>
      <c r="K1947" s="8">
        <v>7</v>
      </c>
      <c r="L1947" s="7">
        <v>285.7</v>
      </c>
    </row>
    <row r="1948" spans="1:12" x14ac:dyDescent="0.2">
      <c r="A1948" s="2">
        <v>43047</v>
      </c>
      <c r="B1948" s="8">
        <f>YEAR(Sales_data[[#This Row],[Order Date]])</f>
        <v>2017</v>
      </c>
      <c r="C1948" s="8">
        <f>MONTH(Sales_data[[#This Row],[Order Date]])</f>
        <v>11</v>
      </c>
      <c r="D1948" s="8" t="str">
        <f>TEXT(Sales_data[[#This Row],[Order Date]],"mmm")</f>
        <v>Nov</v>
      </c>
      <c r="E1948" t="s">
        <v>18</v>
      </c>
      <c r="F1948" t="s">
        <v>29</v>
      </c>
      <c r="G1948" t="s">
        <v>33</v>
      </c>
      <c r="H1948" t="s">
        <v>38</v>
      </c>
      <c r="I1948" t="s">
        <v>51</v>
      </c>
      <c r="J1948" s="7">
        <v>125</v>
      </c>
      <c r="K1948" s="8">
        <v>2</v>
      </c>
      <c r="L1948" s="7">
        <v>395.03</v>
      </c>
    </row>
    <row r="1949" spans="1:12" x14ac:dyDescent="0.2">
      <c r="A1949" s="2">
        <v>43047</v>
      </c>
      <c r="B1949" s="8">
        <f>YEAR(Sales_data[[#This Row],[Order Date]])</f>
        <v>2017</v>
      </c>
      <c r="C1949" s="8">
        <f>MONTH(Sales_data[[#This Row],[Order Date]])</f>
        <v>11</v>
      </c>
      <c r="D1949" s="8" t="str">
        <f>TEXT(Sales_data[[#This Row],[Order Date]],"mmm")</f>
        <v>Nov</v>
      </c>
      <c r="E1949" t="s">
        <v>21</v>
      </c>
      <c r="F1949" t="s">
        <v>30</v>
      </c>
      <c r="G1949" t="s">
        <v>32</v>
      </c>
      <c r="H1949" t="s">
        <v>38</v>
      </c>
      <c r="I1949" t="s">
        <v>45</v>
      </c>
      <c r="J1949" s="7">
        <v>906.26</v>
      </c>
      <c r="K1949" s="8">
        <v>2</v>
      </c>
      <c r="L1949" s="7">
        <v>258.10000000000002</v>
      </c>
    </row>
    <row r="1950" spans="1:12" x14ac:dyDescent="0.2">
      <c r="A1950" s="2">
        <v>43047</v>
      </c>
      <c r="B1950" s="8">
        <f>YEAR(Sales_data[[#This Row],[Order Date]])</f>
        <v>2017</v>
      </c>
      <c r="C1950" s="8">
        <f>MONTH(Sales_data[[#This Row],[Order Date]])</f>
        <v>11</v>
      </c>
      <c r="D1950" s="8" t="str">
        <f>TEXT(Sales_data[[#This Row],[Order Date]],"mmm")</f>
        <v>Nov</v>
      </c>
      <c r="E1950" t="s">
        <v>19</v>
      </c>
      <c r="F1950" t="s">
        <v>28</v>
      </c>
      <c r="G1950" t="s">
        <v>34</v>
      </c>
      <c r="H1950" t="s">
        <v>38</v>
      </c>
      <c r="I1950" t="s">
        <v>44</v>
      </c>
      <c r="J1950" s="7">
        <v>1809.9</v>
      </c>
      <c r="K1950" s="8">
        <v>3</v>
      </c>
      <c r="L1950" s="7">
        <v>255.36</v>
      </c>
    </row>
    <row r="1951" spans="1:12" x14ac:dyDescent="0.2">
      <c r="A1951" s="2">
        <v>43048</v>
      </c>
      <c r="B1951" s="8">
        <f>YEAR(Sales_data[[#This Row],[Order Date]])</f>
        <v>2017</v>
      </c>
      <c r="C1951" s="8">
        <f>MONTH(Sales_data[[#This Row],[Order Date]])</f>
        <v>11</v>
      </c>
      <c r="D1951" s="8" t="str">
        <f>TEXT(Sales_data[[#This Row],[Order Date]],"mmm")</f>
        <v>Nov</v>
      </c>
      <c r="E1951" t="s">
        <v>18</v>
      </c>
      <c r="F1951" t="s">
        <v>30</v>
      </c>
      <c r="G1951" t="s">
        <v>33</v>
      </c>
      <c r="H1951" t="s">
        <v>40</v>
      </c>
      <c r="I1951" t="s">
        <v>49</v>
      </c>
      <c r="J1951" s="7">
        <v>587.66</v>
      </c>
      <c r="K1951" s="8">
        <v>8</v>
      </c>
      <c r="L1951" s="7">
        <v>73.64</v>
      </c>
    </row>
    <row r="1952" spans="1:12" x14ac:dyDescent="0.2">
      <c r="A1952" s="2">
        <v>43049</v>
      </c>
      <c r="B1952" s="8">
        <f>YEAR(Sales_data[[#This Row],[Order Date]])</f>
        <v>2017</v>
      </c>
      <c r="C1952" s="8">
        <f>MONTH(Sales_data[[#This Row],[Order Date]])</f>
        <v>11</v>
      </c>
      <c r="D1952" s="8" t="str">
        <f>TEXT(Sales_data[[#This Row],[Order Date]],"mmm")</f>
        <v>Nov</v>
      </c>
      <c r="E1952" t="s">
        <v>13</v>
      </c>
      <c r="F1952" t="s">
        <v>23</v>
      </c>
      <c r="G1952" t="s">
        <v>34</v>
      </c>
      <c r="H1952" t="s">
        <v>36</v>
      </c>
      <c r="I1952" t="s">
        <v>44</v>
      </c>
      <c r="J1952" s="7">
        <v>1830.62</v>
      </c>
      <c r="K1952" s="8">
        <v>5</v>
      </c>
      <c r="L1952" s="7">
        <v>170.57</v>
      </c>
    </row>
    <row r="1953" spans="1:12" x14ac:dyDescent="0.2">
      <c r="A1953" s="2">
        <v>43049</v>
      </c>
      <c r="B1953" s="8">
        <f>YEAR(Sales_data[[#This Row],[Order Date]])</f>
        <v>2017</v>
      </c>
      <c r="C1953" s="8">
        <f>MONTH(Sales_data[[#This Row],[Order Date]])</f>
        <v>11</v>
      </c>
      <c r="D1953" s="8" t="str">
        <f>TEXT(Sales_data[[#This Row],[Order Date]],"mmm")</f>
        <v>Nov</v>
      </c>
      <c r="E1953" t="s">
        <v>14</v>
      </c>
      <c r="F1953" t="s">
        <v>30</v>
      </c>
      <c r="G1953" t="s">
        <v>32</v>
      </c>
      <c r="H1953" t="s">
        <v>35</v>
      </c>
      <c r="I1953" t="s">
        <v>52</v>
      </c>
      <c r="J1953" s="7">
        <v>1914.64</v>
      </c>
      <c r="K1953" s="8">
        <v>4</v>
      </c>
      <c r="L1953" s="7">
        <v>-140.19999999999999</v>
      </c>
    </row>
    <row r="1954" spans="1:12" x14ac:dyDescent="0.2">
      <c r="A1954" s="2">
        <v>43050</v>
      </c>
      <c r="B1954" s="8">
        <f>YEAR(Sales_data[[#This Row],[Order Date]])</f>
        <v>2017</v>
      </c>
      <c r="C1954" s="8">
        <f>MONTH(Sales_data[[#This Row],[Order Date]])</f>
        <v>11</v>
      </c>
      <c r="D1954" s="8" t="str">
        <f>TEXT(Sales_data[[#This Row],[Order Date]],"mmm")</f>
        <v>Nov</v>
      </c>
      <c r="E1954" t="s">
        <v>14</v>
      </c>
      <c r="F1954" t="s">
        <v>25</v>
      </c>
      <c r="G1954" t="s">
        <v>33</v>
      </c>
      <c r="H1954" t="s">
        <v>37</v>
      </c>
      <c r="I1954" t="s">
        <v>48</v>
      </c>
      <c r="J1954" s="7">
        <v>285.37</v>
      </c>
      <c r="K1954" s="8">
        <v>7</v>
      </c>
      <c r="L1954" s="7">
        <v>213.15</v>
      </c>
    </row>
    <row r="1955" spans="1:12" x14ac:dyDescent="0.2">
      <c r="A1955" s="2">
        <v>43051</v>
      </c>
      <c r="B1955" s="8">
        <f>YEAR(Sales_data[[#This Row],[Order Date]])</f>
        <v>2017</v>
      </c>
      <c r="C1955" s="8">
        <f>MONTH(Sales_data[[#This Row],[Order Date]])</f>
        <v>11</v>
      </c>
      <c r="D1955" s="8" t="str">
        <f>TEXT(Sales_data[[#This Row],[Order Date]],"mmm")</f>
        <v>Nov</v>
      </c>
      <c r="E1955" t="s">
        <v>14</v>
      </c>
      <c r="F1955" t="s">
        <v>26</v>
      </c>
      <c r="G1955" t="s">
        <v>32</v>
      </c>
      <c r="H1955" t="s">
        <v>43</v>
      </c>
      <c r="I1955" t="s">
        <v>49</v>
      </c>
      <c r="J1955" s="7">
        <v>1783.99</v>
      </c>
      <c r="K1955" s="8">
        <v>4</v>
      </c>
      <c r="L1955" s="7">
        <v>208.04</v>
      </c>
    </row>
    <row r="1956" spans="1:12" x14ac:dyDescent="0.2">
      <c r="A1956" s="2">
        <v>43056</v>
      </c>
      <c r="B1956" s="8">
        <f>YEAR(Sales_data[[#This Row],[Order Date]])</f>
        <v>2017</v>
      </c>
      <c r="C1956" s="8">
        <f>MONTH(Sales_data[[#This Row],[Order Date]])</f>
        <v>11</v>
      </c>
      <c r="D1956" s="8" t="str">
        <f>TEXT(Sales_data[[#This Row],[Order Date]],"mmm")</f>
        <v>Nov</v>
      </c>
      <c r="E1956" t="s">
        <v>11</v>
      </c>
      <c r="F1956" t="s">
        <v>28</v>
      </c>
      <c r="G1956" t="s">
        <v>33</v>
      </c>
      <c r="H1956" t="s">
        <v>38</v>
      </c>
      <c r="I1956" t="s">
        <v>50</v>
      </c>
      <c r="J1956" s="7">
        <v>1805.47</v>
      </c>
      <c r="K1956" s="8">
        <v>2</v>
      </c>
      <c r="L1956" s="7">
        <v>-52.34</v>
      </c>
    </row>
    <row r="1957" spans="1:12" x14ac:dyDescent="0.2">
      <c r="A1957" s="2">
        <v>43056</v>
      </c>
      <c r="B1957" s="8">
        <f>YEAR(Sales_data[[#This Row],[Order Date]])</f>
        <v>2017</v>
      </c>
      <c r="C1957" s="8">
        <f>MONTH(Sales_data[[#This Row],[Order Date]])</f>
        <v>11</v>
      </c>
      <c r="D1957" s="8" t="str">
        <f>TEXT(Sales_data[[#This Row],[Order Date]],"mmm")</f>
        <v>Nov</v>
      </c>
      <c r="E1957" t="s">
        <v>11</v>
      </c>
      <c r="F1957" t="s">
        <v>29</v>
      </c>
      <c r="G1957" t="s">
        <v>33</v>
      </c>
      <c r="H1957" t="s">
        <v>35</v>
      </c>
      <c r="I1957" t="s">
        <v>45</v>
      </c>
      <c r="J1957" s="7">
        <v>341.16</v>
      </c>
      <c r="K1957" s="8">
        <v>8</v>
      </c>
      <c r="L1957" s="7">
        <v>221.17</v>
      </c>
    </row>
    <row r="1958" spans="1:12" x14ac:dyDescent="0.2">
      <c r="A1958" s="2">
        <v>43057</v>
      </c>
      <c r="B1958" s="8">
        <f>YEAR(Sales_data[[#This Row],[Order Date]])</f>
        <v>2017</v>
      </c>
      <c r="C1958" s="8">
        <f>MONTH(Sales_data[[#This Row],[Order Date]])</f>
        <v>11</v>
      </c>
      <c r="D1958" s="8" t="str">
        <f>TEXT(Sales_data[[#This Row],[Order Date]],"mmm")</f>
        <v>Nov</v>
      </c>
      <c r="E1958" t="s">
        <v>12</v>
      </c>
      <c r="F1958" t="s">
        <v>31</v>
      </c>
      <c r="G1958" t="s">
        <v>34</v>
      </c>
      <c r="H1958" t="s">
        <v>40</v>
      </c>
      <c r="I1958" t="s">
        <v>52</v>
      </c>
      <c r="J1958" s="7">
        <v>706.22</v>
      </c>
      <c r="K1958" s="8">
        <v>8</v>
      </c>
      <c r="L1958" s="7">
        <v>-139.66999999999999</v>
      </c>
    </row>
    <row r="1959" spans="1:12" x14ac:dyDescent="0.2">
      <c r="A1959" s="2">
        <v>43060</v>
      </c>
      <c r="B1959" s="8">
        <f>YEAR(Sales_data[[#This Row],[Order Date]])</f>
        <v>2017</v>
      </c>
      <c r="C1959" s="8">
        <f>MONTH(Sales_data[[#This Row],[Order Date]])</f>
        <v>11</v>
      </c>
      <c r="D1959" s="8" t="str">
        <f>TEXT(Sales_data[[#This Row],[Order Date]],"mmm")</f>
        <v>Nov</v>
      </c>
      <c r="E1959" t="s">
        <v>15</v>
      </c>
      <c r="F1959" t="s">
        <v>23</v>
      </c>
      <c r="G1959" t="s">
        <v>33</v>
      </c>
      <c r="H1959" t="s">
        <v>37</v>
      </c>
      <c r="I1959" t="s">
        <v>48</v>
      </c>
      <c r="J1959" s="7">
        <v>1134.5</v>
      </c>
      <c r="K1959" s="8">
        <v>5</v>
      </c>
      <c r="L1959" s="7">
        <v>223.01</v>
      </c>
    </row>
    <row r="1960" spans="1:12" x14ac:dyDescent="0.2">
      <c r="A1960" s="2">
        <v>43060</v>
      </c>
      <c r="B1960" s="8">
        <f>YEAR(Sales_data[[#This Row],[Order Date]])</f>
        <v>2017</v>
      </c>
      <c r="C1960" s="8">
        <f>MONTH(Sales_data[[#This Row],[Order Date]])</f>
        <v>11</v>
      </c>
      <c r="D1960" s="8" t="str">
        <f>TEXT(Sales_data[[#This Row],[Order Date]],"mmm")</f>
        <v>Nov</v>
      </c>
      <c r="E1960" t="s">
        <v>18</v>
      </c>
      <c r="F1960" t="s">
        <v>22</v>
      </c>
      <c r="G1960" t="s">
        <v>34</v>
      </c>
      <c r="H1960" t="s">
        <v>36</v>
      </c>
      <c r="I1960" t="s">
        <v>46</v>
      </c>
      <c r="J1960" s="7">
        <v>1653.09</v>
      </c>
      <c r="K1960" s="8">
        <v>9</v>
      </c>
      <c r="L1960" s="7">
        <v>297.42</v>
      </c>
    </row>
    <row r="1961" spans="1:12" x14ac:dyDescent="0.2">
      <c r="A1961" s="2">
        <v>43062</v>
      </c>
      <c r="B1961" s="8">
        <f>YEAR(Sales_data[[#This Row],[Order Date]])</f>
        <v>2017</v>
      </c>
      <c r="C1961" s="8">
        <f>MONTH(Sales_data[[#This Row],[Order Date]])</f>
        <v>11</v>
      </c>
      <c r="D1961" s="8" t="str">
        <f>TEXT(Sales_data[[#This Row],[Order Date]],"mmm")</f>
        <v>Nov</v>
      </c>
      <c r="E1961" t="s">
        <v>21</v>
      </c>
      <c r="F1961" t="s">
        <v>30</v>
      </c>
      <c r="G1961" t="s">
        <v>33</v>
      </c>
      <c r="H1961" t="s">
        <v>42</v>
      </c>
      <c r="I1961" t="s">
        <v>46</v>
      </c>
      <c r="J1961" s="7">
        <v>1001.28</v>
      </c>
      <c r="K1961" s="8">
        <v>8</v>
      </c>
      <c r="L1961" s="7">
        <v>151.94999999999999</v>
      </c>
    </row>
    <row r="1962" spans="1:12" x14ac:dyDescent="0.2">
      <c r="A1962" s="2">
        <v>43065</v>
      </c>
      <c r="B1962" s="8">
        <f>YEAR(Sales_data[[#This Row],[Order Date]])</f>
        <v>2017</v>
      </c>
      <c r="C1962" s="8">
        <f>MONTH(Sales_data[[#This Row],[Order Date]])</f>
        <v>11</v>
      </c>
      <c r="D1962" s="8" t="str">
        <f>TEXT(Sales_data[[#This Row],[Order Date]],"mmm")</f>
        <v>Nov</v>
      </c>
      <c r="E1962" t="s">
        <v>18</v>
      </c>
      <c r="F1962" t="s">
        <v>23</v>
      </c>
      <c r="G1962" t="s">
        <v>32</v>
      </c>
      <c r="H1962" t="s">
        <v>36</v>
      </c>
      <c r="I1962" t="s">
        <v>49</v>
      </c>
      <c r="J1962" s="7">
        <v>1576.78</v>
      </c>
      <c r="K1962" s="8">
        <v>5</v>
      </c>
      <c r="L1962" s="7">
        <v>388.55</v>
      </c>
    </row>
    <row r="1963" spans="1:12" x14ac:dyDescent="0.2">
      <c r="A1963" s="2">
        <v>43067</v>
      </c>
      <c r="B1963" s="8">
        <f>YEAR(Sales_data[[#This Row],[Order Date]])</f>
        <v>2017</v>
      </c>
      <c r="C1963" s="8">
        <f>MONTH(Sales_data[[#This Row],[Order Date]])</f>
        <v>11</v>
      </c>
      <c r="D1963" s="8" t="str">
        <f>TEXT(Sales_data[[#This Row],[Order Date]],"mmm")</f>
        <v>Nov</v>
      </c>
      <c r="E1963" t="s">
        <v>15</v>
      </c>
      <c r="F1963" t="s">
        <v>30</v>
      </c>
      <c r="G1963" t="s">
        <v>32</v>
      </c>
      <c r="H1963" t="s">
        <v>39</v>
      </c>
      <c r="I1963" t="s">
        <v>46</v>
      </c>
      <c r="J1963" s="7">
        <v>1467.58</v>
      </c>
      <c r="K1963" s="8">
        <v>6</v>
      </c>
      <c r="L1963" s="7">
        <v>361.48</v>
      </c>
    </row>
    <row r="1964" spans="1:12" x14ac:dyDescent="0.2">
      <c r="A1964" s="2">
        <v>43067</v>
      </c>
      <c r="B1964" s="8">
        <f>YEAR(Sales_data[[#This Row],[Order Date]])</f>
        <v>2017</v>
      </c>
      <c r="C1964" s="8">
        <f>MONTH(Sales_data[[#This Row],[Order Date]])</f>
        <v>11</v>
      </c>
      <c r="D1964" s="8" t="str">
        <f>TEXT(Sales_data[[#This Row],[Order Date]],"mmm")</f>
        <v>Nov</v>
      </c>
      <c r="E1964" t="s">
        <v>15</v>
      </c>
      <c r="F1964" t="s">
        <v>27</v>
      </c>
      <c r="G1964" t="s">
        <v>34</v>
      </c>
      <c r="H1964" t="s">
        <v>42</v>
      </c>
      <c r="I1964" t="s">
        <v>44</v>
      </c>
      <c r="J1964" s="7">
        <v>1511.02</v>
      </c>
      <c r="K1964" s="8">
        <v>8</v>
      </c>
      <c r="L1964" s="7">
        <v>104.36</v>
      </c>
    </row>
    <row r="1965" spans="1:12" x14ac:dyDescent="0.2">
      <c r="A1965" s="2">
        <v>43067</v>
      </c>
      <c r="B1965" s="8">
        <f>YEAR(Sales_data[[#This Row],[Order Date]])</f>
        <v>2017</v>
      </c>
      <c r="C1965" s="8">
        <f>MONTH(Sales_data[[#This Row],[Order Date]])</f>
        <v>11</v>
      </c>
      <c r="D1965" s="8" t="str">
        <f>TEXT(Sales_data[[#This Row],[Order Date]],"mmm")</f>
        <v>Nov</v>
      </c>
      <c r="E1965" t="s">
        <v>18</v>
      </c>
      <c r="F1965" t="s">
        <v>26</v>
      </c>
      <c r="G1965" t="s">
        <v>32</v>
      </c>
      <c r="H1965" t="s">
        <v>37</v>
      </c>
      <c r="I1965" t="s">
        <v>45</v>
      </c>
      <c r="J1965" s="7">
        <v>609.44000000000005</v>
      </c>
      <c r="K1965" s="8">
        <v>9</v>
      </c>
      <c r="L1965" s="7">
        <v>229.12</v>
      </c>
    </row>
    <row r="1966" spans="1:12" x14ac:dyDescent="0.2">
      <c r="A1966" s="2">
        <v>43069</v>
      </c>
      <c r="B1966" s="8">
        <f>YEAR(Sales_data[[#This Row],[Order Date]])</f>
        <v>2017</v>
      </c>
      <c r="C1966" s="8">
        <f>MONTH(Sales_data[[#This Row],[Order Date]])</f>
        <v>11</v>
      </c>
      <c r="D1966" s="8" t="str">
        <f>TEXT(Sales_data[[#This Row],[Order Date]],"mmm")</f>
        <v>Nov</v>
      </c>
      <c r="E1966" t="s">
        <v>15</v>
      </c>
      <c r="F1966" t="s">
        <v>29</v>
      </c>
      <c r="G1966" t="s">
        <v>33</v>
      </c>
      <c r="H1966" t="s">
        <v>43</v>
      </c>
      <c r="I1966" t="s">
        <v>46</v>
      </c>
      <c r="J1966" s="7">
        <v>1111.32</v>
      </c>
      <c r="K1966" s="8">
        <v>2</v>
      </c>
      <c r="L1966" s="7">
        <v>109.82</v>
      </c>
    </row>
    <row r="1967" spans="1:12" x14ac:dyDescent="0.2">
      <c r="A1967" s="2">
        <v>43070</v>
      </c>
      <c r="B1967" s="8">
        <f>YEAR(Sales_data[[#This Row],[Order Date]])</f>
        <v>2017</v>
      </c>
      <c r="C1967" s="8">
        <f>MONTH(Sales_data[[#This Row],[Order Date]])</f>
        <v>12</v>
      </c>
      <c r="D1967" s="8" t="str">
        <f>TEXT(Sales_data[[#This Row],[Order Date]],"mmm")</f>
        <v>Dec</v>
      </c>
      <c r="E1967" t="s">
        <v>21</v>
      </c>
      <c r="F1967" t="s">
        <v>23</v>
      </c>
      <c r="G1967" t="s">
        <v>34</v>
      </c>
      <c r="H1967" t="s">
        <v>40</v>
      </c>
      <c r="I1967" t="s">
        <v>50</v>
      </c>
      <c r="J1967" s="7">
        <v>516.89</v>
      </c>
      <c r="K1967" s="8">
        <v>8</v>
      </c>
      <c r="L1967" s="7">
        <v>139.13</v>
      </c>
    </row>
    <row r="1968" spans="1:12" x14ac:dyDescent="0.2">
      <c r="A1968" s="2">
        <v>43070</v>
      </c>
      <c r="B1968" s="8">
        <f>YEAR(Sales_data[[#This Row],[Order Date]])</f>
        <v>2017</v>
      </c>
      <c r="C1968" s="8">
        <f>MONTH(Sales_data[[#This Row],[Order Date]])</f>
        <v>12</v>
      </c>
      <c r="D1968" s="8" t="str">
        <f>TEXT(Sales_data[[#This Row],[Order Date]],"mmm")</f>
        <v>Dec</v>
      </c>
      <c r="E1968" t="s">
        <v>9</v>
      </c>
      <c r="F1968" t="s">
        <v>23</v>
      </c>
      <c r="G1968" t="s">
        <v>34</v>
      </c>
      <c r="H1968" t="s">
        <v>37</v>
      </c>
      <c r="I1968" t="s">
        <v>48</v>
      </c>
      <c r="J1968" s="7">
        <v>581.79</v>
      </c>
      <c r="K1968" s="8">
        <v>9</v>
      </c>
      <c r="L1968" s="7">
        <v>219.86</v>
      </c>
    </row>
    <row r="1969" spans="1:12" x14ac:dyDescent="0.2">
      <c r="A1969" s="2">
        <v>43071</v>
      </c>
      <c r="B1969" s="8">
        <f>YEAR(Sales_data[[#This Row],[Order Date]])</f>
        <v>2017</v>
      </c>
      <c r="C1969" s="8">
        <f>MONTH(Sales_data[[#This Row],[Order Date]])</f>
        <v>12</v>
      </c>
      <c r="D1969" s="8" t="str">
        <f>TEXT(Sales_data[[#This Row],[Order Date]],"mmm")</f>
        <v>Dec</v>
      </c>
      <c r="E1969" t="s">
        <v>20</v>
      </c>
      <c r="F1969" t="s">
        <v>22</v>
      </c>
      <c r="G1969" t="s">
        <v>33</v>
      </c>
      <c r="H1969" t="s">
        <v>38</v>
      </c>
      <c r="I1969" t="s">
        <v>45</v>
      </c>
      <c r="J1969" s="7">
        <v>691.11</v>
      </c>
      <c r="K1969" s="8">
        <v>2</v>
      </c>
      <c r="L1969" s="7">
        <v>28.79</v>
      </c>
    </row>
    <row r="1970" spans="1:12" x14ac:dyDescent="0.2">
      <c r="A1970" s="2">
        <v>43071</v>
      </c>
      <c r="B1970" s="8">
        <f>YEAR(Sales_data[[#This Row],[Order Date]])</f>
        <v>2017</v>
      </c>
      <c r="C1970" s="8">
        <f>MONTH(Sales_data[[#This Row],[Order Date]])</f>
        <v>12</v>
      </c>
      <c r="D1970" s="8" t="str">
        <f>TEXT(Sales_data[[#This Row],[Order Date]],"mmm")</f>
        <v>Dec</v>
      </c>
      <c r="E1970" t="s">
        <v>11</v>
      </c>
      <c r="F1970" t="s">
        <v>26</v>
      </c>
      <c r="G1970" t="s">
        <v>32</v>
      </c>
      <c r="H1970" t="s">
        <v>37</v>
      </c>
      <c r="I1970" t="s">
        <v>44</v>
      </c>
      <c r="J1970" s="7">
        <v>1504.11</v>
      </c>
      <c r="K1970" s="8">
        <v>3</v>
      </c>
      <c r="L1970" s="7">
        <v>-17.809999999999999</v>
      </c>
    </row>
    <row r="1971" spans="1:12" x14ac:dyDescent="0.2">
      <c r="A1971" s="2">
        <v>43072</v>
      </c>
      <c r="B1971" s="8">
        <f>YEAR(Sales_data[[#This Row],[Order Date]])</f>
        <v>2017</v>
      </c>
      <c r="C1971" s="8">
        <f>MONTH(Sales_data[[#This Row],[Order Date]])</f>
        <v>12</v>
      </c>
      <c r="D1971" s="8" t="str">
        <f>TEXT(Sales_data[[#This Row],[Order Date]],"mmm")</f>
        <v>Dec</v>
      </c>
      <c r="E1971" t="s">
        <v>20</v>
      </c>
      <c r="F1971" t="s">
        <v>27</v>
      </c>
      <c r="G1971" t="s">
        <v>32</v>
      </c>
      <c r="H1971" t="s">
        <v>36</v>
      </c>
      <c r="I1971" t="s">
        <v>46</v>
      </c>
      <c r="J1971" s="7">
        <v>1474.51</v>
      </c>
      <c r="K1971" s="8">
        <v>7</v>
      </c>
      <c r="L1971" s="7">
        <v>-70.84</v>
      </c>
    </row>
    <row r="1972" spans="1:12" x14ac:dyDescent="0.2">
      <c r="A1972" s="2">
        <v>43072</v>
      </c>
      <c r="B1972" s="8">
        <f>YEAR(Sales_data[[#This Row],[Order Date]])</f>
        <v>2017</v>
      </c>
      <c r="C1972" s="8">
        <f>MONTH(Sales_data[[#This Row],[Order Date]])</f>
        <v>12</v>
      </c>
      <c r="D1972" s="8" t="str">
        <f>TEXT(Sales_data[[#This Row],[Order Date]],"mmm")</f>
        <v>Dec</v>
      </c>
      <c r="E1972" t="s">
        <v>9</v>
      </c>
      <c r="F1972" t="s">
        <v>22</v>
      </c>
      <c r="G1972" t="s">
        <v>34</v>
      </c>
      <c r="H1972" t="s">
        <v>36</v>
      </c>
      <c r="I1972" t="s">
        <v>46</v>
      </c>
      <c r="J1972" s="7">
        <v>893.45</v>
      </c>
      <c r="K1972" s="8">
        <v>2</v>
      </c>
      <c r="L1972" s="7">
        <v>-54.48</v>
      </c>
    </row>
    <row r="1973" spans="1:12" x14ac:dyDescent="0.2">
      <c r="A1973" s="2">
        <v>43074</v>
      </c>
      <c r="B1973" s="8">
        <f>YEAR(Sales_data[[#This Row],[Order Date]])</f>
        <v>2017</v>
      </c>
      <c r="C1973" s="8">
        <f>MONTH(Sales_data[[#This Row],[Order Date]])</f>
        <v>12</v>
      </c>
      <c r="D1973" s="8" t="str">
        <f>TEXT(Sales_data[[#This Row],[Order Date]],"mmm")</f>
        <v>Dec</v>
      </c>
      <c r="E1973" t="s">
        <v>10</v>
      </c>
      <c r="F1973" t="s">
        <v>23</v>
      </c>
      <c r="G1973" t="s">
        <v>32</v>
      </c>
      <c r="H1973" t="s">
        <v>37</v>
      </c>
      <c r="I1973" t="s">
        <v>50</v>
      </c>
      <c r="J1973" s="7">
        <v>665.41</v>
      </c>
      <c r="K1973" s="8">
        <v>9</v>
      </c>
      <c r="L1973" s="7">
        <v>-107.69</v>
      </c>
    </row>
    <row r="1974" spans="1:12" x14ac:dyDescent="0.2">
      <c r="A1974" s="2">
        <v>43074</v>
      </c>
      <c r="B1974" s="8">
        <f>YEAR(Sales_data[[#This Row],[Order Date]])</f>
        <v>2017</v>
      </c>
      <c r="C1974" s="8">
        <f>MONTH(Sales_data[[#This Row],[Order Date]])</f>
        <v>12</v>
      </c>
      <c r="D1974" s="8" t="str">
        <f>TEXT(Sales_data[[#This Row],[Order Date]],"mmm")</f>
        <v>Dec</v>
      </c>
      <c r="E1974" t="s">
        <v>13</v>
      </c>
      <c r="F1974" t="s">
        <v>27</v>
      </c>
      <c r="G1974" t="s">
        <v>34</v>
      </c>
      <c r="H1974" t="s">
        <v>41</v>
      </c>
      <c r="I1974" t="s">
        <v>47</v>
      </c>
      <c r="J1974" s="7">
        <v>549.11</v>
      </c>
      <c r="K1974" s="8">
        <v>5</v>
      </c>
      <c r="L1974" s="7">
        <v>132</v>
      </c>
    </row>
    <row r="1975" spans="1:12" x14ac:dyDescent="0.2">
      <c r="A1975" s="2">
        <v>43074</v>
      </c>
      <c r="B1975" s="8">
        <f>YEAR(Sales_data[[#This Row],[Order Date]])</f>
        <v>2017</v>
      </c>
      <c r="C1975" s="8">
        <f>MONTH(Sales_data[[#This Row],[Order Date]])</f>
        <v>12</v>
      </c>
      <c r="D1975" s="8" t="str">
        <f>TEXT(Sales_data[[#This Row],[Order Date]],"mmm")</f>
        <v>Dec</v>
      </c>
      <c r="E1975" t="s">
        <v>10</v>
      </c>
      <c r="F1975" t="s">
        <v>26</v>
      </c>
      <c r="G1975" t="s">
        <v>34</v>
      </c>
      <c r="H1975" t="s">
        <v>38</v>
      </c>
      <c r="I1975" t="s">
        <v>48</v>
      </c>
      <c r="J1975" s="7">
        <v>1295.44</v>
      </c>
      <c r="K1975" s="8">
        <v>5</v>
      </c>
      <c r="L1975" s="7">
        <v>394.1</v>
      </c>
    </row>
    <row r="1976" spans="1:12" x14ac:dyDescent="0.2">
      <c r="A1976" s="2">
        <v>43074</v>
      </c>
      <c r="B1976" s="8">
        <f>YEAR(Sales_data[[#This Row],[Order Date]])</f>
        <v>2017</v>
      </c>
      <c r="C1976" s="8">
        <f>MONTH(Sales_data[[#This Row],[Order Date]])</f>
        <v>12</v>
      </c>
      <c r="D1976" s="8" t="str">
        <f>TEXT(Sales_data[[#This Row],[Order Date]],"mmm")</f>
        <v>Dec</v>
      </c>
      <c r="E1976" t="s">
        <v>9</v>
      </c>
      <c r="F1976" t="s">
        <v>29</v>
      </c>
      <c r="G1976" t="s">
        <v>34</v>
      </c>
      <c r="H1976" t="s">
        <v>36</v>
      </c>
      <c r="I1976" t="s">
        <v>45</v>
      </c>
      <c r="J1976" s="7">
        <v>727.46</v>
      </c>
      <c r="K1976" s="8">
        <v>3</v>
      </c>
      <c r="L1976" s="7">
        <v>-7.39</v>
      </c>
    </row>
    <row r="1977" spans="1:12" x14ac:dyDescent="0.2">
      <c r="A1977" s="2">
        <v>43077</v>
      </c>
      <c r="B1977" s="8">
        <f>YEAR(Sales_data[[#This Row],[Order Date]])</f>
        <v>2017</v>
      </c>
      <c r="C1977" s="8">
        <f>MONTH(Sales_data[[#This Row],[Order Date]])</f>
        <v>12</v>
      </c>
      <c r="D1977" s="8" t="str">
        <f>TEXT(Sales_data[[#This Row],[Order Date]],"mmm")</f>
        <v>Dec</v>
      </c>
      <c r="E1977" t="s">
        <v>21</v>
      </c>
      <c r="F1977" t="s">
        <v>22</v>
      </c>
      <c r="G1977" t="s">
        <v>32</v>
      </c>
      <c r="H1977" t="s">
        <v>38</v>
      </c>
      <c r="I1977" t="s">
        <v>45</v>
      </c>
      <c r="J1977" s="7">
        <v>1055.47</v>
      </c>
      <c r="K1977" s="8">
        <v>7</v>
      </c>
      <c r="L1977" s="7">
        <v>60.01</v>
      </c>
    </row>
    <row r="1978" spans="1:12" x14ac:dyDescent="0.2">
      <c r="A1978" s="2">
        <v>43077</v>
      </c>
      <c r="B1978" s="8">
        <f>YEAR(Sales_data[[#This Row],[Order Date]])</f>
        <v>2017</v>
      </c>
      <c r="C1978" s="8">
        <f>MONTH(Sales_data[[#This Row],[Order Date]])</f>
        <v>12</v>
      </c>
      <c r="D1978" s="8" t="str">
        <f>TEXT(Sales_data[[#This Row],[Order Date]],"mmm")</f>
        <v>Dec</v>
      </c>
      <c r="E1978" t="s">
        <v>15</v>
      </c>
      <c r="F1978" t="s">
        <v>24</v>
      </c>
      <c r="G1978" t="s">
        <v>32</v>
      </c>
      <c r="H1978" t="s">
        <v>37</v>
      </c>
      <c r="I1978" t="s">
        <v>51</v>
      </c>
      <c r="J1978" s="7">
        <v>217.7</v>
      </c>
      <c r="K1978" s="8">
        <v>2</v>
      </c>
      <c r="L1978" s="7">
        <v>283.58999999999997</v>
      </c>
    </row>
    <row r="1979" spans="1:12" x14ac:dyDescent="0.2">
      <c r="A1979" s="2">
        <v>43077</v>
      </c>
      <c r="B1979" s="8">
        <f>YEAR(Sales_data[[#This Row],[Order Date]])</f>
        <v>2017</v>
      </c>
      <c r="C1979" s="8">
        <f>MONTH(Sales_data[[#This Row],[Order Date]])</f>
        <v>12</v>
      </c>
      <c r="D1979" s="8" t="str">
        <f>TEXT(Sales_data[[#This Row],[Order Date]],"mmm")</f>
        <v>Dec</v>
      </c>
      <c r="E1979" t="s">
        <v>16</v>
      </c>
      <c r="F1979" t="s">
        <v>29</v>
      </c>
      <c r="G1979" t="s">
        <v>34</v>
      </c>
      <c r="H1979" t="s">
        <v>36</v>
      </c>
      <c r="I1979" t="s">
        <v>46</v>
      </c>
      <c r="J1979" s="7">
        <v>892.07</v>
      </c>
      <c r="K1979" s="8">
        <v>8</v>
      </c>
      <c r="L1979" s="7">
        <v>-118.68</v>
      </c>
    </row>
    <row r="1980" spans="1:12" x14ac:dyDescent="0.2">
      <c r="A1980" s="2">
        <v>43077</v>
      </c>
      <c r="B1980" s="8">
        <f>YEAR(Sales_data[[#This Row],[Order Date]])</f>
        <v>2017</v>
      </c>
      <c r="C1980" s="8">
        <f>MONTH(Sales_data[[#This Row],[Order Date]])</f>
        <v>12</v>
      </c>
      <c r="D1980" s="8" t="str">
        <f>TEXT(Sales_data[[#This Row],[Order Date]],"mmm")</f>
        <v>Dec</v>
      </c>
      <c r="E1980" t="s">
        <v>10</v>
      </c>
      <c r="F1980" t="s">
        <v>24</v>
      </c>
      <c r="G1980" t="s">
        <v>34</v>
      </c>
      <c r="H1980" t="s">
        <v>43</v>
      </c>
      <c r="I1980" t="s">
        <v>48</v>
      </c>
      <c r="J1980" s="7">
        <v>1493.55</v>
      </c>
      <c r="K1980" s="8">
        <v>5</v>
      </c>
      <c r="L1980" s="7">
        <v>200.68</v>
      </c>
    </row>
    <row r="1981" spans="1:12" x14ac:dyDescent="0.2">
      <c r="A1981" s="2">
        <v>43078</v>
      </c>
      <c r="B1981" s="8">
        <f>YEAR(Sales_data[[#This Row],[Order Date]])</f>
        <v>2017</v>
      </c>
      <c r="C1981" s="8">
        <f>MONTH(Sales_data[[#This Row],[Order Date]])</f>
        <v>12</v>
      </c>
      <c r="D1981" s="8" t="str">
        <f>TEXT(Sales_data[[#This Row],[Order Date]],"mmm")</f>
        <v>Dec</v>
      </c>
      <c r="E1981" t="s">
        <v>9</v>
      </c>
      <c r="F1981" t="s">
        <v>25</v>
      </c>
      <c r="G1981" t="s">
        <v>33</v>
      </c>
      <c r="H1981" t="s">
        <v>40</v>
      </c>
      <c r="I1981" t="s">
        <v>53</v>
      </c>
      <c r="J1981" s="7">
        <v>758.12</v>
      </c>
      <c r="K1981" s="8">
        <v>2</v>
      </c>
      <c r="L1981" s="7">
        <v>106.31</v>
      </c>
    </row>
    <row r="1982" spans="1:12" x14ac:dyDescent="0.2">
      <c r="A1982" s="2">
        <v>43079</v>
      </c>
      <c r="B1982" s="8">
        <f>YEAR(Sales_data[[#This Row],[Order Date]])</f>
        <v>2017</v>
      </c>
      <c r="C1982" s="8">
        <f>MONTH(Sales_data[[#This Row],[Order Date]])</f>
        <v>12</v>
      </c>
      <c r="D1982" s="8" t="str">
        <f>TEXT(Sales_data[[#This Row],[Order Date]],"mmm")</f>
        <v>Dec</v>
      </c>
      <c r="E1982" t="s">
        <v>13</v>
      </c>
      <c r="F1982" t="s">
        <v>24</v>
      </c>
      <c r="G1982" t="s">
        <v>32</v>
      </c>
      <c r="H1982" t="s">
        <v>41</v>
      </c>
      <c r="I1982" t="s">
        <v>45</v>
      </c>
      <c r="J1982" s="7">
        <v>1024.68</v>
      </c>
      <c r="K1982" s="8">
        <v>2</v>
      </c>
      <c r="L1982" s="7">
        <v>228.37</v>
      </c>
    </row>
    <row r="1983" spans="1:12" x14ac:dyDescent="0.2">
      <c r="A1983" s="2">
        <v>43080</v>
      </c>
      <c r="B1983" s="8">
        <f>YEAR(Sales_data[[#This Row],[Order Date]])</f>
        <v>2017</v>
      </c>
      <c r="C1983" s="8">
        <f>MONTH(Sales_data[[#This Row],[Order Date]])</f>
        <v>12</v>
      </c>
      <c r="D1983" s="8" t="str">
        <f>TEXT(Sales_data[[#This Row],[Order Date]],"mmm")</f>
        <v>Dec</v>
      </c>
      <c r="E1983" t="s">
        <v>9</v>
      </c>
      <c r="F1983" t="s">
        <v>27</v>
      </c>
      <c r="G1983" t="s">
        <v>33</v>
      </c>
      <c r="H1983" t="s">
        <v>35</v>
      </c>
      <c r="I1983" t="s">
        <v>46</v>
      </c>
      <c r="J1983" s="7">
        <v>341.43</v>
      </c>
      <c r="K1983" s="8">
        <v>6</v>
      </c>
      <c r="L1983" s="7">
        <v>-33.479999999999997</v>
      </c>
    </row>
    <row r="1984" spans="1:12" x14ac:dyDescent="0.2">
      <c r="A1984" s="2">
        <v>43081</v>
      </c>
      <c r="B1984" s="8">
        <f>YEAR(Sales_data[[#This Row],[Order Date]])</f>
        <v>2017</v>
      </c>
      <c r="C1984" s="8">
        <f>MONTH(Sales_data[[#This Row],[Order Date]])</f>
        <v>12</v>
      </c>
      <c r="D1984" s="8" t="str">
        <f>TEXT(Sales_data[[#This Row],[Order Date]],"mmm")</f>
        <v>Dec</v>
      </c>
      <c r="E1984" t="s">
        <v>17</v>
      </c>
      <c r="F1984" t="s">
        <v>27</v>
      </c>
      <c r="G1984" t="s">
        <v>33</v>
      </c>
      <c r="H1984" t="s">
        <v>37</v>
      </c>
      <c r="I1984" t="s">
        <v>44</v>
      </c>
      <c r="J1984" s="7">
        <v>813.58</v>
      </c>
      <c r="K1984" s="8">
        <v>4</v>
      </c>
      <c r="L1984" s="7">
        <v>149.07</v>
      </c>
    </row>
    <row r="1985" spans="1:12" x14ac:dyDescent="0.2">
      <c r="A1985" s="2">
        <v>43081</v>
      </c>
      <c r="B1985" s="8">
        <f>YEAR(Sales_data[[#This Row],[Order Date]])</f>
        <v>2017</v>
      </c>
      <c r="C1985" s="8">
        <f>MONTH(Sales_data[[#This Row],[Order Date]])</f>
        <v>12</v>
      </c>
      <c r="D1985" s="8" t="str">
        <f>TEXT(Sales_data[[#This Row],[Order Date]],"mmm")</f>
        <v>Dec</v>
      </c>
      <c r="E1985" t="s">
        <v>18</v>
      </c>
      <c r="F1985" t="s">
        <v>26</v>
      </c>
      <c r="G1985" t="s">
        <v>32</v>
      </c>
      <c r="H1985" t="s">
        <v>39</v>
      </c>
      <c r="I1985" t="s">
        <v>50</v>
      </c>
      <c r="J1985" s="7">
        <v>1920.23</v>
      </c>
      <c r="K1985" s="8">
        <v>1</v>
      </c>
      <c r="L1985" s="7">
        <v>71.459999999999994</v>
      </c>
    </row>
    <row r="1986" spans="1:12" x14ac:dyDescent="0.2">
      <c r="A1986" s="2">
        <v>43085</v>
      </c>
      <c r="B1986" s="8">
        <f>YEAR(Sales_data[[#This Row],[Order Date]])</f>
        <v>2017</v>
      </c>
      <c r="C1986" s="8">
        <f>MONTH(Sales_data[[#This Row],[Order Date]])</f>
        <v>12</v>
      </c>
      <c r="D1986" s="8" t="str">
        <f>TEXT(Sales_data[[#This Row],[Order Date]],"mmm")</f>
        <v>Dec</v>
      </c>
      <c r="E1986" t="s">
        <v>14</v>
      </c>
      <c r="F1986" t="s">
        <v>30</v>
      </c>
      <c r="G1986" t="s">
        <v>34</v>
      </c>
      <c r="H1986" t="s">
        <v>40</v>
      </c>
      <c r="I1986" t="s">
        <v>48</v>
      </c>
      <c r="J1986" s="7">
        <v>957.13</v>
      </c>
      <c r="K1986" s="8">
        <v>9</v>
      </c>
      <c r="L1986" s="7">
        <v>-133.04</v>
      </c>
    </row>
    <row r="1987" spans="1:12" x14ac:dyDescent="0.2">
      <c r="A1987" s="2">
        <v>43085</v>
      </c>
      <c r="B1987" s="8">
        <f>YEAR(Sales_data[[#This Row],[Order Date]])</f>
        <v>2017</v>
      </c>
      <c r="C1987" s="8">
        <f>MONTH(Sales_data[[#This Row],[Order Date]])</f>
        <v>12</v>
      </c>
      <c r="D1987" s="8" t="str">
        <f>TEXT(Sales_data[[#This Row],[Order Date]],"mmm")</f>
        <v>Dec</v>
      </c>
      <c r="E1987" t="s">
        <v>14</v>
      </c>
      <c r="F1987" t="s">
        <v>30</v>
      </c>
      <c r="G1987" t="s">
        <v>32</v>
      </c>
      <c r="H1987" t="s">
        <v>35</v>
      </c>
      <c r="I1987" t="s">
        <v>52</v>
      </c>
      <c r="J1987" s="7">
        <v>1610.6</v>
      </c>
      <c r="K1987" s="8">
        <v>7</v>
      </c>
      <c r="L1987" s="7">
        <v>61.76</v>
      </c>
    </row>
    <row r="1988" spans="1:12" x14ac:dyDescent="0.2">
      <c r="A1988" s="2">
        <v>43085</v>
      </c>
      <c r="B1988" s="8">
        <f>YEAR(Sales_data[[#This Row],[Order Date]])</f>
        <v>2017</v>
      </c>
      <c r="C1988" s="8">
        <f>MONTH(Sales_data[[#This Row],[Order Date]])</f>
        <v>12</v>
      </c>
      <c r="D1988" s="8" t="str">
        <f>TEXT(Sales_data[[#This Row],[Order Date]],"mmm")</f>
        <v>Dec</v>
      </c>
      <c r="E1988" t="s">
        <v>16</v>
      </c>
      <c r="F1988" t="s">
        <v>23</v>
      </c>
      <c r="G1988" t="s">
        <v>34</v>
      </c>
      <c r="H1988" t="s">
        <v>42</v>
      </c>
      <c r="I1988" t="s">
        <v>49</v>
      </c>
      <c r="J1988" s="7">
        <v>562.89</v>
      </c>
      <c r="K1988" s="8">
        <v>1</v>
      </c>
      <c r="L1988" s="7">
        <v>120.55</v>
      </c>
    </row>
    <row r="1989" spans="1:12" x14ac:dyDescent="0.2">
      <c r="A1989" s="2">
        <v>43087</v>
      </c>
      <c r="B1989" s="8">
        <f>YEAR(Sales_data[[#This Row],[Order Date]])</f>
        <v>2017</v>
      </c>
      <c r="C1989" s="8">
        <f>MONTH(Sales_data[[#This Row],[Order Date]])</f>
        <v>12</v>
      </c>
      <c r="D1989" s="8" t="str">
        <f>TEXT(Sales_data[[#This Row],[Order Date]],"mmm")</f>
        <v>Dec</v>
      </c>
      <c r="E1989" t="s">
        <v>18</v>
      </c>
      <c r="F1989" t="s">
        <v>30</v>
      </c>
      <c r="G1989" t="s">
        <v>33</v>
      </c>
      <c r="H1989" t="s">
        <v>38</v>
      </c>
      <c r="I1989" t="s">
        <v>50</v>
      </c>
      <c r="J1989" s="7">
        <v>1539.25</v>
      </c>
      <c r="K1989" s="8">
        <v>2</v>
      </c>
      <c r="L1989" s="7">
        <v>-125.49</v>
      </c>
    </row>
    <row r="1990" spans="1:12" x14ac:dyDescent="0.2">
      <c r="A1990" s="2">
        <v>43090</v>
      </c>
      <c r="B1990" s="8">
        <f>YEAR(Sales_data[[#This Row],[Order Date]])</f>
        <v>2017</v>
      </c>
      <c r="C1990" s="8">
        <f>MONTH(Sales_data[[#This Row],[Order Date]])</f>
        <v>12</v>
      </c>
      <c r="D1990" s="8" t="str">
        <f>TEXT(Sales_data[[#This Row],[Order Date]],"mmm")</f>
        <v>Dec</v>
      </c>
      <c r="E1990" t="s">
        <v>14</v>
      </c>
      <c r="F1990" t="s">
        <v>27</v>
      </c>
      <c r="G1990" t="s">
        <v>34</v>
      </c>
      <c r="H1990" t="s">
        <v>40</v>
      </c>
      <c r="I1990" t="s">
        <v>47</v>
      </c>
      <c r="J1990" s="7">
        <v>815.77</v>
      </c>
      <c r="K1990" s="8">
        <v>8</v>
      </c>
      <c r="L1990" s="7">
        <v>-112.02</v>
      </c>
    </row>
    <row r="1991" spans="1:12" x14ac:dyDescent="0.2">
      <c r="A1991" s="2">
        <v>43091</v>
      </c>
      <c r="B1991" s="8">
        <f>YEAR(Sales_data[[#This Row],[Order Date]])</f>
        <v>2017</v>
      </c>
      <c r="C1991" s="8">
        <f>MONTH(Sales_data[[#This Row],[Order Date]])</f>
        <v>12</v>
      </c>
      <c r="D1991" s="8" t="str">
        <f>TEXT(Sales_data[[#This Row],[Order Date]],"mmm")</f>
        <v>Dec</v>
      </c>
      <c r="E1991" t="s">
        <v>11</v>
      </c>
      <c r="F1991" t="s">
        <v>29</v>
      </c>
      <c r="G1991" t="s">
        <v>34</v>
      </c>
      <c r="H1991" t="s">
        <v>40</v>
      </c>
      <c r="I1991" t="s">
        <v>49</v>
      </c>
      <c r="J1991" s="7">
        <v>1555.45</v>
      </c>
      <c r="K1991" s="8">
        <v>5</v>
      </c>
      <c r="L1991" s="7">
        <v>323.13</v>
      </c>
    </row>
    <row r="1992" spans="1:12" x14ac:dyDescent="0.2">
      <c r="A1992" s="2">
        <v>43092</v>
      </c>
      <c r="B1992" s="8">
        <f>YEAR(Sales_data[[#This Row],[Order Date]])</f>
        <v>2017</v>
      </c>
      <c r="C1992" s="8">
        <f>MONTH(Sales_data[[#This Row],[Order Date]])</f>
        <v>12</v>
      </c>
      <c r="D1992" s="8" t="str">
        <f>TEXT(Sales_data[[#This Row],[Order Date]],"mmm")</f>
        <v>Dec</v>
      </c>
      <c r="E1992" t="s">
        <v>13</v>
      </c>
      <c r="F1992" t="s">
        <v>22</v>
      </c>
      <c r="G1992" t="s">
        <v>32</v>
      </c>
      <c r="H1992" t="s">
        <v>39</v>
      </c>
      <c r="I1992" t="s">
        <v>49</v>
      </c>
      <c r="J1992" s="7">
        <v>500.49</v>
      </c>
      <c r="K1992" s="8">
        <v>3</v>
      </c>
      <c r="L1992" s="7">
        <v>120.27</v>
      </c>
    </row>
    <row r="1993" spans="1:12" x14ac:dyDescent="0.2">
      <c r="A1993" s="2">
        <v>43094</v>
      </c>
      <c r="B1993" s="8">
        <f>YEAR(Sales_data[[#This Row],[Order Date]])</f>
        <v>2017</v>
      </c>
      <c r="C1993" s="8">
        <f>MONTH(Sales_data[[#This Row],[Order Date]])</f>
        <v>12</v>
      </c>
      <c r="D1993" s="8" t="str">
        <f>TEXT(Sales_data[[#This Row],[Order Date]],"mmm")</f>
        <v>Dec</v>
      </c>
      <c r="E1993" t="s">
        <v>14</v>
      </c>
      <c r="F1993" t="s">
        <v>30</v>
      </c>
      <c r="G1993" t="s">
        <v>32</v>
      </c>
      <c r="H1993" t="s">
        <v>37</v>
      </c>
      <c r="I1993" t="s">
        <v>51</v>
      </c>
      <c r="J1993" s="7">
        <v>891.4</v>
      </c>
      <c r="K1993" s="8">
        <v>3</v>
      </c>
      <c r="L1993" s="7">
        <v>-168.78</v>
      </c>
    </row>
    <row r="1994" spans="1:12" x14ac:dyDescent="0.2">
      <c r="A1994" s="2">
        <v>43094</v>
      </c>
      <c r="B1994" s="8">
        <f>YEAR(Sales_data[[#This Row],[Order Date]])</f>
        <v>2017</v>
      </c>
      <c r="C1994" s="8">
        <f>MONTH(Sales_data[[#This Row],[Order Date]])</f>
        <v>12</v>
      </c>
      <c r="D1994" s="8" t="str">
        <f>TEXT(Sales_data[[#This Row],[Order Date]],"mmm")</f>
        <v>Dec</v>
      </c>
      <c r="E1994" t="s">
        <v>21</v>
      </c>
      <c r="F1994" t="s">
        <v>23</v>
      </c>
      <c r="G1994" t="s">
        <v>32</v>
      </c>
      <c r="H1994" t="s">
        <v>35</v>
      </c>
      <c r="I1994" t="s">
        <v>52</v>
      </c>
      <c r="J1994" s="7">
        <v>405.67</v>
      </c>
      <c r="K1994" s="8">
        <v>2</v>
      </c>
      <c r="L1994" s="7">
        <v>196.21</v>
      </c>
    </row>
    <row r="1995" spans="1:12" x14ac:dyDescent="0.2">
      <c r="A1995" s="2">
        <v>43096</v>
      </c>
      <c r="B1995" s="8">
        <f>YEAR(Sales_data[[#This Row],[Order Date]])</f>
        <v>2017</v>
      </c>
      <c r="C1995" s="8">
        <f>MONTH(Sales_data[[#This Row],[Order Date]])</f>
        <v>12</v>
      </c>
      <c r="D1995" s="8" t="str">
        <f>TEXT(Sales_data[[#This Row],[Order Date]],"mmm")</f>
        <v>Dec</v>
      </c>
      <c r="E1995" t="s">
        <v>10</v>
      </c>
      <c r="F1995" t="s">
        <v>24</v>
      </c>
      <c r="G1995" t="s">
        <v>32</v>
      </c>
      <c r="H1995" t="s">
        <v>39</v>
      </c>
      <c r="I1995" t="s">
        <v>48</v>
      </c>
      <c r="J1995" s="7">
        <v>992.76</v>
      </c>
      <c r="K1995" s="8">
        <v>8</v>
      </c>
      <c r="L1995" s="7">
        <v>306.95999999999998</v>
      </c>
    </row>
    <row r="1996" spans="1:12" x14ac:dyDescent="0.2">
      <c r="A1996" s="2">
        <v>43096</v>
      </c>
      <c r="B1996" s="8">
        <f>YEAR(Sales_data[[#This Row],[Order Date]])</f>
        <v>2017</v>
      </c>
      <c r="C1996" s="8">
        <f>MONTH(Sales_data[[#This Row],[Order Date]])</f>
        <v>12</v>
      </c>
      <c r="D1996" s="8" t="str">
        <f>TEXT(Sales_data[[#This Row],[Order Date]],"mmm")</f>
        <v>Dec</v>
      </c>
      <c r="E1996" t="s">
        <v>16</v>
      </c>
      <c r="F1996" t="s">
        <v>25</v>
      </c>
      <c r="G1996" t="s">
        <v>32</v>
      </c>
      <c r="H1996" t="s">
        <v>37</v>
      </c>
      <c r="I1996" t="s">
        <v>45</v>
      </c>
      <c r="J1996" s="7">
        <v>1997.25</v>
      </c>
      <c r="K1996" s="8">
        <v>1</v>
      </c>
      <c r="L1996" s="7">
        <v>-150.25</v>
      </c>
    </row>
    <row r="1997" spans="1:12" x14ac:dyDescent="0.2">
      <c r="A1997" s="2">
        <v>43097</v>
      </c>
      <c r="B1997" s="8">
        <f>YEAR(Sales_data[[#This Row],[Order Date]])</f>
        <v>2017</v>
      </c>
      <c r="C1997" s="8">
        <f>MONTH(Sales_data[[#This Row],[Order Date]])</f>
        <v>12</v>
      </c>
      <c r="D1997" s="8" t="str">
        <f>TEXT(Sales_data[[#This Row],[Order Date]],"mmm")</f>
        <v>Dec</v>
      </c>
      <c r="E1997" t="s">
        <v>14</v>
      </c>
      <c r="F1997" t="s">
        <v>30</v>
      </c>
      <c r="G1997" t="s">
        <v>34</v>
      </c>
      <c r="H1997" t="s">
        <v>40</v>
      </c>
      <c r="I1997" t="s">
        <v>51</v>
      </c>
      <c r="J1997" s="7">
        <v>646.04</v>
      </c>
      <c r="K1997" s="8">
        <v>4</v>
      </c>
      <c r="L1997" s="7">
        <v>141.5</v>
      </c>
    </row>
    <row r="1998" spans="1:12" x14ac:dyDescent="0.2">
      <c r="A1998" s="2">
        <v>43098</v>
      </c>
      <c r="B1998" s="8">
        <f>YEAR(Sales_data[[#This Row],[Order Date]])</f>
        <v>2017</v>
      </c>
      <c r="C1998" s="8">
        <f>MONTH(Sales_data[[#This Row],[Order Date]])</f>
        <v>12</v>
      </c>
      <c r="D1998" s="8" t="str">
        <f>TEXT(Sales_data[[#This Row],[Order Date]],"mmm")</f>
        <v>Dec</v>
      </c>
      <c r="E1998" t="s">
        <v>9</v>
      </c>
      <c r="F1998" t="s">
        <v>24</v>
      </c>
      <c r="G1998" t="s">
        <v>34</v>
      </c>
      <c r="H1998" t="s">
        <v>36</v>
      </c>
      <c r="I1998" t="s">
        <v>47</v>
      </c>
      <c r="J1998" s="7">
        <v>864.35</v>
      </c>
      <c r="K1998" s="8">
        <v>9</v>
      </c>
      <c r="L1998" s="7">
        <v>209.01</v>
      </c>
    </row>
    <row r="1999" spans="1:12" x14ac:dyDescent="0.2">
      <c r="A1999" s="2">
        <v>43098</v>
      </c>
      <c r="B1999" s="8">
        <f>YEAR(Sales_data[[#This Row],[Order Date]])</f>
        <v>2017</v>
      </c>
      <c r="C1999" s="8">
        <f>MONTH(Sales_data[[#This Row],[Order Date]])</f>
        <v>12</v>
      </c>
      <c r="D1999" s="8" t="str">
        <f>TEXT(Sales_data[[#This Row],[Order Date]],"mmm")</f>
        <v>Dec</v>
      </c>
      <c r="E1999" t="s">
        <v>19</v>
      </c>
      <c r="F1999" t="s">
        <v>24</v>
      </c>
      <c r="G1999" t="s">
        <v>32</v>
      </c>
      <c r="H1999" t="s">
        <v>38</v>
      </c>
      <c r="I1999" t="s">
        <v>49</v>
      </c>
      <c r="J1999" s="7">
        <v>1129.75</v>
      </c>
      <c r="K1999" s="8">
        <v>2</v>
      </c>
      <c r="L1999" s="7">
        <v>221.33</v>
      </c>
    </row>
    <row r="2000" spans="1:12" x14ac:dyDescent="0.2">
      <c r="A2000" s="2">
        <v>43098</v>
      </c>
      <c r="B2000" s="8">
        <f>YEAR(Sales_data[[#This Row],[Order Date]])</f>
        <v>2017</v>
      </c>
      <c r="C2000" s="8">
        <f>MONTH(Sales_data[[#This Row],[Order Date]])</f>
        <v>12</v>
      </c>
      <c r="D2000" s="8" t="str">
        <f>TEXT(Sales_data[[#This Row],[Order Date]],"mmm")</f>
        <v>Dec</v>
      </c>
      <c r="E2000" t="s">
        <v>14</v>
      </c>
      <c r="F2000" t="s">
        <v>25</v>
      </c>
      <c r="G2000" t="s">
        <v>34</v>
      </c>
      <c r="H2000" t="s">
        <v>38</v>
      </c>
      <c r="I2000" t="s">
        <v>44</v>
      </c>
      <c r="J2000" s="7">
        <v>1664.52</v>
      </c>
      <c r="K2000" s="8">
        <v>1</v>
      </c>
      <c r="L2000" s="7">
        <v>101.69</v>
      </c>
    </row>
    <row r="2001" spans="1:12" x14ac:dyDescent="0.2">
      <c r="A2001" s="2">
        <v>43099</v>
      </c>
      <c r="B2001" s="8">
        <f>YEAR(Sales_data[[#This Row],[Order Date]])</f>
        <v>2017</v>
      </c>
      <c r="C2001" s="8">
        <f>MONTH(Sales_data[[#This Row],[Order Date]])</f>
        <v>12</v>
      </c>
      <c r="D2001" s="8" t="str">
        <f>TEXT(Sales_data[[#This Row],[Order Date]],"mmm")</f>
        <v>Dec</v>
      </c>
      <c r="E2001" t="s">
        <v>18</v>
      </c>
      <c r="F2001" t="s">
        <v>28</v>
      </c>
      <c r="G2001" t="s">
        <v>32</v>
      </c>
      <c r="H2001" t="s">
        <v>38</v>
      </c>
      <c r="I2001" t="s">
        <v>51</v>
      </c>
      <c r="J2001" s="7">
        <v>1629.52</v>
      </c>
      <c r="K2001" s="8">
        <v>4</v>
      </c>
      <c r="L2001" s="7">
        <v>176.94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5EE23-DE7D-4E06-87EE-886C08114DFE}">
  <dimension ref="A1:E2001"/>
  <sheetViews>
    <sheetView workbookViewId="0">
      <selection activeCell="E5" sqref="E5"/>
    </sheetView>
  </sheetViews>
  <sheetFormatPr defaultRowHeight="14.25" x14ac:dyDescent="0.2"/>
  <cols>
    <col min="1" max="1" width="22.875" customWidth="1"/>
    <col min="4" max="4" width="13" customWidth="1"/>
    <col min="5" max="5" width="22.5" customWidth="1"/>
  </cols>
  <sheetData>
    <row r="1" spans="1:5" x14ac:dyDescent="0.2">
      <c r="A1" t="s">
        <v>73</v>
      </c>
      <c r="B1" t="s">
        <v>54</v>
      </c>
    </row>
    <row r="2" spans="1:5" x14ac:dyDescent="0.2">
      <c r="A2" s="6" t="s">
        <v>13</v>
      </c>
      <c r="B2" s="16">
        <f>YEAR(Sales_data[[#This Row],[Order Date]])</f>
        <v>2013</v>
      </c>
      <c r="D2" s="11" t="s">
        <v>56</v>
      </c>
      <c r="E2" t="s">
        <v>74</v>
      </c>
    </row>
    <row r="3" spans="1:5" x14ac:dyDescent="0.2">
      <c r="A3" s="6" t="s">
        <v>18</v>
      </c>
      <c r="B3" s="16">
        <f>YEAR(Sales_data[[#This Row],[Order Date]])</f>
        <v>2013</v>
      </c>
      <c r="D3" s="9">
        <v>2013</v>
      </c>
      <c r="E3">
        <v>379</v>
      </c>
    </row>
    <row r="4" spans="1:5" x14ac:dyDescent="0.2">
      <c r="A4" s="6" t="s">
        <v>17</v>
      </c>
      <c r="B4" s="16">
        <f>YEAR(Sales_data[[#This Row],[Order Date]])</f>
        <v>2013</v>
      </c>
      <c r="D4" s="9">
        <v>2014</v>
      </c>
      <c r="E4">
        <v>371</v>
      </c>
    </row>
    <row r="5" spans="1:5" x14ac:dyDescent="0.2">
      <c r="A5" s="6" t="s">
        <v>15</v>
      </c>
      <c r="B5" s="16">
        <f>YEAR(Sales_data[[#This Row],[Order Date]])</f>
        <v>2013</v>
      </c>
      <c r="D5" s="9">
        <v>2015</v>
      </c>
      <c r="E5">
        <v>438</v>
      </c>
    </row>
    <row r="6" spans="1:5" x14ac:dyDescent="0.2">
      <c r="A6" s="6" t="s">
        <v>18</v>
      </c>
      <c r="B6" s="16">
        <f>YEAR(Sales_data[[#This Row],[Order Date]])</f>
        <v>2013</v>
      </c>
      <c r="D6" s="9">
        <v>2016</v>
      </c>
      <c r="E6">
        <v>430</v>
      </c>
    </row>
    <row r="7" spans="1:5" x14ac:dyDescent="0.2">
      <c r="A7" s="6" t="s">
        <v>18</v>
      </c>
      <c r="B7" s="16">
        <f>YEAR(Sales_data[[#This Row],[Order Date]])</f>
        <v>2013</v>
      </c>
      <c r="D7" s="9">
        <v>2017</v>
      </c>
      <c r="E7">
        <v>382</v>
      </c>
    </row>
    <row r="8" spans="1:5" x14ac:dyDescent="0.2">
      <c r="A8" s="6" t="s">
        <v>13</v>
      </c>
      <c r="B8" s="16">
        <f>YEAR(Sales_data[[#This Row],[Order Date]])</f>
        <v>2013</v>
      </c>
    </row>
    <row r="9" spans="1:5" x14ac:dyDescent="0.2">
      <c r="A9" s="6" t="s">
        <v>17</v>
      </c>
      <c r="B9" s="16">
        <f>YEAR(Sales_data[[#This Row],[Order Date]])</f>
        <v>2013</v>
      </c>
    </row>
    <row r="10" spans="1:5" x14ac:dyDescent="0.2">
      <c r="A10" s="6" t="s">
        <v>16</v>
      </c>
      <c r="B10" s="16">
        <f>YEAR(Sales_data[[#This Row],[Order Date]])</f>
        <v>2013</v>
      </c>
    </row>
    <row r="11" spans="1:5" x14ac:dyDescent="0.2">
      <c r="A11" s="6" t="s">
        <v>16</v>
      </c>
      <c r="B11" s="16">
        <f>YEAR(Sales_data[[#This Row],[Order Date]])</f>
        <v>2013</v>
      </c>
    </row>
    <row r="12" spans="1:5" x14ac:dyDescent="0.2">
      <c r="A12" s="6" t="s">
        <v>13</v>
      </c>
      <c r="B12" s="16">
        <f>YEAR(Sales_data[[#This Row],[Order Date]])</f>
        <v>2013</v>
      </c>
    </row>
    <row r="13" spans="1:5" x14ac:dyDescent="0.2">
      <c r="A13" s="6" t="s">
        <v>10</v>
      </c>
      <c r="B13" s="16">
        <f>YEAR(Sales_data[[#This Row],[Order Date]])</f>
        <v>2013</v>
      </c>
    </row>
    <row r="14" spans="1:5" x14ac:dyDescent="0.2">
      <c r="A14" s="6" t="s">
        <v>17</v>
      </c>
      <c r="B14" s="16">
        <f>YEAR(Sales_data[[#This Row],[Order Date]])</f>
        <v>2013</v>
      </c>
    </row>
    <row r="15" spans="1:5" x14ac:dyDescent="0.2">
      <c r="A15" s="6" t="s">
        <v>19</v>
      </c>
      <c r="B15" s="16">
        <f>YEAR(Sales_data[[#This Row],[Order Date]])</f>
        <v>2013</v>
      </c>
    </row>
    <row r="16" spans="1:5" x14ac:dyDescent="0.2">
      <c r="A16" s="6" t="s">
        <v>13</v>
      </c>
      <c r="B16" s="16">
        <f>YEAR(Sales_data[[#This Row],[Order Date]])</f>
        <v>2013</v>
      </c>
    </row>
    <row r="17" spans="1:2" x14ac:dyDescent="0.2">
      <c r="A17" s="6" t="s">
        <v>12</v>
      </c>
      <c r="B17" s="16">
        <f>YEAR(Sales_data[[#This Row],[Order Date]])</f>
        <v>2013</v>
      </c>
    </row>
    <row r="18" spans="1:2" x14ac:dyDescent="0.2">
      <c r="A18" s="6" t="s">
        <v>11</v>
      </c>
      <c r="B18" s="16">
        <f>YEAR(Sales_data[[#This Row],[Order Date]])</f>
        <v>2013</v>
      </c>
    </row>
    <row r="19" spans="1:2" x14ac:dyDescent="0.2">
      <c r="A19" s="6" t="s">
        <v>14</v>
      </c>
      <c r="B19" s="16">
        <f>YEAR(Sales_data[[#This Row],[Order Date]])</f>
        <v>2013</v>
      </c>
    </row>
    <row r="20" spans="1:2" x14ac:dyDescent="0.2">
      <c r="A20" s="6" t="s">
        <v>9</v>
      </c>
      <c r="B20" s="16">
        <f>YEAR(Sales_data[[#This Row],[Order Date]])</f>
        <v>2013</v>
      </c>
    </row>
    <row r="21" spans="1:2" x14ac:dyDescent="0.2">
      <c r="A21" s="6" t="s">
        <v>14</v>
      </c>
      <c r="B21" s="16">
        <f>YEAR(Sales_data[[#This Row],[Order Date]])</f>
        <v>2013</v>
      </c>
    </row>
    <row r="22" spans="1:2" x14ac:dyDescent="0.2">
      <c r="A22" s="6" t="s">
        <v>21</v>
      </c>
      <c r="B22" s="16">
        <f>YEAR(Sales_data[[#This Row],[Order Date]])</f>
        <v>2013</v>
      </c>
    </row>
    <row r="23" spans="1:2" x14ac:dyDescent="0.2">
      <c r="A23" s="6" t="s">
        <v>20</v>
      </c>
      <c r="B23" s="16">
        <f>YEAR(Sales_data[[#This Row],[Order Date]])</f>
        <v>2013</v>
      </c>
    </row>
    <row r="24" spans="1:2" x14ac:dyDescent="0.2">
      <c r="A24" s="6" t="s">
        <v>12</v>
      </c>
      <c r="B24" s="16">
        <f>YEAR(Sales_data[[#This Row],[Order Date]])</f>
        <v>2013</v>
      </c>
    </row>
    <row r="25" spans="1:2" x14ac:dyDescent="0.2">
      <c r="A25" s="6" t="s">
        <v>20</v>
      </c>
      <c r="B25" s="16">
        <f>YEAR(Sales_data[[#This Row],[Order Date]])</f>
        <v>2013</v>
      </c>
    </row>
    <row r="26" spans="1:2" x14ac:dyDescent="0.2">
      <c r="A26" s="6" t="s">
        <v>19</v>
      </c>
      <c r="B26" s="16">
        <f>YEAR(Sales_data[[#This Row],[Order Date]])</f>
        <v>2013</v>
      </c>
    </row>
    <row r="27" spans="1:2" x14ac:dyDescent="0.2">
      <c r="A27" s="6" t="s">
        <v>19</v>
      </c>
      <c r="B27" s="16">
        <f>YEAR(Sales_data[[#This Row],[Order Date]])</f>
        <v>2013</v>
      </c>
    </row>
    <row r="28" spans="1:2" x14ac:dyDescent="0.2">
      <c r="A28" s="6" t="s">
        <v>18</v>
      </c>
      <c r="B28" s="16">
        <f>YEAR(Sales_data[[#This Row],[Order Date]])</f>
        <v>2013</v>
      </c>
    </row>
    <row r="29" spans="1:2" x14ac:dyDescent="0.2">
      <c r="A29" s="6" t="s">
        <v>11</v>
      </c>
      <c r="B29" s="16">
        <f>YEAR(Sales_data[[#This Row],[Order Date]])</f>
        <v>2013</v>
      </c>
    </row>
    <row r="30" spans="1:2" x14ac:dyDescent="0.2">
      <c r="A30" s="6" t="s">
        <v>14</v>
      </c>
      <c r="B30" s="16">
        <f>YEAR(Sales_data[[#This Row],[Order Date]])</f>
        <v>2013</v>
      </c>
    </row>
    <row r="31" spans="1:2" x14ac:dyDescent="0.2">
      <c r="A31" s="6" t="s">
        <v>20</v>
      </c>
      <c r="B31" s="16">
        <f>YEAR(Sales_data[[#This Row],[Order Date]])</f>
        <v>2013</v>
      </c>
    </row>
    <row r="32" spans="1:2" x14ac:dyDescent="0.2">
      <c r="A32" s="6" t="s">
        <v>17</v>
      </c>
      <c r="B32" s="16">
        <f>YEAR(Sales_data[[#This Row],[Order Date]])</f>
        <v>2013</v>
      </c>
    </row>
    <row r="33" spans="1:2" x14ac:dyDescent="0.2">
      <c r="A33" s="6" t="s">
        <v>17</v>
      </c>
      <c r="B33" s="16">
        <f>YEAR(Sales_data[[#This Row],[Order Date]])</f>
        <v>2013</v>
      </c>
    </row>
    <row r="34" spans="1:2" x14ac:dyDescent="0.2">
      <c r="A34" s="6" t="s">
        <v>13</v>
      </c>
      <c r="B34" s="16">
        <f>YEAR(Sales_data[[#This Row],[Order Date]])</f>
        <v>2013</v>
      </c>
    </row>
    <row r="35" spans="1:2" x14ac:dyDescent="0.2">
      <c r="A35" s="6" t="s">
        <v>20</v>
      </c>
      <c r="B35" s="16">
        <f>YEAR(Sales_data[[#This Row],[Order Date]])</f>
        <v>2013</v>
      </c>
    </row>
    <row r="36" spans="1:2" x14ac:dyDescent="0.2">
      <c r="A36" s="6" t="s">
        <v>9</v>
      </c>
      <c r="B36" s="16">
        <f>YEAR(Sales_data[[#This Row],[Order Date]])</f>
        <v>2013</v>
      </c>
    </row>
    <row r="37" spans="1:2" x14ac:dyDescent="0.2">
      <c r="A37" s="6" t="s">
        <v>10</v>
      </c>
      <c r="B37" s="16">
        <f>YEAR(Sales_data[[#This Row],[Order Date]])</f>
        <v>2013</v>
      </c>
    </row>
    <row r="38" spans="1:2" x14ac:dyDescent="0.2">
      <c r="A38" s="6" t="s">
        <v>10</v>
      </c>
      <c r="B38" s="16">
        <f>YEAR(Sales_data[[#This Row],[Order Date]])</f>
        <v>2013</v>
      </c>
    </row>
    <row r="39" spans="1:2" x14ac:dyDescent="0.2">
      <c r="A39" s="6" t="s">
        <v>14</v>
      </c>
      <c r="B39" s="16">
        <f>YEAR(Sales_data[[#This Row],[Order Date]])</f>
        <v>2013</v>
      </c>
    </row>
    <row r="40" spans="1:2" x14ac:dyDescent="0.2">
      <c r="A40" s="6" t="s">
        <v>16</v>
      </c>
      <c r="B40" s="16">
        <f>YEAR(Sales_data[[#This Row],[Order Date]])</f>
        <v>2013</v>
      </c>
    </row>
    <row r="41" spans="1:2" x14ac:dyDescent="0.2">
      <c r="A41" s="6" t="s">
        <v>20</v>
      </c>
      <c r="B41" s="16">
        <f>YEAR(Sales_data[[#This Row],[Order Date]])</f>
        <v>2013</v>
      </c>
    </row>
    <row r="42" spans="1:2" x14ac:dyDescent="0.2">
      <c r="A42" s="6" t="s">
        <v>20</v>
      </c>
      <c r="B42" s="16">
        <f>YEAR(Sales_data[[#This Row],[Order Date]])</f>
        <v>2013</v>
      </c>
    </row>
    <row r="43" spans="1:2" x14ac:dyDescent="0.2">
      <c r="A43" s="6" t="s">
        <v>10</v>
      </c>
      <c r="B43" s="16">
        <f>YEAR(Sales_data[[#This Row],[Order Date]])</f>
        <v>2013</v>
      </c>
    </row>
    <row r="44" spans="1:2" x14ac:dyDescent="0.2">
      <c r="A44" s="6" t="s">
        <v>15</v>
      </c>
      <c r="B44" s="16">
        <f>YEAR(Sales_data[[#This Row],[Order Date]])</f>
        <v>2013</v>
      </c>
    </row>
    <row r="45" spans="1:2" x14ac:dyDescent="0.2">
      <c r="A45" s="6" t="s">
        <v>21</v>
      </c>
      <c r="B45" s="16">
        <f>YEAR(Sales_data[[#This Row],[Order Date]])</f>
        <v>2013</v>
      </c>
    </row>
    <row r="46" spans="1:2" x14ac:dyDescent="0.2">
      <c r="A46" s="6" t="s">
        <v>21</v>
      </c>
      <c r="B46" s="16">
        <f>YEAR(Sales_data[[#This Row],[Order Date]])</f>
        <v>2013</v>
      </c>
    </row>
    <row r="47" spans="1:2" x14ac:dyDescent="0.2">
      <c r="A47" s="6" t="s">
        <v>13</v>
      </c>
      <c r="B47" s="16">
        <f>YEAR(Sales_data[[#This Row],[Order Date]])</f>
        <v>2013</v>
      </c>
    </row>
    <row r="48" spans="1:2" x14ac:dyDescent="0.2">
      <c r="A48" s="6" t="s">
        <v>11</v>
      </c>
      <c r="B48" s="16">
        <f>YEAR(Sales_data[[#This Row],[Order Date]])</f>
        <v>2013</v>
      </c>
    </row>
    <row r="49" spans="1:2" x14ac:dyDescent="0.2">
      <c r="A49" s="6" t="s">
        <v>13</v>
      </c>
      <c r="B49" s="16">
        <f>YEAR(Sales_data[[#This Row],[Order Date]])</f>
        <v>2013</v>
      </c>
    </row>
    <row r="50" spans="1:2" x14ac:dyDescent="0.2">
      <c r="A50" s="6" t="s">
        <v>9</v>
      </c>
      <c r="B50" s="16">
        <f>YEAR(Sales_data[[#This Row],[Order Date]])</f>
        <v>2013</v>
      </c>
    </row>
    <row r="51" spans="1:2" x14ac:dyDescent="0.2">
      <c r="A51" s="6" t="s">
        <v>10</v>
      </c>
      <c r="B51" s="16">
        <f>YEAR(Sales_data[[#This Row],[Order Date]])</f>
        <v>2013</v>
      </c>
    </row>
    <row r="52" spans="1:2" x14ac:dyDescent="0.2">
      <c r="A52" s="6" t="s">
        <v>13</v>
      </c>
      <c r="B52" s="16">
        <f>YEAR(Sales_data[[#This Row],[Order Date]])</f>
        <v>2013</v>
      </c>
    </row>
    <row r="53" spans="1:2" x14ac:dyDescent="0.2">
      <c r="A53" s="6" t="s">
        <v>14</v>
      </c>
      <c r="B53" s="16">
        <f>YEAR(Sales_data[[#This Row],[Order Date]])</f>
        <v>2013</v>
      </c>
    </row>
    <row r="54" spans="1:2" x14ac:dyDescent="0.2">
      <c r="A54" s="6" t="s">
        <v>16</v>
      </c>
      <c r="B54" s="16">
        <f>YEAR(Sales_data[[#This Row],[Order Date]])</f>
        <v>2013</v>
      </c>
    </row>
    <row r="55" spans="1:2" x14ac:dyDescent="0.2">
      <c r="A55" s="6" t="s">
        <v>21</v>
      </c>
      <c r="B55" s="16">
        <f>YEAR(Sales_data[[#This Row],[Order Date]])</f>
        <v>2013</v>
      </c>
    </row>
    <row r="56" spans="1:2" x14ac:dyDescent="0.2">
      <c r="A56" s="6" t="s">
        <v>14</v>
      </c>
      <c r="B56" s="16">
        <f>YEAR(Sales_data[[#This Row],[Order Date]])</f>
        <v>2013</v>
      </c>
    </row>
    <row r="57" spans="1:2" x14ac:dyDescent="0.2">
      <c r="A57" s="6" t="s">
        <v>20</v>
      </c>
      <c r="B57" s="16">
        <f>YEAR(Sales_data[[#This Row],[Order Date]])</f>
        <v>2013</v>
      </c>
    </row>
    <row r="58" spans="1:2" x14ac:dyDescent="0.2">
      <c r="A58" s="6" t="s">
        <v>10</v>
      </c>
      <c r="B58" s="16">
        <f>YEAR(Sales_data[[#This Row],[Order Date]])</f>
        <v>2013</v>
      </c>
    </row>
    <row r="59" spans="1:2" x14ac:dyDescent="0.2">
      <c r="A59" s="6" t="s">
        <v>16</v>
      </c>
      <c r="B59" s="16">
        <f>YEAR(Sales_data[[#This Row],[Order Date]])</f>
        <v>2013</v>
      </c>
    </row>
    <row r="60" spans="1:2" x14ac:dyDescent="0.2">
      <c r="A60" s="6" t="s">
        <v>10</v>
      </c>
      <c r="B60" s="16">
        <f>YEAR(Sales_data[[#This Row],[Order Date]])</f>
        <v>2013</v>
      </c>
    </row>
    <row r="61" spans="1:2" x14ac:dyDescent="0.2">
      <c r="A61" s="6" t="s">
        <v>14</v>
      </c>
      <c r="B61" s="16">
        <f>YEAR(Sales_data[[#This Row],[Order Date]])</f>
        <v>2013</v>
      </c>
    </row>
    <row r="62" spans="1:2" x14ac:dyDescent="0.2">
      <c r="A62" s="6" t="s">
        <v>18</v>
      </c>
      <c r="B62" s="16">
        <f>YEAR(Sales_data[[#This Row],[Order Date]])</f>
        <v>2013</v>
      </c>
    </row>
    <row r="63" spans="1:2" x14ac:dyDescent="0.2">
      <c r="A63" s="6" t="s">
        <v>20</v>
      </c>
      <c r="B63" s="16">
        <f>YEAR(Sales_data[[#This Row],[Order Date]])</f>
        <v>2013</v>
      </c>
    </row>
    <row r="64" spans="1:2" x14ac:dyDescent="0.2">
      <c r="A64" s="6" t="s">
        <v>9</v>
      </c>
      <c r="B64" s="16">
        <f>YEAR(Sales_data[[#This Row],[Order Date]])</f>
        <v>2013</v>
      </c>
    </row>
    <row r="65" spans="1:2" x14ac:dyDescent="0.2">
      <c r="A65" s="6" t="s">
        <v>11</v>
      </c>
      <c r="B65" s="16">
        <f>YEAR(Sales_data[[#This Row],[Order Date]])</f>
        <v>2013</v>
      </c>
    </row>
    <row r="66" spans="1:2" x14ac:dyDescent="0.2">
      <c r="A66" s="6" t="s">
        <v>17</v>
      </c>
      <c r="B66" s="16">
        <f>YEAR(Sales_data[[#This Row],[Order Date]])</f>
        <v>2013</v>
      </c>
    </row>
    <row r="67" spans="1:2" x14ac:dyDescent="0.2">
      <c r="A67" s="6" t="s">
        <v>17</v>
      </c>
      <c r="B67" s="16">
        <f>YEAR(Sales_data[[#This Row],[Order Date]])</f>
        <v>2013</v>
      </c>
    </row>
    <row r="68" spans="1:2" x14ac:dyDescent="0.2">
      <c r="A68" s="6" t="s">
        <v>10</v>
      </c>
      <c r="B68" s="16">
        <f>YEAR(Sales_data[[#This Row],[Order Date]])</f>
        <v>2013</v>
      </c>
    </row>
    <row r="69" spans="1:2" x14ac:dyDescent="0.2">
      <c r="A69" s="6" t="s">
        <v>17</v>
      </c>
      <c r="B69" s="16">
        <f>YEAR(Sales_data[[#This Row],[Order Date]])</f>
        <v>2013</v>
      </c>
    </row>
    <row r="70" spans="1:2" x14ac:dyDescent="0.2">
      <c r="A70" s="6" t="s">
        <v>21</v>
      </c>
      <c r="B70" s="16">
        <f>YEAR(Sales_data[[#This Row],[Order Date]])</f>
        <v>2013</v>
      </c>
    </row>
    <row r="71" spans="1:2" x14ac:dyDescent="0.2">
      <c r="A71" s="6" t="s">
        <v>12</v>
      </c>
      <c r="B71" s="16">
        <f>YEAR(Sales_data[[#This Row],[Order Date]])</f>
        <v>2013</v>
      </c>
    </row>
    <row r="72" spans="1:2" x14ac:dyDescent="0.2">
      <c r="A72" s="6" t="s">
        <v>21</v>
      </c>
      <c r="B72" s="16">
        <f>YEAR(Sales_data[[#This Row],[Order Date]])</f>
        <v>2013</v>
      </c>
    </row>
    <row r="73" spans="1:2" x14ac:dyDescent="0.2">
      <c r="A73" s="6" t="s">
        <v>21</v>
      </c>
      <c r="B73" s="16">
        <f>YEAR(Sales_data[[#This Row],[Order Date]])</f>
        <v>2013</v>
      </c>
    </row>
    <row r="74" spans="1:2" x14ac:dyDescent="0.2">
      <c r="A74" s="6" t="s">
        <v>16</v>
      </c>
      <c r="B74" s="16">
        <f>YEAR(Sales_data[[#This Row],[Order Date]])</f>
        <v>2013</v>
      </c>
    </row>
    <row r="75" spans="1:2" x14ac:dyDescent="0.2">
      <c r="A75" s="6" t="s">
        <v>17</v>
      </c>
      <c r="B75" s="16">
        <f>YEAR(Sales_data[[#This Row],[Order Date]])</f>
        <v>2013</v>
      </c>
    </row>
    <row r="76" spans="1:2" x14ac:dyDescent="0.2">
      <c r="A76" s="6" t="s">
        <v>9</v>
      </c>
      <c r="B76" s="16">
        <f>YEAR(Sales_data[[#This Row],[Order Date]])</f>
        <v>2013</v>
      </c>
    </row>
    <row r="77" spans="1:2" x14ac:dyDescent="0.2">
      <c r="A77" s="6" t="s">
        <v>9</v>
      </c>
      <c r="B77" s="16">
        <f>YEAR(Sales_data[[#This Row],[Order Date]])</f>
        <v>2013</v>
      </c>
    </row>
    <row r="78" spans="1:2" x14ac:dyDescent="0.2">
      <c r="A78" s="6" t="s">
        <v>11</v>
      </c>
      <c r="B78" s="16">
        <f>YEAR(Sales_data[[#This Row],[Order Date]])</f>
        <v>2013</v>
      </c>
    </row>
    <row r="79" spans="1:2" x14ac:dyDescent="0.2">
      <c r="A79" s="6" t="s">
        <v>20</v>
      </c>
      <c r="B79" s="16">
        <f>YEAR(Sales_data[[#This Row],[Order Date]])</f>
        <v>2013</v>
      </c>
    </row>
    <row r="80" spans="1:2" x14ac:dyDescent="0.2">
      <c r="A80" s="6" t="s">
        <v>14</v>
      </c>
      <c r="B80" s="16">
        <f>YEAR(Sales_data[[#This Row],[Order Date]])</f>
        <v>2013</v>
      </c>
    </row>
    <row r="81" spans="1:2" x14ac:dyDescent="0.2">
      <c r="A81" s="6" t="s">
        <v>15</v>
      </c>
      <c r="B81" s="16">
        <f>YEAR(Sales_data[[#This Row],[Order Date]])</f>
        <v>2013</v>
      </c>
    </row>
    <row r="82" spans="1:2" x14ac:dyDescent="0.2">
      <c r="A82" s="6" t="s">
        <v>18</v>
      </c>
      <c r="B82" s="16">
        <f>YEAR(Sales_data[[#This Row],[Order Date]])</f>
        <v>2013</v>
      </c>
    </row>
    <row r="83" spans="1:2" x14ac:dyDescent="0.2">
      <c r="A83" s="6" t="s">
        <v>19</v>
      </c>
      <c r="B83" s="16">
        <f>YEAR(Sales_data[[#This Row],[Order Date]])</f>
        <v>2013</v>
      </c>
    </row>
    <row r="84" spans="1:2" x14ac:dyDescent="0.2">
      <c r="A84" s="6" t="s">
        <v>21</v>
      </c>
      <c r="B84" s="16">
        <f>YEAR(Sales_data[[#This Row],[Order Date]])</f>
        <v>2013</v>
      </c>
    </row>
    <row r="85" spans="1:2" x14ac:dyDescent="0.2">
      <c r="A85" s="6" t="s">
        <v>11</v>
      </c>
      <c r="B85" s="16">
        <f>YEAR(Sales_data[[#This Row],[Order Date]])</f>
        <v>2013</v>
      </c>
    </row>
    <row r="86" spans="1:2" x14ac:dyDescent="0.2">
      <c r="A86" s="6" t="s">
        <v>21</v>
      </c>
      <c r="B86" s="16">
        <f>YEAR(Sales_data[[#This Row],[Order Date]])</f>
        <v>2013</v>
      </c>
    </row>
    <row r="87" spans="1:2" x14ac:dyDescent="0.2">
      <c r="A87" s="6" t="s">
        <v>11</v>
      </c>
      <c r="B87" s="16">
        <f>YEAR(Sales_data[[#This Row],[Order Date]])</f>
        <v>2013</v>
      </c>
    </row>
    <row r="88" spans="1:2" x14ac:dyDescent="0.2">
      <c r="A88" s="6" t="s">
        <v>13</v>
      </c>
      <c r="B88" s="16">
        <f>YEAR(Sales_data[[#This Row],[Order Date]])</f>
        <v>2013</v>
      </c>
    </row>
    <row r="89" spans="1:2" x14ac:dyDescent="0.2">
      <c r="A89" s="6" t="s">
        <v>17</v>
      </c>
      <c r="B89" s="16">
        <f>YEAR(Sales_data[[#This Row],[Order Date]])</f>
        <v>2013</v>
      </c>
    </row>
    <row r="90" spans="1:2" x14ac:dyDescent="0.2">
      <c r="A90" s="6" t="s">
        <v>17</v>
      </c>
      <c r="B90" s="16">
        <f>YEAR(Sales_data[[#This Row],[Order Date]])</f>
        <v>2013</v>
      </c>
    </row>
    <row r="91" spans="1:2" x14ac:dyDescent="0.2">
      <c r="A91" s="6" t="s">
        <v>12</v>
      </c>
      <c r="B91" s="16">
        <f>YEAR(Sales_data[[#This Row],[Order Date]])</f>
        <v>2013</v>
      </c>
    </row>
    <row r="92" spans="1:2" x14ac:dyDescent="0.2">
      <c r="A92" s="6" t="s">
        <v>11</v>
      </c>
      <c r="B92" s="16">
        <f>YEAR(Sales_data[[#This Row],[Order Date]])</f>
        <v>2013</v>
      </c>
    </row>
    <row r="93" spans="1:2" x14ac:dyDescent="0.2">
      <c r="A93" s="6" t="s">
        <v>20</v>
      </c>
      <c r="B93" s="16">
        <f>YEAR(Sales_data[[#This Row],[Order Date]])</f>
        <v>2013</v>
      </c>
    </row>
    <row r="94" spans="1:2" x14ac:dyDescent="0.2">
      <c r="A94" s="6" t="s">
        <v>9</v>
      </c>
      <c r="B94" s="16">
        <f>YEAR(Sales_data[[#This Row],[Order Date]])</f>
        <v>2013</v>
      </c>
    </row>
    <row r="95" spans="1:2" x14ac:dyDescent="0.2">
      <c r="A95" s="6" t="s">
        <v>12</v>
      </c>
      <c r="B95" s="16">
        <f>YEAR(Sales_data[[#This Row],[Order Date]])</f>
        <v>2013</v>
      </c>
    </row>
    <row r="96" spans="1:2" x14ac:dyDescent="0.2">
      <c r="A96" s="6" t="s">
        <v>12</v>
      </c>
      <c r="B96" s="16">
        <f>YEAR(Sales_data[[#This Row],[Order Date]])</f>
        <v>2013</v>
      </c>
    </row>
    <row r="97" spans="1:2" x14ac:dyDescent="0.2">
      <c r="A97" s="6" t="s">
        <v>9</v>
      </c>
      <c r="B97" s="16">
        <f>YEAR(Sales_data[[#This Row],[Order Date]])</f>
        <v>2013</v>
      </c>
    </row>
    <row r="98" spans="1:2" x14ac:dyDescent="0.2">
      <c r="A98" s="6" t="s">
        <v>14</v>
      </c>
      <c r="B98" s="16">
        <f>YEAR(Sales_data[[#This Row],[Order Date]])</f>
        <v>2013</v>
      </c>
    </row>
    <row r="99" spans="1:2" x14ac:dyDescent="0.2">
      <c r="A99" s="6" t="s">
        <v>20</v>
      </c>
      <c r="B99" s="16">
        <f>YEAR(Sales_data[[#This Row],[Order Date]])</f>
        <v>2013</v>
      </c>
    </row>
    <row r="100" spans="1:2" x14ac:dyDescent="0.2">
      <c r="A100" s="6" t="s">
        <v>12</v>
      </c>
      <c r="B100" s="16">
        <f>YEAR(Sales_data[[#This Row],[Order Date]])</f>
        <v>2013</v>
      </c>
    </row>
    <row r="101" spans="1:2" x14ac:dyDescent="0.2">
      <c r="A101" s="6" t="s">
        <v>14</v>
      </c>
      <c r="B101" s="16">
        <f>YEAR(Sales_data[[#This Row],[Order Date]])</f>
        <v>2013</v>
      </c>
    </row>
    <row r="102" spans="1:2" x14ac:dyDescent="0.2">
      <c r="A102" s="6" t="s">
        <v>9</v>
      </c>
      <c r="B102" s="16">
        <f>YEAR(Sales_data[[#This Row],[Order Date]])</f>
        <v>2013</v>
      </c>
    </row>
    <row r="103" spans="1:2" x14ac:dyDescent="0.2">
      <c r="A103" s="6" t="s">
        <v>17</v>
      </c>
      <c r="B103" s="16">
        <f>YEAR(Sales_data[[#This Row],[Order Date]])</f>
        <v>2013</v>
      </c>
    </row>
    <row r="104" spans="1:2" x14ac:dyDescent="0.2">
      <c r="A104" s="6" t="s">
        <v>12</v>
      </c>
      <c r="B104" s="16">
        <f>YEAR(Sales_data[[#This Row],[Order Date]])</f>
        <v>2013</v>
      </c>
    </row>
    <row r="105" spans="1:2" x14ac:dyDescent="0.2">
      <c r="A105" s="6" t="s">
        <v>11</v>
      </c>
      <c r="B105" s="16">
        <f>YEAR(Sales_data[[#This Row],[Order Date]])</f>
        <v>2013</v>
      </c>
    </row>
    <row r="106" spans="1:2" x14ac:dyDescent="0.2">
      <c r="A106" s="6" t="s">
        <v>16</v>
      </c>
      <c r="B106" s="16">
        <f>YEAR(Sales_data[[#This Row],[Order Date]])</f>
        <v>2013</v>
      </c>
    </row>
    <row r="107" spans="1:2" x14ac:dyDescent="0.2">
      <c r="A107" s="6" t="s">
        <v>10</v>
      </c>
      <c r="B107" s="16">
        <f>YEAR(Sales_data[[#This Row],[Order Date]])</f>
        <v>2013</v>
      </c>
    </row>
    <row r="108" spans="1:2" x14ac:dyDescent="0.2">
      <c r="A108" s="6" t="s">
        <v>15</v>
      </c>
      <c r="B108" s="16">
        <f>YEAR(Sales_data[[#This Row],[Order Date]])</f>
        <v>2013</v>
      </c>
    </row>
    <row r="109" spans="1:2" x14ac:dyDescent="0.2">
      <c r="A109" s="6" t="s">
        <v>20</v>
      </c>
      <c r="B109" s="16">
        <f>YEAR(Sales_data[[#This Row],[Order Date]])</f>
        <v>2013</v>
      </c>
    </row>
    <row r="110" spans="1:2" x14ac:dyDescent="0.2">
      <c r="A110" s="6" t="s">
        <v>20</v>
      </c>
      <c r="B110" s="16">
        <f>YEAR(Sales_data[[#This Row],[Order Date]])</f>
        <v>2013</v>
      </c>
    </row>
    <row r="111" spans="1:2" x14ac:dyDescent="0.2">
      <c r="A111" s="6" t="s">
        <v>15</v>
      </c>
      <c r="B111" s="16">
        <f>YEAR(Sales_data[[#This Row],[Order Date]])</f>
        <v>2013</v>
      </c>
    </row>
    <row r="112" spans="1:2" x14ac:dyDescent="0.2">
      <c r="A112" s="6" t="s">
        <v>20</v>
      </c>
      <c r="B112" s="16">
        <f>YEAR(Sales_data[[#This Row],[Order Date]])</f>
        <v>2013</v>
      </c>
    </row>
    <row r="113" spans="1:2" x14ac:dyDescent="0.2">
      <c r="A113" s="6" t="s">
        <v>15</v>
      </c>
      <c r="B113" s="16">
        <f>YEAR(Sales_data[[#This Row],[Order Date]])</f>
        <v>2013</v>
      </c>
    </row>
    <row r="114" spans="1:2" x14ac:dyDescent="0.2">
      <c r="A114" s="6" t="s">
        <v>17</v>
      </c>
      <c r="B114" s="16">
        <f>YEAR(Sales_data[[#This Row],[Order Date]])</f>
        <v>2013</v>
      </c>
    </row>
    <row r="115" spans="1:2" x14ac:dyDescent="0.2">
      <c r="A115" s="6" t="s">
        <v>10</v>
      </c>
      <c r="B115" s="16">
        <f>YEAR(Sales_data[[#This Row],[Order Date]])</f>
        <v>2013</v>
      </c>
    </row>
    <row r="116" spans="1:2" x14ac:dyDescent="0.2">
      <c r="A116" s="6" t="s">
        <v>18</v>
      </c>
      <c r="B116" s="16">
        <f>YEAR(Sales_data[[#This Row],[Order Date]])</f>
        <v>2013</v>
      </c>
    </row>
    <row r="117" spans="1:2" x14ac:dyDescent="0.2">
      <c r="A117" s="6" t="s">
        <v>14</v>
      </c>
      <c r="B117" s="16">
        <f>YEAR(Sales_data[[#This Row],[Order Date]])</f>
        <v>2013</v>
      </c>
    </row>
    <row r="118" spans="1:2" x14ac:dyDescent="0.2">
      <c r="A118" s="6" t="s">
        <v>20</v>
      </c>
      <c r="B118" s="16">
        <f>YEAR(Sales_data[[#This Row],[Order Date]])</f>
        <v>2013</v>
      </c>
    </row>
    <row r="119" spans="1:2" x14ac:dyDescent="0.2">
      <c r="A119" s="6" t="s">
        <v>11</v>
      </c>
      <c r="B119" s="16">
        <f>YEAR(Sales_data[[#This Row],[Order Date]])</f>
        <v>2013</v>
      </c>
    </row>
    <row r="120" spans="1:2" x14ac:dyDescent="0.2">
      <c r="A120" s="6" t="s">
        <v>14</v>
      </c>
      <c r="B120" s="16">
        <f>YEAR(Sales_data[[#This Row],[Order Date]])</f>
        <v>2013</v>
      </c>
    </row>
    <row r="121" spans="1:2" x14ac:dyDescent="0.2">
      <c r="A121" s="6" t="s">
        <v>15</v>
      </c>
      <c r="B121" s="16">
        <f>YEAR(Sales_data[[#This Row],[Order Date]])</f>
        <v>2013</v>
      </c>
    </row>
    <row r="122" spans="1:2" x14ac:dyDescent="0.2">
      <c r="A122" s="6" t="s">
        <v>11</v>
      </c>
      <c r="B122" s="16">
        <f>YEAR(Sales_data[[#This Row],[Order Date]])</f>
        <v>2013</v>
      </c>
    </row>
    <row r="123" spans="1:2" x14ac:dyDescent="0.2">
      <c r="A123" s="6" t="s">
        <v>13</v>
      </c>
      <c r="B123" s="16">
        <f>YEAR(Sales_data[[#This Row],[Order Date]])</f>
        <v>2013</v>
      </c>
    </row>
    <row r="124" spans="1:2" x14ac:dyDescent="0.2">
      <c r="A124" s="6" t="s">
        <v>15</v>
      </c>
      <c r="B124" s="16">
        <f>YEAR(Sales_data[[#This Row],[Order Date]])</f>
        <v>2013</v>
      </c>
    </row>
    <row r="125" spans="1:2" x14ac:dyDescent="0.2">
      <c r="A125" s="6" t="s">
        <v>18</v>
      </c>
      <c r="B125" s="16">
        <f>YEAR(Sales_data[[#This Row],[Order Date]])</f>
        <v>2013</v>
      </c>
    </row>
    <row r="126" spans="1:2" x14ac:dyDescent="0.2">
      <c r="A126" s="6" t="s">
        <v>10</v>
      </c>
      <c r="B126" s="16">
        <f>YEAR(Sales_data[[#This Row],[Order Date]])</f>
        <v>2013</v>
      </c>
    </row>
    <row r="127" spans="1:2" x14ac:dyDescent="0.2">
      <c r="A127" s="6" t="s">
        <v>16</v>
      </c>
      <c r="B127" s="16">
        <f>YEAR(Sales_data[[#This Row],[Order Date]])</f>
        <v>2013</v>
      </c>
    </row>
    <row r="128" spans="1:2" x14ac:dyDescent="0.2">
      <c r="A128" s="6" t="s">
        <v>19</v>
      </c>
      <c r="B128" s="16">
        <f>YEAR(Sales_data[[#This Row],[Order Date]])</f>
        <v>2013</v>
      </c>
    </row>
    <row r="129" spans="1:2" x14ac:dyDescent="0.2">
      <c r="A129" s="6" t="s">
        <v>15</v>
      </c>
      <c r="B129" s="16">
        <f>YEAR(Sales_data[[#This Row],[Order Date]])</f>
        <v>2013</v>
      </c>
    </row>
    <row r="130" spans="1:2" x14ac:dyDescent="0.2">
      <c r="A130" s="6" t="s">
        <v>20</v>
      </c>
      <c r="B130" s="16">
        <f>YEAR(Sales_data[[#This Row],[Order Date]])</f>
        <v>2013</v>
      </c>
    </row>
    <row r="131" spans="1:2" x14ac:dyDescent="0.2">
      <c r="A131" s="6" t="s">
        <v>17</v>
      </c>
      <c r="B131" s="16">
        <f>YEAR(Sales_data[[#This Row],[Order Date]])</f>
        <v>2013</v>
      </c>
    </row>
    <row r="132" spans="1:2" x14ac:dyDescent="0.2">
      <c r="A132" s="6" t="s">
        <v>20</v>
      </c>
      <c r="B132" s="16">
        <f>YEAR(Sales_data[[#This Row],[Order Date]])</f>
        <v>2013</v>
      </c>
    </row>
    <row r="133" spans="1:2" x14ac:dyDescent="0.2">
      <c r="A133" s="6" t="s">
        <v>11</v>
      </c>
      <c r="B133" s="16">
        <f>YEAR(Sales_data[[#This Row],[Order Date]])</f>
        <v>2013</v>
      </c>
    </row>
    <row r="134" spans="1:2" x14ac:dyDescent="0.2">
      <c r="A134" s="6" t="s">
        <v>21</v>
      </c>
      <c r="B134" s="16">
        <f>YEAR(Sales_data[[#This Row],[Order Date]])</f>
        <v>2013</v>
      </c>
    </row>
    <row r="135" spans="1:2" x14ac:dyDescent="0.2">
      <c r="A135" s="6" t="s">
        <v>13</v>
      </c>
      <c r="B135" s="16">
        <f>YEAR(Sales_data[[#This Row],[Order Date]])</f>
        <v>2013</v>
      </c>
    </row>
    <row r="136" spans="1:2" x14ac:dyDescent="0.2">
      <c r="A136" s="6" t="s">
        <v>14</v>
      </c>
      <c r="B136" s="16">
        <f>YEAR(Sales_data[[#This Row],[Order Date]])</f>
        <v>2013</v>
      </c>
    </row>
    <row r="137" spans="1:2" x14ac:dyDescent="0.2">
      <c r="A137" s="6" t="s">
        <v>13</v>
      </c>
      <c r="B137" s="16">
        <f>YEAR(Sales_data[[#This Row],[Order Date]])</f>
        <v>2013</v>
      </c>
    </row>
    <row r="138" spans="1:2" x14ac:dyDescent="0.2">
      <c r="A138" s="6" t="s">
        <v>12</v>
      </c>
      <c r="B138" s="16">
        <f>YEAR(Sales_data[[#This Row],[Order Date]])</f>
        <v>2013</v>
      </c>
    </row>
    <row r="139" spans="1:2" x14ac:dyDescent="0.2">
      <c r="A139" s="6" t="s">
        <v>18</v>
      </c>
      <c r="B139" s="16">
        <f>YEAR(Sales_data[[#This Row],[Order Date]])</f>
        <v>2013</v>
      </c>
    </row>
    <row r="140" spans="1:2" x14ac:dyDescent="0.2">
      <c r="A140" s="6" t="s">
        <v>18</v>
      </c>
      <c r="B140" s="16">
        <f>YEAR(Sales_data[[#This Row],[Order Date]])</f>
        <v>2013</v>
      </c>
    </row>
    <row r="141" spans="1:2" x14ac:dyDescent="0.2">
      <c r="A141" s="6" t="s">
        <v>14</v>
      </c>
      <c r="B141" s="16">
        <f>YEAR(Sales_data[[#This Row],[Order Date]])</f>
        <v>2013</v>
      </c>
    </row>
    <row r="142" spans="1:2" x14ac:dyDescent="0.2">
      <c r="A142" s="6" t="s">
        <v>21</v>
      </c>
      <c r="B142" s="16">
        <f>YEAR(Sales_data[[#This Row],[Order Date]])</f>
        <v>2013</v>
      </c>
    </row>
    <row r="143" spans="1:2" x14ac:dyDescent="0.2">
      <c r="A143" s="6" t="s">
        <v>21</v>
      </c>
      <c r="B143" s="16">
        <f>YEAR(Sales_data[[#This Row],[Order Date]])</f>
        <v>2013</v>
      </c>
    </row>
    <row r="144" spans="1:2" x14ac:dyDescent="0.2">
      <c r="A144" s="6" t="s">
        <v>10</v>
      </c>
      <c r="B144" s="16">
        <f>YEAR(Sales_data[[#This Row],[Order Date]])</f>
        <v>2013</v>
      </c>
    </row>
    <row r="145" spans="1:2" x14ac:dyDescent="0.2">
      <c r="A145" s="6" t="s">
        <v>20</v>
      </c>
      <c r="B145" s="16">
        <f>YEAR(Sales_data[[#This Row],[Order Date]])</f>
        <v>2013</v>
      </c>
    </row>
    <row r="146" spans="1:2" x14ac:dyDescent="0.2">
      <c r="A146" s="6" t="s">
        <v>21</v>
      </c>
      <c r="B146" s="16">
        <f>YEAR(Sales_data[[#This Row],[Order Date]])</f>
        <v>2013</v>
      </c>
    </row>
    <row r="147" spans="1:2" x14ac:dyDescent="0.2">
      <c r="A147" s="6" t="s">
        <v>21</v>
      </c>
      <c r="B147" s="16">
        <f>YEAR(Sales_data[[#This Row],[Order Date]])</f>
        <v>2013</v>
      </c>
    </row>
    <row r="148" spans="1:2" x14ac:dyDescent="0.2">
      <c r="A148" s="6" t="s">
        <v>10</v>
      </c>
      <c r="B148" s="16">
        <f>YEAR(Sales_data[[#This Row],[Order Date]])</f>
        <v>2013</v>
      </c>
    </row>
    <row r="149" spans="1:2" x14ac:dyDescent="0.2">
      <c r="A149" s="6" t="s">
        <v>9</v>
      </c>
      <c r="B149" s="16">
        <f>YEAR(Sales_data[[#This Row],[Order Date]])</f>
        <v>2013</v>
      </c>
    </row>
    <row r="150" spans="1:2" x14ac:dyDescent="0.2">
      <c r="A150" s="6" t="s">
        <v>10</v>
      </c>
      <c r="B150" s="16">
        <f>YEAR(Sales_data[[#This Row],[Order Date]])</f>
        <v>2013</v>
      </c>
    </row>
    <row r="151" spans="1:2" x14ac:dyDescent="0.2">
      <c r="A151" s="6" t="s">
        <v>20</v>
      </c>
      <c r="B151" s="16">
        <f>YEAR(Sales_data[[#This Row],[Order Date]])</f>
        <v>2013</v>
      </c>
    </row>
    <row r="152" spans="1:2" x14ac:dyDescent="0.2">
      <c r="A152" s="6" t="s">
        <v>13</v>
      </c>
      <c r="B152" s="16">
        <f>YEAR(Sales_data[[#This Row],[Order Date]])</f>
        <v>2013</v>
      </c>
    </row>
    <row r="153" spans="1:2" x14ac:dyDescent="0.2">
      <c r="A153" s="6" t="s">
        <v>9</v>
      </c>
      <c r="B153" s="16">
        <f>YEAR(Sales_data[[#This Row],[Order Date]])</f>
        <v>2013</v>
      </c>
    </row>
    <row r="154" spans="1:2" x14ac:dyDescent="0.2">
      <c r="A154" s="6" t="s">
        <v>12</v>
      </c>
      <c r="B154" s="16">
        <f>YEAR(Sales_data[[#This Row],[Order Date]])</f>
        <v>2013</v>
      </c>
    </row>
    <row r="155" spans="1:2" x14ac:dyDescent="0.2">
      <c r="A155" s="6" t="s">
        <v>12</v>
      </c>
      <c r="B155" s="16">
        <f>YEAR(Sales_data[[#This Row],[Order Date]])</f>
        <v>2013</v>
      </c>
    </row>
    <row r="156" spans="1:2" x14ac:dyDescent="0.2">
      <c r="A156" s="6" t="s">
        <v>13</v>
      </c>
      <c r="B156" s="16">
        <f>YEAR(Sales_data[[#This Row],[Order Date]])</f>
        <v>2013</v>
      </c>
    </row>
    <row r="157" spans="1:2" x14ac:dyDescent="0.2">
      <c r="A157" s="6" t="s">
        <v>17</v>
      </c>
      <c r="B157" s="16">
        <f>YEAR(Sales_data[[#This Row],[Order Date]])</f>
        <v>2013</v>
      </c>
    </row>
    <row r="158" spans="1:2" x14ac:dyDescent="0.2">
      <c r="A158" s="6" t="s">
        <v>18</v>
      </c>
      <c r="B158" s="16">
        <f>YEAR(Sales_data[[#This Row],[Order Date]])</f>
        <v>2013</v>
      </c>
    </row>
    <row r="159" spans="1:2" x14ac:dyDescent="0.2">
      <c r="A159" s="6" t="s">
        <v>11</v>
      </c>
      <c r="B159" s="16">
        <f>YEAR(Sales_data[[#This Row],[Order Date]])</f>
        <v>2013</v>
      </c>
    </row>
    <row r="160" spans="1:2" x14ac:dyDescent="0.2">
      <c r="A160" s="6" t="s">
        <v>9</v>
      </c>
      <c r="B160" s="16">
        <f>YEAR(Sales_data[[#This Row],[Order Date]])</f>
        <v>2013</v>
      </c>
    </row>
    <row r="161" spans="1:2" x14ac:dyDescent="0.2">
      <c r="A161" s="6" t="s">
        <v>21</v>
      </c>
      <c r="B161" s="16">
        <f>YEAR(Sales_data[[#This Row],[Order Date]])</f>
        <v>2013</v>
      </c>
    </row>
    <row r="162" spans="1:2" x14ac:dyDescent="0.2">
      <c r="A162" s="6" t="s">
        <v>20</v>
      </c>
      <c r="B162" s="16">
        <f>YEAR(Sales_data[[#This Row],[Order Date]])</f>
        <v>2013</v>
      </c>
    </row>
    <row r="163" spans="1:2" x14ac:dyDescent="0.2">
      <c r="A163" s="6" t="s">
        <v>11</v>
      </c>
      <c r="B163" s="16">
        <f>YEAR(Sales_data[[#This Row],[Order Date]])</f>
        <v>2013</v>
      </c>
    </row>
    <row r="164" spans="1:2" x14ac:dyDescent="0.2">
      <c r="A164" s="6" t="s">
        <v>21</v>
      </c>
      <c r="B164" s="16">
        <f>YEAR(Sales_data[[#This Row],[Order Date]])</f>
        <v>2013</v>
      </c>
    </row>
    <row r="165" spans="1:2" x14ac:dyDescent="0.2">
      <c r="A165" s="6" t="s">
        <v>21</v>
      </c>
      <c r="B165" s="16">
        <f>YEAR(Sales_data[[#This Row],[Order Date]])</f>
        <v>2013</v>
      </c>
    </row>
    <row r="166" spans="1:2" x14ac:dyDescent="0.2">
      <c r="A166" s="6" t="s">
        <v>14</v>
      </c>
      <c r="B166" s="16">
        <f>YEAR(Sales_data[[#This Row],[Order Date]])</f>
        <v>2013</v>
      </c>
    </row>
    <row r="167" spans="1:2" x14ac:dyDescent="0.2">
      <c r="A167" s="6" t="s">
        <v>11</v>
      </c>
      <c r="B167" s="16">
        <f>YEAR(Sales_data[[#This Row],[Order Date]])</f>
        <v>2013</v>
      </c>
    </row>
    <row r="168" spans="1:2" x14ac:dyDescent="0.2">
      <c r="A168" s="6" t="s">
        <v>13</v>
      </c>
      <c r="B168" s="16">
        <f>YEAR(Sales_data[[#This Row],[Order Date]])</f>
        <v>2013</v>
      </c>
    </row>
    <row r="169" spans="1:2" x14ac:dyDescent="0.2">
      <c r="A169" s="6" t="s">
        <v>11</v>
      </c>
      <c r="B169" s="16">
        <f>YEAR(Sales_data[[#This Row],[Order Date]])</f>
        <v>2013</v>
      </c>
    </row>
    <row r="170" spans="1:2" x14ac:dyDescent="0.2">
      <c r="A170" s="6" t="s">
        <v>19</v>
      </c>
      <c r="B170" s="16">
        <f>YEAR(Sales_data[[#This Row],[Order Date]])</f>
        <v>2013</v>
      </c>
    </row>
    <row r="171" spans="1:2" x14ac:dyDescent="0.2">
      <c r="A171" s="6" t="s">
        <v>13</v>
      </c>
      <c r="B171" s="16">
        <f>YEAR(Sales_data[[#This Row],[Order Date]])</f>
        <v>2013</v>
      </c>
    </row>
    <row r="172" spans="1:2" x14ac:dyDescent="0.2">
      <c r="A172" s="6" t="s">
        <v>20</v>
      </c>
      <c r="B172" s="16">
        <f>YEAR(Sales_data[[#This Row],[Order Date]])</f>
        <v>2013</v>
      </c>
    </row>
    <row r="173" spans="1:2" x14ac:dyDescent="0.2">
      <c r="A173" s="6" t="s">
        <v>19</v>
      </c>
      <c r="B173" s="16">
        <f>YEAR(Sales_data[[#This Row],[Order Date]])</f>
        <v>2013</v>
      </c>
    </row>
    <row r="174" spans="1:2" x14ac:dyDescent="0.2">
      <c r="A174" s="6" t="s">
        <v>21</v>
      </c>
      <c r="B174" s="16">
        <f>YEAR(Sales_data[[#This Row],[Order Date]])</f>
        <v>2013</v>
      </c>
    </row>
    <row r="175" spans="1:2" x14ac:dyDescent="0.2">
      <c r="A175" s="6" t="s">
        <v>20</v>
      </c>
      <c r="B175" s="16">
        <f>YEAR(Sales_data[[#This Row],[Order Date]])</f>
        <v>2013</v>
      </c>
    </row>
    <row r="176" spans="1:2" x14ac:dyDescent="0.2">
      <c r="A176" s="6" t="s">
        <v>14</v>
      </c>
      <c r="B176" s="16">
        <f>YEAR(Sales_data[[#This Row],[Order Date]])</f>
        <v>2013</v>
      </c>
    </row>
    <row r="177" spans="1:2" x14ac:dyDescent="0.2">
      <c r="A177" s="6" t="s">
        <v>20</v>
      </c>
      <c r="B177" s="16">
        <f>YEAR(Sales_data[[#This Row],[Order Date]])</f>
        <v>2013</v>
      </c>
    </row>
    <row r="178" spans="1:2" x14ac:dyDescent="0.2">
      <c r="A178" s="6" t="s">
        <v>9</v>
      </c>
      <c r="B178" s="16">
        <f>YEAR(Sales_data[[#This Row],[Order Date]])</f>
        <v>2013</v>
      </c>
    </row>
    <row r="179" spans="1:2" x14ac:dyDescent="0.2">
      <c r="A179" s="6" t="s">
        <v>13</v>
      </c>
      <c r="B179" s="16">
        <f>YEAR(Sales_data[[#This Row],[Order Date]])</f>
        <v>2013</v>
      </c>
    </row>
    <row r="180" spans="1:2" x14ac:dyDescent="0.2">
      <c r="A180" s="6" t="s">
        <v>15</v>
      </c>
      <c r="B180" s="16">
        <f>YEAR(Sales_data[[#This Row],[Order Date]])</f>
        <v>2013</v>
      </c>
    </row>
    <row r="181" spans="1:2" x14ac:dyDescent="0.2">
      <c r="A181" s="6" t="s">
        <v>17</v>
      </c>
      <c r="B181" s="16">
        <f>YEAR(Sales_data[[#This Row],[Order Date]])</f>
        <v>2013</v>
      </c>
    </row>
    <row r="182" spans="1:2" x14ac:dyDescent="0.2">
      <c r="A182" s="6" t="s">
        <v>15</v>
      </c>
      <c r="B182" s="16">
        <f>YEAR(Sales_data[[#This Row],[Order Date]])</f>
        <v>2013</v>
      </c>
    </row>
    <row r="183" spans="1:2" x14ac:dyDescent="0.2">
      <c r="A183" s="6" t="s">
        <v>20</v>
      </c>
      <c r="B183" s="16">
        <f>YEAR(Sales_data[[#This Row],[Order Date]])</f>
        <v>2013</v>
      </c>
    </row>
    <row r="184" spans="1:2" x14ac:dyDescent="0.2">
      <c r="A184" s="6" t="s">
        <v>17</v>
      </c>
      <c r="B184" s="16">
        <f>YEAR(Sales_data[[#This Row],[Order Date]])</f>
        <v>2013</v>
      </c>
    </row>
    <row r="185" spans="1:2" x14ac:dyDescent="0.2">
      <c r="A185" s="6" t="s">
        <v>14</v>
      </c>
      <c r="B185" s="16">
        <f>YEAR(Sales_data[[#This Row],[Order Date]])</f>
        <v>2013</v>
      </c>
    </row>
    <row r="186" spans="1:2" x14ac:dyDescent="0.2">
      <c r="A186" s="6" t="s">
        <v>11</v>
      </c>
      <c r="B186" s="16">
        <f>YEAR(Sales_data[[#This Row],[Order Date]])</f>
        <v>2013</v>
      </c>
    </row>
    <row r="187" spans="1:2" x14ac:dyDescent="0.2">
      <c r="A187" s="6" t="s">
        <v>20</v>
      </c>
      <c r="B187" s="16">
        <f>YEAR(Sales_data[[#This Row],[Order Date]])</f>
        <v>2013</v>
      </c>
    </row>
    <row r="188" spans="1:2" x14ac:dyDescent="0.2">
      <c r="A188" s="6" t="s">
        <v>10</v>
      </c>
      <c r="B188" s="16">
        <f>YEAR(Sales_data[[#This Row],[Order Date]])</f>
        <v>2013</v>
      </c>
    </row>
    <row r="189" spans="1:2" x14ac:dyDescent="0.2">
      <c r="A189" s="6" t="s">
        <v>14</v>
      </c>
      <c r="B189" s="16">
        <f>YEAR(Sales_data[[#This Row],[Order Date]])</f>
        <v>2013</v>
      </c>
    </row>
    <row r="190" spans="1:2" x14ac:dyDescent="0.2">
      <c r="A190" s="6" t="s">
        <v>12</v>
      </c>
      <c r="B190" s="16">
        <f>YEAR(Sales_data[[#This Row],[Order Date]])</f>
        <v>2013</v>
      </c>
    </row>
    <row r="191" spans="1:2" x14ac:dyDescent="0.2">
      <c r="A191" s="6" t="s">
        <v>20</v>
      </c>
      <c r="B191" s="16">
        <f>YEAR(Sales_data[[#This Row],[Order Date]])</f>
        <v>2013</v>
      </c>
    </row>
    <row r="192" spans="1:2" x14ac:dyDescent="0.2">
      <c r="A192" s="6" t="s">
        <v>10</v>
      </c>
      <c r="B192" s="16">
        <f>YEAR(Sales_data[[#This Row],[Order Date]])</f>
        <v>2013</v>
      </c>
    </row>
    <row r="193" spans="1:2" x14ac:dyDescent="0.2">
      <c r="A193" s="6" t="s">
        <v>12</v>
      </c>
      <c r="B193" s="16">
        <f>YEAR(Sales_data[[#This Row],[Order Date]])</f>
        <v>2013</v>
      </c>
    </row>
    <row r="194" spans="1:2" x14ac:dyDescent="0.2">
      <c r="A194" s="6" t="s">
        <v>9</v>
      </c>
      <c r="B194" s="16">
        <f>YEAR(Sales_data[[#This Row],[Order Date]])</f>
        <v>2013</v>
      </c>
    </row>
    <row r="195" spans="1:2" x14ac:dyDescent="0.2">
      <c r="A195" s="6" t="s">
        <v>12</v>
      </c>
      <c r="B195" s="16">
        <f>YEAR(Sales_data[[#This Row],[Order Date]])</f>
        <v>2013</v>
      </c>
    </row>
    <row r="196" spans="1:2" x14ac:dyDescent="0.2">
      <c r="A196" s="6" t="s">
        <v>20</v>
      </c>
      <c r="B196" s="16">
        <f>YEAR(Sales_data[[#This Row],[Order Date]])</f>
        <v>2013</v>
      </c>
    </row>
    <row r="197" spans="1:2" x14ac:dyDescent="0.2">
      <c r="A197" s="6" t="s">
        <v>16</v>
      </c>
      <c r="B197" s="16">
        <f>YEAR(Sales_data[[#This Row],[Order Date]])</f>
        <v>2013</v>
      </c>
    </row>
    <row r="198" spans="1:2" x14ac:dyDescent="0.2">
      <c r="A198" s="6" t="s">
        <v>11</v>
      </c>
      <c r="B198" s="16">
        <f>YEAR(Sales_data[[#This Row],[Order Date]])</f>
        <v>2013</v>
      </c>
    </row>
    <row r="199" spans="1:2" x14ac:dyDescent="0.2">
      <c r="A199" s="6" t="s">
        <v>12</v>
      </c>
      <c r="B199" s="16">
        <f>YEAR(Sales_data[[#This Row],[Order Date]])</f>
        <v>2013</v>
      </c>
    </row>
    <row r="200" spans="1:2" x14ac:dyDescent="0.2">
      <c r="A200" s="6" t="s">
        <v>14</v>
      </c>
      <c r="B200" s="16">
        <f>YEAR(Sales_data[[#This Row],[Order Date]])</f>
        <v>2013</v>
      </c>
    </row>
    <row r="201" spans="1:2" x14ac:dyDescent="0.2">
      <c r="A201" s="6" t="s">
        <v>16</v>
      </c>
      <c r="B201" s="16">
        <f>YEAR(Sales_data[[#This Row],[Order Date]])</f>
        <v>2013</v>
      </c>
    </row>
    <row r="202" spans="1:2" x14ac:dyDescent="0.2">
      <c r="A202" s="6" t="s">
        <v>10</v>
      </c>
      <c r="B202" s="16">
        <f>YEAR(Sales_data[[#This Row],[Order Date]])</f>
        <v>2013</v>
      </c>
    </row>
    <row r="203" spans="1:2" x14ac:dyDescent="0.2">
      <c r="A203" s="6" t="s">
        <v>15</v>
      </c>
      <c r="B203" s="16">
        <f>YEAR(Sales_data[[#This Row],[Order Date]])</f>
        <v>2013</v>
      </c>
    </row>
    <row r="204" spans="1:2" x14ac:dyDescent="0.2">
      <c r="A204" s="6" t="s">
        <v>20</v>
      </c>
      <c r="B204" s="16">
        <f>YEAR(Sales_data[[#This Row],[Order Date]])</f>
        <v>2013</v>
      </c>
    </row>
    <row r="205" spans="1:2" x14ac:dyDescent="0.2">
      <c r="A205" s="6" t="s">
        <v>20</v>
      </c>
      <c r="B205" s="16">
        <f>YEAR(Sales_data[[#This Row],[Order Date]])</f>
        <v>2013</v>
      </c>
    </row>
    <row r="206" spans="1:2" x14ac:dyDescent="0.2">
      <c r="A206" s="6" t="s">
        <v>10</v>
      </c>
      <c r="B206" s="16">
        <f>YEAR(Sales_data[[#This Row],[Order Date]])</f>
        <v>2013</v>
      </c>
    </row>
    <row r="207" spans="1:2" x14ac:dyDescent="0.2">
      <c r="A207" s="6" t="s">
        <v>17</v>
      </c>
      <c r="B207" s="16">
        <f>YEAR(Sales_data[[#This Row],[Order Date]])</f>
        <v>2013</v>
      </c>
    </row>
    <row r="208" spans="1:2" x14ac:dyDescent="0.2">
      <c r="A208" s="6" t="s">
        <v>15</v>
      </c>
      <c r="B208" s="16">
        <f>YEAR(Sales_data[[#This Row],[Order Date]])</f>
        <v>2013</v>
      </c>
    </row>
    <row r="209" spans="1:2" x14ac:dyDescent="0.2">
      <c r="A209" s="6" t="s">
        <v>18</v>
      </c>
      <c r="B209" s="16">
        <f>YEAR(Sales_data[[#This Row],[Order Date]])</f>
        <v>2013</v>
      </c>
    </row>
    <row r="210" spans="1:2" x14ac:dyDescent="0.2">
      <c r="A210" s="6" t="s">
        <v>11</v>
      </c>
      <c r="B210" s="16">
        <f>YEAR(Sales_data[[#This Row],[Order Date]])</f>
        <v>2013</v>
      </c>
    </row>
    <row r="211" spans="1:2" x14ac:dyDescent="0.2">
      <c r="A211" s="6" t="s">
        <v>21</v>
      </c>
      <c r="B211" s="16">
        <f>YEAR(Sales_data[[#This Row],[Order Date]])</f>
        <v>2013</v>
      </c>
    </row>
    <row r="212" spans="1:2" x14ac:dyDescent="0.2">
      <c r="A212" s="6" t="s">
        <v>21</v>
      </c>
      <c r="B212" s="16">
        <f>YEAR(Sales_data[[#This Row],[Order Date]])</f>
        <v>2013</v>
      </c>
    </row>
    <row r="213" spans="1:2" x14ac:dyDescent="0.2">
      <c r="A213" s="6" t="s">
        <v>10</v>
      </c>
      <c r="B213" s="16">
        <f>YEAR(Sales_data[[#This Row],[Order Date]])</f>
        <v>2013</v>
      </c>
    </row>
    <row r="214" spans="1:2" x14ac:dyDescent="0.2">
      <c r="A214" s="6" t="s">
        <v>10</v>
      </c>
      <c r="B214" s="16">
        <f>YEAR(Sales_data[[#This Row],[Order Date]])</f>
        <v>2013</v>
      </c>
    </row>
    <row r="215" spans="1:2" x14ac:dyDescent="0.2">
      <c r="A215" s="6" t="s">
        <v>10</v>
      </c>
      <c r="B215" s="16">
        <f>YEAR(Sales_data[[#This Row],[Order Date]])</f>
        <v>2013</v>
      </c>
    </row>
    <row r="216" spans="1:2" x14ac:dyDescent="0.2">
      <c r="A216" s="6" t="s">
        <v>10</v>
      </c>
      <c r="B216" s="16">
        <f>YEAR(Sales_data[[#This Row],[Order Date]])</f>
        <v>2013</v>
      </c>
    </row>
    <row r="217" spans="1:2" x14ac:dyDescent="0.2">
      <c r="A217" s="6" t="s">
        <v>10</v>
      </c>
      <c r="B217" s="16">
        <f>YEAR(Sales_data[[#This Row],[Order Date]])</f>
        <v>2013</v>
      </c>
    </row>
    <row r="218" spans="1:2" x14ac:dyDescent="0.2">
      <c r="A218" s="6" t="s">
        <v>17</v>
      </c>
      <c r="B218" s="16">
        <f>YEAR(Sales_data[[#This Row],[Order Date]])</f>
        <v>2013</v>
      </c>
    </row>
    <row r="219" spans="1:2" x14ac:dyDescent="0.2">
      <c r="A219" s="6" t="s">
        <v>20</v>
      </c>
      <c r="B219" s="16">
        <f>YEAR(Sales_data[[#This Row],[Order Date]])</f>
        <v>2013</v>
      </c>
    </row>
    <row r="220" spans="1:2" x14ac:dyDescent="0.2">
      <c r="A220" s="6" t="s">
        <v>21</v>
      </c>
      <c r="B220" s="16">
        <f>YEAR(Sales_data[[#This Row],[Order Date]])</f>
        <v>2013</v>
      </c>
    </row>
    <row r="221" spans="1:2" x14ac:dyDescent="0.2">
      <c r="A221" s="6" t="s">
        <v>16</v>
      </c>
      <c r="B221" s="16">
        <f>YEAR(Sales_data[[#This Row],[Order Date]])</f>
        <v>2013</v>
      </c>
    </row>
    <row r="222" spans="1:2" x14ac:dyDescent="0.2">
      <c r="A222" s="6" t="s">
        <v>17</v>
      </c>
      <c r="B222" s="16">
        <f>YEAR(Sales_data[[#This Row],[Order Date]])</f>
        <v>2013</v>
      </c>
    </row>
    <row r="223" spans="1:2" x14ac:dyDescent="0.2">
      <c r="A223" s="6" t="s">
        <v>9</v>
      </c>
      <c r="B223" s="16">
        <f>YEAR(Sales_data[[#This Row],[Order Date]])</f>
        <v>2013</v>
      </c>
    </row>
    <row r="224" spans="1:2" x14ac:dyDescent="0.2">
      <c r="A224" s="6" t="s">
        <v>12</v>
      </c>
      <c r="B224" s="16">
        <f>YEAR(Sales_data[[#This Row],[Order Date]])</f>
        <v>2013</v>
      </c>
    </row>
    <row r="225" spans="1:2" x14ac:dyDescent="0.2">
      <c r="A225" s="6" t="s">
        <v>9</v>
      </c>
      <c r="B225" s="16">
        <f>YEAR(Sales_data[[#This Row],[Order Date]])</f>
        <v>2013</v>
      </c>
    </row>
    <row r="226" spans="1:2" x14ac:dyDescent="0.2">
      <c r="A226" s="6" t="s">
        <v>16</v>
      </c>
      <c r="B226" s="16">
        <f>YEAR(Sales_data[[#This Row],[Order Date]])</f>
        <v>2013</v>
      </c>
    </row>
    <row r="227" spans="1:2" x14ac:dyDescent="0.2">
      <c r="A227" s="6" t="s">
        <v>14</v>
      </c>
      <c r="B227" s="16">
        <f>YEAR(Sales_data[[#This Row],[Order Date]])</f>
        <v>2013</v>
      </c>
    </row>
    <row r="228" spans="1:2" x14ac:dyDescent="0.2">
      <c r="A228" s="6" t="s">
        <v>16</v>
      </c>
      <c r="B228" s="16">
        <f>YEAR(Sales_data[[#This Row],[Order Date]])</f>
        <v>2013</v>
      </c>
    </row>
    <row r="229" spans="1:2" x14ac:dyDescent="0.2">
      <c r="A229" s="6" t="s">
        <v>17</v>
      </c>
      <c r="B229" s="16">
        <f>YEAR(Sales_data[[#This Row],[Order Date]])</f>
        <v>2013</v>
      </c>
    </row>
    <row r="230" spans="1:2" x14ac:dyDescent="0.2">
      <c r="A230" s="6" t="s">
        <v>16</v>
      </c>
      <c r="B230" s="16">
        <f>YEAR(Sales_data[[#This Row],[Order Date]])</f>
        <v>2013</v>
      </c>
    </row>
    <row r="231" spans="1:2" x14ac:dyDescent="0.2">
      <c r="A231" s="6" t="s">
        <v>20</v>
      </c>
      <c r="B231" s="16">
        <f>YEAR(Sales_data[[#This Row],[Order Date]])</f>
        <v>2013</v>
      </c>
    </row>
    <row r="232" spans="1:2" x14ac:dyDescent="0.2">
      <c r="A232" s="6" t="s">
        <v>9</v>
      </c>
      <c r="B232" s="16">
        <f>YEAR(Sales_data[[#This Row],[Order Date]])</f>
        <v>2013</v>
      </c>
    </row>
    <row r="233" spans="1:2" x14ac:dyDescent="0.2">
      <c r="A233" s="6" t="s">
        <v>16</v>
      </c>
      <c r="B233" s="16">
        <f>YEAR(Sales_data[[#This Row],[Order Date]])</f>
        <v>2013</v>
      </c>
    </row>
    <row r="234" spans="1:2" x14ac:dyDescent="0.2">
      <c r="A234" s="6" t="s">
        <v>17</v>
      </c>
      <c r="B234" s="16">
        <f>YEAR(Sales_data[[#This Row],[Order Date]])</f>
        <v>2013</v>
      </c>
    </row>
    <row r="235" spans="1:2" x14ac:dyDescent="0.2">
      <c r="A235" s="6" t="s">
        <v>21</v>
      </c>
      <c r="B235" s="16">
        <f>YEAR(Sales_data[[#This Row],[Order Date]])</f>
        <v>2013</v>
      </c>
    </row>
    <row r="236" spans="1:2" x14ac:dyDescent="0.2">
      <c r="A236" s="6" t="s">
        <v>17</v>
      </c>
      <c r="B236" s="16">
        <f>YEAR(Sales_data[[#This Row],[Order Date]])</f>
        <v>2013</v>
      </c>
    </row>
    <row r="237" spans="1:2" x14ac:dyDescent="0.2">
      <c r="A237" s="6" t="s">
        <v>13</v>
      </c>
      <c r="B237" s="16">
        <f>YEAR(Sales_data[[#This Row],[Order Date]])</f>
        <v>2013</v>
      </c>
    </row>
    <row r="238" spans="1:2" x14ac:dyDescent="0.2">
      <c r="A238" s="6" t="s">
        <v>12</v>
      </c>
      <c r="B238" s="16">
        <f>YEAR(Sales_data[[#This Row],[Order Date]])</f>
        <v>2013</v>
      </c>
    </row>
    <row r="239" spans="1:2" x14ac:dyDescent="0.2">
      <c r="A239" s="6" t="s">
        <v>10</v>
      </c>
      <c r="B239" s="16">
        <f>YEAR(Sales_data[[#This Row],[Order Date]])</f>
        <v>2013</v>
      </c>
    </row>
    <row r="240" spans="1:2" x14ac:dyDescent="0.2">
      <c r="A240" s="6" t="s">
        <v>16</v>
      </c>
      <c r="B240" s="16">
        <f>YEAR(Sales_data[[#This Row],[Order Date]])</f>
        <v>2013</v>
      </c>
    </row>
    <row r="241" spans="1:2" x14ac:dyDescent="0.2">
      <c r="A241" s="6" t="s">
        <v>18</v>
      </c>
      <c r="B241" s="16">
        <f>YEAR(Sales_data[[#This Row],[Order Date]])</f>
        <v>2013</v>
      </c>
    </row>
    <row r="242" spans="1:2" x14ac:dyDescent="0.2">
      <c r="A242" s="6" t="s">
        <v>15</v>
      </c>
      <c r="B242" s="16">
        <f>YEAR(Sales_data[[#This Row],[Order Date]])</f>
        <v>2013</v>
      </c>
    </row>
    <row r="243" spans="1:2" x14ac:dyDescent="0.2">
      <c r="A243" s="6" t="s">
        <v>21</v>
      </c>
      <c r="B243" s="16">
        <f>YEAR(Sales_data[[#This Row],[Order Date]])</f>
        <v>2013</v>
      </c>
    </row>
    <row r="244" spans="1:2" x14ac:dyDescent="0.2">
      <c r="A244" s="6" t="s">
        <v>11</v>
      </c>
      <c r="B244" s="16">
        <f>YEAR(Sales_data[[#This Row],[Order Date]])</f>
        <v>2013</v>
      </c>
    </row>
    <row r="245" spans="1:2" x14ac:dyDescent="0.2">
      <c r="A245" s="6" t="s">
        <v>13</v>
      </c>
      <c r="B245" s="16">
        <f>YEAR(Sales_data[[#This Row],[Order Date]])</f>
        <v>2013</v>
      </c>
    </row>
    <row r="246" spans="1:2" x14ac:dyDescent="0.2">
      <c r="A246" s="6" t="s">
        <v>17</v>
      </c>
      <c r="B246" s="16">
        <f>YEAR(Sales_data[[#This Row],[Order Date]])</f>
        <v>2013</v>
      </c>
    </row>
    <row r="247" spans="1:2" x14ac:dyDescent="0.2">
      <c r="A247" s="6" t="s">
        <v>19</v>
      </c>
      <c r="B247" s="16">
        <f>YEAR(Sales_data[[#This Row],[Order Date]])</f>
        <v>2013</v>
      </c>
    </row>
    <row r="248" spans="1:2" x14ac:dyDescent="0.2">
      <c r="A248" s="6" t="s">
        <v>21</v>
      </c>
      <c r="B248" s="16">
        <f>YEAR(Sales_data[[#This Row],[Order Date]])</f>
        <v>2013</v>
      </c>
    </row>
    <row r="249" spans="1:2" x14ac:dyDescent="0.2">
      <c r="A249" s="6" t="s">
        <v>13</v>
      </c>
      <c r="B249" s="16">
        <f>YEAR(Sales_data[[#This Row],[Order Date]])</f>
        <v>2013</v>
      </c>
    </row>
    <row r="250" spans="1:2" x14ac:dyDescent="0.2">
      <c r="A250" s="6" t="s">
        <v>9</v>
      </c>
      <c r="B250" s="16">
        <f>YEAR(Sales_data[[#This Row],[Order Date]])</f>
        <v>2013</v>
      </c>
    </row>
    <row r="251" spans="1:2" x14ac:dyDescent="0.2">
      <c r="A251" s="6" t="s">
        <v>9</v>
      </c>
      <c r="B251" s="16">
        <f>YEAR(Sales_data[[#This Row],[Order Date]])</f>
        <v>2013</v>
      </c>
    </row>
    <row r="252" spans="1:2" x14ac:dyDescent="0.2">
      <c r="A252" s="6" t="s">
        <v>12</v>
      </c>
      <c r="B252" s="16">
        <f>YEAR(Sales_data[[#This Row],[Order Date]])</f>
        <v>2013</v>
      </c>
    </row>
    <row r="253" spans="1:2" x14ac:dyDescent="0.2">
      <c r="A253" s="6" t="s">
        <v>13</v>
      </c>
      <c r="B253" s="16">
        <f>YEAR(Sales_data[[#This Row],[Order Date]])</f>
        <v>2013</v>
      </c>
    </row>
    <row r="254" spans="1:2" x14ac:dyDescent="0.2">
      <c r="A254" s="6" t="s">
        <v>9</v>
      </c>
      <c r="B254" s="16">
        <f>YEAR(Sales_data[[#This Row],[Order Date]])</f>
        <v>2013</v>
      </c>
    </row>
    <row r="255" spans="1:2" x14ac:dyDescent="0.2">
      <c r="A255" s="6" t="s">
        <v>16</v>
      </c>
      <c r="B255" s="16">
        <f>YEAR(Sales_data[[#This Row],[Order Date]])</f>
        <v>2013</v>
      </c>
    </row>
    <row r="256" spans="1:2" x14ac:dyDescent="0.2">
      <c r="A256" s="6" t="s">
        <v>19</v>
      </c>
      <c r="B256" s="16">
        <f>YEAR(Sales_data[[#This Row],[Order Date]])</f>
        <v>2013</v>
      </c>
    </row>
    <row r="257" spans="1:2" x14ac:dyDescent="0.2">
      <c r="A257" s="6" t="s">
        <v>9</v>
      </c>
      <c r="B257" s="16">
        <f>YEAR(Sales_data[[#This Row],[Order Date]])</f>
        <v>2013</v>
      </c>
    </row>
    <row r="258" spans="1:2" x14ac:dyDescent="0.2">
      <c r="A258" s="6" t="s">
        <v>17</v>
      </c>
      <c r="B258" s="16">
        <f>YEAR(Sales_data[[#This Row],[Order Date]])</f>
        <v>2013</v>
      </c>
    </row>
    <row r="259" spans="1:2" x14ac:dyDescent="0.2">
      <c r="A259" s="6" t="s">
        <v>18</v>
      </c>
      <c r="B259" s="16">
        <f>YEAR(Sales_data[[#This Row],[Order Date]])</f>
        <v>2013</v>
      </c>
    </row>
    <row r="260" spans="1:2" x14ac:dyDescent="0.2">
      <c r="A260" s="6" t="s">
        <v>17</v>
      </c>
      <c r="B260" s="16">
        <f>YEAR(Sales_data[[#This Row],[Order Date]])</f>
        <v>2013</v>
      </c>
    </row>
    <row r="261" spans="1:2" x14ac:dyDescent="0.2">
      <c r="A261" s="6" t="s">
        <v>16</v>
      </c>
      <c r="B261" s="16">
        <f>YEAR(Sales_data[[#This Row],[Order Date]])</f>
        <v>2013</v>
      </c>
    </row>
    <row r="262" spans="1:2" x14ac:dyDescent="0.2">
      <c r="A262" s="6" t="s">
        <v>20</v>
      </c>
      <c r="B262" s="16">
        <f>YEAR(Sales_data[[#This Row],[Order Date]])</f>
        <v>2013</v>
      </c>
    </row>
    <row r="263" spans="1:2" x14ac:dyDescent="0.2">
      <c r="A263" s="6" t="s">
        <v>14</v>
      </c>
      <c r="B263" s="16">
        <f>YEAR(Sales_data[[#This Row],[Order Date]])</f>
        <v>2013</v>
      </c>
    </row>
    <row r="264" spans="1:2" x14ac:dyDescent="0.2">
      <c r="A264" s="6" t="s">
        <v>11</v>
      </c>
      <c r="B264" s="16">
        <f>YEAR(Sales_data[[#This Row],[Order Date]])</f>
        <v>2013</v>
      </c>
    </row>
    <row r="265" spans="1:2" x14ac:dyDescent="0.2">
      <c r="A265" s="6" t="s">
        <v>19</v>
      </c>
      <c r="B265" s="16">
        <f>YEAR(Sales_data[[#This Row],[Order Date]])</f>
        <v>2013</v>
      </c>
    </row>
    <row r="266" spans="1:2" x14ac:dyDescent="0.2">
      <c r="A266" s="6" t="s">
        <v>11</v>
      </c>
      <c r="B266" s="16">
        <f>YEAR(Sales_data[[#This Row],[Order Date]])</f>
        <v>2013</v>
      </c>
    </row>
    <row r="267" spans="1:2" x14ac:dyDescent="0.2">
      <c r="A267" s="6" t="s">
        <v>13</v>
      </c>
      <c r="B267" s="16">
        <f>YEAR(Sales_data[[#This Row],[Order Date]])</f>
        <v>2013</v>
      </c>
    </row>
    <row r="268" spans="1:2" x14ac:dyDescent="0.2">
      <c r="A268" s="6" t="s">
        <v>11</v>
      </c>
      <c r="B268" s="16">
        <f>YEAR(Sales_data[[#This Row],[Order Date]])</f>
        <v>2013</v>
      </c>
    </row>
    <row r="269" spans="1:2" x14ac:dyDescent="0.2">
      <c r="A269" s="6" t="s">
        <v>12</v>
      </c>
      <c r="B269" s="16">
        <f>YEAR(Sales_data[[#This Row],[Order Date]])</f>
        <v>2013</v>
      </c>
    </row>
    <row r="270" spans="1:2" x14ac:dyDescent="0.2">
      <c r="A270" s="6" t="s">
        <v>14</v>
      </c>
      <c r="B270" s="16">
        <f>YEAR(Sales_data[[#This Row],[Order Date]])</f>
        <v>2013</v>
      </c>
    </row>
    <row r="271" spans="1:2" x14ac:dyDescent="0.2">
      <c r="A271" s="6" t="s">
        <v>15</v>
      </c>
      <c r="B271" s="16">
        <f>YEAR(Sales_data[[#This Row],[Order Date]])</f>
        <v>2013</v>
      </c>
    </row>
    <row r="272" spans="1:2" x14ac:dyDescent="0.2">
      <c r="A272" s="6" t="s">
        <v>10</v>
      </c>
      <c r="B272" s="16">
        <f>YEAR(Sales_data[[#This Row],[Order Date]])</f>
        <v>2013</v>
      </c>
    </row>
    <row r="273" spans="1:2" x14ac:dyDescent="0.2">
      <c r="A273" s="6" t="s">
        <v>14</v>
      </c>
      <c r="B273" s="16">
        <f>YEAR(Sales_data[[#This Row],[Order Date]])</f>
        <v>2013</v>
      </c>
    </row>
    <row r="274" spans="1:2" x14ac:dyDescent="0.2">
      <c r="A274" s="6" t="s">
        <v>11</v>
      </c>
      <c r="B274" s="16">
        <f>YEAR(Sales_data[[#This Row],[Order Date]])</f>
        <v>2013</v>
      </c>
    </row>
    <row r="275" spans="1:2" x14ac:dyDescent="0.2">
      <c r="A275" s="6" t="s">
        <v>12</v>
      </c>
      <c r="B275" s="16">
        <f>YEAR(Sales_data[[#This Row],[Order Date]])</f>
        <v>2013</v>
      </c>
    </row>
    <row r="276" spans="1:2" x14ac:dyDescent="0.2">
      <c r="A276" s="6" t="s">
        <v>16</v>
      </c>
      <c r="B276" s="16">
        <f>YEAR(Sales_data[[#This Row],[Order Date]])</f>
        <v>2013</v>
      </c>
    </row>
    <row r="277" spans="1:2" x14ac:dyDescent="0.2">
      <c r="A277" s="6" t="s">
        <v>10</v>
      </c>
      <c r="B277" s="16">
        <f>YEAR(Sales_data[[#This Row],[Order Date]])</f>
        <v>2013</v>
      </c>
    </row>
    <row r="278" spans="1:2" x14ac:dyDescent="0.2">
      <c r="A278" s="6" t="s">
        <v>16</v>
      </c>
      <c r="B278" s="16">
        <f>YEAR(Sales_data[[#This Row],[Order Date]])</f>
        <v>2013</v>
      </c>
    </row>
    <row r="279" spans="1:2" x14ac:dyDescent="0.2">
      <c r="A279" s="6" t="s">
        <v>12</v>
      </c>
      <c r="B279" s="16">
        <f>YEAR(Sales_data[[#This Row],[Order Date]])</f>
        <v>2013</v>
      </c>
    </row>
    <row r="280" spans="1:2" x14ac:dyDescent="0.2">
      <c r="A280" s="6" t="s">
        <v>15</v>
      </c>
      <c r="B280" s="16">
        <f>YEAR(Sales_data[[#This Row],[Order Date]])</f>
        <v>2013</v>
      </c>
    </row>
    <row r="281" spans="1:2" x14ac:dyDescent="0.2">
      <c r="A281" s="6" t="s">
        <v>21</v>
      </c>
      <c r="B281" s="16">
        <f>YEAR(Sales_data[[#This Row],[Order Date]])</f>
        <v>2013</v>
      </c>
    </row>
    <row r="282" spans="1:2" x14ac:dyDescent="0.2">
      <c r="A282" s="6" t="s">
        <v>9</v>
      </c>
      <c r="B282" s="16">
        <f>YEAR(Sales_data[[#This Row],[Order Date]])</f>
        <v>2013</v>
      </c>
    </row>
    <row r="283" spans="1:2" x14ac:dyDescent="0.2">
      <c r="A283" s="6" t="s">
        <v>18</v>
      </c>
      <c r="B283" s="16">
        <f>YEAR(Sales_data[[#This Row],[Order Date]])</f>
        <v>2013</v>
      </c>
    </row>
    <row r="284" spans="1:2" x14ac:dyDescent="0.2">
      <c r="A284" s="6" t="s">
        <v>15</v>
      </c>
      <c r="B284" s="16">
        <f>YEAR(Sales_data[[#This Row],[Order Date]])</f>
        <v>2013</v>
      </c>
    </row>
    <row r="285" spans="1:2" x14ac:dyDescent="0.2">
      <c r="A285" s="6" t="s">
        <v>15</v>
      </c>
      <c r="B285" s="16">
        <f>YEAR(Sales_data[[#This Row],[Order Date]])</f>
        <v>2013</v>
      </c>
    </row>
    <row r="286" spans="1:2" x14ac:dyDescent="0.2">
      <c r="A286" s="6" t="s">
        <v>17</v>
      </c>
      <c r="B286" s="16">
        <f>YEAR(Sales_data[[#This Row],[Order Date]])</f>
        <v>2013</v>
      </c>
    </row>
    <row r="287" spans="1:2" x14ac:dyDescent="0.2">
      <c r="A287" s="6" t="s">
        <v>18</v>
      </c>
      <c r="B287" s="16">
        <f>YEAR(Sales_data[[#This Row],[Order Date]])</f>
        <v>2013</v>
      </c>
    </row>
    <row r="288" spans="1:2" x14ac:dyDescent="0.2">
      <c r="A288" s="6" t="s">
        <v>10</v>
      </c>
      <c r="B288" s="16">
        <f>YEAR(Sales_data[[#This Row],[Order Date]])</f>
        <v>2013</v>
      </c>
    </row>
    <row r="289" spans="1:2" x14ac:dyDescent="0.2">
      <c r="A289" s="6" t="s">
        <v>14</v>
      </c>
      <c r="B289" s="16">
        <f>YEAR(Sales_data[[#This Row],[Order Date]])</f>
        <v>2013</v>
      </c>
    </row>
    <row r="290" spans="1:2" x14ac:dyDescent="0.2">
      <c r="A290" s="6" t="s">
        <v>19</v>
      </c>
      <c r="B290" s="16">
        <f>YEAR(Sales_data[[#This Row],[Order Date]])</f>
        <v>2013</v>
      </c>
    </row>
    <row r="291" spans="1:2" x14ac:dyDescent="0.2">
      <c r="A291" s="6" t="s">
        <v>17</v>
      </c>
      <c r="B291" s="16">
        <f>YEAR(Sales_data[[#This Row],[Order Date]])</f>
        <v>2013</v>
      </c>
    </row>
    <row r="292" spans="1:2" x14ac:dyDescent="0.2">
      <c r="A292" s="6" t="s">
        <v>16</v>
      </c>
      <c r="B292" s="16">
        <f>YEAR(Sales_data[[#This Row],[Order Date]])</f>
        <v>2013</v>
      </c>
    </row>
    <row r="293" spans="1:2" x14ac:dyDescent="0.2">
      <c r="A293" s="6" t="s">
        <v>9</v>
      </c>
      <c r="B293" s="16">
        <f>YEAR(Sales_data[[#This Row],[Order Date]])</f>
        <v>2013</v>
      </c>
    </row>
    <row r="294" spans="1:2" x14ac:dyDescent="0.2">
      <c r="A294" s="6" t="s">
        <v>13</v>
      </c>
      <c r="B294" s="16">
        <f>YEAR(Sales_data[[#This Row],[Order Date]])</f>
        <v>2013</v>
      </c>
    </row>
    <row r="295" spans="1:2" x14ac:dyDescent="0.2">
      <c r="A295" s="6" t="s">
        <v>11</v>
      </c>
      <c r="B295" s="16">
        <f>YEAR(Sales_data[[#This Row],[Order Date]])</f>
        <v>2013</v>
      </c>
    </row>
    <row r="296" spans="1:2" x14ac:dyDescent="0.2">
      <c r="A296" s="6" t="s">
        <v>11</v>
      </c>
      <c r="B296" s="16">
        <f>YEAR(Sales_data[[#This Row],[Order Date]])</f>
        <v>2013</v>
      </c>
    </row>
    <row r="297" spans="1:2" x14ac:dyDescent="0.2">
      <c r="A297" s="6" t="s">
        <v>15</v>
      </c>
      <c r="B297" s="16">
        <f>YEAR(Sales_data[[#This Row],[Order Date]])</f>
        <v>2013</v>
      </c>
    </row>
    <row r="298" spans="1:2" x14ac:dyDescent="0.2">
      <c r="A298" s="6" t="s">
        <v>16</v>
      </c>
      <c r="B298" s="16">
        <f>YEAR(Sales_data[[#This Row],[Order Date]])</f>
        <v>2013</v>
      </c>
    </row>
    <row r="299" spans="1:2" x14ac:dyDescent="0.2">
      <c r="A299" s="6" t="s">
        <v>9</v>
      </c>
      <c r="B299" s="16">
        <f>YEAR(Sales_data[[#This Row],[Order Date]])</f>
        <v>2013</v>
      </c>
    </row>
    <row r="300" spans="1:2" x14ac:dyDescent="0.2">
      <c r="A300" s="6" t="s">
        <v>11</v>
      </c>
      <c r="B300" s="16">
        <f>YEAR(Sales_data[[#This Row],[Order Date]])</f>
        <v>2013</v>
      </c>
    </row>
    <row r="301" spans="1:2" x14ac:dyDescent="0.2">
      <c r="A301" s="6" t="s">
        <v>10</v>
      </c>
      <c r="B301" s="16">
        <f>YEAR(Sales_data[[#This Row],[Order Date]])</f>
        <v>2013</v>
      </c>
    </row>
    <row r="302" spans="1:2" x14ac:dyDescent="0.2">
      <c r="A302" s="6" t="s">
        <v>10</v>
      </c>
      <c r="B302" s="16">
        <f>YEAR(Sales_data[[#This Row],[Order Date]])</f>
        <v>2013</v>
      </c>
    </row>
    <row r="303" spans="1:2" x14ac:dyDescent="0.2">
      <c r="A303" s="6" t="s">
        <v>20</v>
      </c>
      <c r="B303" s="16">
        <f>YEAR(Sales_data[[#This Row],[Order Date]])</f>
        <v>2013</v>
      </c>
    </row>
    <row r="304" spans="1:2" x14ac:dyDescent="0.2">
      <c r="A304" s="6" t="s">
        <v>11</v>
      </c>
      <c r="B304" s="16">
        <f>YEAR(Sales_data[[#This Row],[Order Date]])</f>
        <v>2013</v>
      </c>
    </row>
    <row r="305" spans="1:2" x14ac:dyDescent="0.2">
      <c r="A305" s="6" t="s">
        <v>17</v>
      </c>
      <c r="B305" s="16">
        <f>YEAR(Sales_data[[#This Row],[Order Date]])</f>
        <v>2013</v>
      </c>
    </row>
    <row r="306" spans="1:2" x14ac:dyDescent="0.2">
      <c r="A306" s="6" t="s">
        <v>19</v>
      </c>
      <c r="B306" s="16">
        <f>YEAR(Sales_data[[#This Row],[Order Date]])</f>
        <v>2013</v>
      </c>
    </row>
    <row r="307" spans="1:2" x14ac:dyDescent="0.2">
      <c r="A307" s="6" t="s">
        <v>9</v>
      </c>
      <c r="B307" s="16">
        <f>YEAR(Sales_data[[#This Row],[Order Date]])</f>
        <v>2013</v>
      </c>
    </row>
    <row r="308" spans="1:2" x14ac:dyDescent="0.2">
      <c r="A308" s="6" t="s">
        <v>21</v>
      </c>
      <c r="B308" s="16">
        <f>YEAR(Sales_data[[#This Row],[Order Date]])</f>
        <v>2013</v>
      </c>
    </row>
    <row r="309" spans="1:2" x14ac:dyDescent="0.2">
      <c r="A309" s="6" t="s">
        <v>16</v>
      </c>
      <c r="B309" s="16">
        <f>YEAR(Sales_data[[#This Row],[Order Date]])</f>
        <v>2013</v>
      </c>
    </row>
    <row r="310" spans="1:2" x14ac:dyDescent="0.2">
      <c r="A310" s="6" t="s">
        <v>10</v>
      </c>
      <c r="B310" s="16">
        <f>YEAR(Sales_data[[#This Row],[Order Date]])</f>
        <v>2013</v>
      </c>
    </row>
    <row r="311" spans="1:2" x14ac:dyDescent="0.2">
      <c r="A311" s="6" t="s">
        <v>16</v>
      </c>
      <c r="B311" s="16">
        <f>YEAR(Sales_data[[#This Row],[Order Date]])</f>
        <v>2013</v>
      </c>
    </row>
    <row r="312" spans="1:2" x14ac:dyDescent="0.2">
      <c r="A312" s="6" t="s">
        <v>18</v>
      </c>
      <c r="B312" s="16">
        <f>YEAR(Sales_data[[#This Row],[Order Date]])</f>
        <v>2013</v>
      </c>
    </row>
    <row r="313" spans="1:2" x14ac:dyDescent="0.2">
      <c r="A313" s="6" t="s">
        <v>20</v>
      </c>
      <c r="B313" s="16">
        <f>YEAR(Sales_data[[#This Row],[Order Date]])</f>
        <v>2013</v>
      </c>
    </row>
    <row r="314" spans="1:2" x14ac:dyDescent="0.2">
      <c r="A314" s="6" t="s">
        <v>12</v>
      </c>
      <c r="B314" s="16">
        <f>YEAR(Sales_data[[#This Row],[Order Date]])</f>
        <v>2013</v>
      </c>
    </row>
    <row r="315" spans="1:2" x14ac:dyDescent="0.2">
      <c r="A315" s="6" t="s">
        <v>18</v>
      </c>
      <c r="B315" s="16">
        <f>YEAR(Sales_data[[#This Row],[Order Date]])</f>
        <v>2013</v>
      </c>
    </row>
    <row r="316" spans="1:2" x14ac:dyDescent="0.2">
      <c r="A316" s="6" t="s">
        <v>10</v>
      </c>
      <c r="B316" s="16">
        <f>YEAR(Sales_data[[#This Row],[Order Date]])</f>
        <v>2013</v>
      </c>
    </row>
    <row r="317" spans="1:2" x14ac:dyDescent="0.2">
      <c r="A317" s="6" t="s">
        <v>19</v>
      </c>
      <c r="B317" s="16">
        <f>YEAR(Sales_data[[#This Row],[Order Date]])</f>
        <v>2013</v>
      </c>
    </row>
    <row r="318" spans="1:2" x14ac:dyDescent="0.2">
      <c r="A318" s="6" t="s">
        <v>13</v>
      </c>
      <c r="B318" s="16">
        <f>YEAR(Sales_data[[#This Row],[Order Date]])</f>
        <v>2013</v>
      </c>
    </row>
    <row r="319" spans="1:2" x14ac:dyDescent="0.2">
      <c r="A319" s="6" t="s">
        <v>15</v>
      </c>
      <c r="B319" s="16">
        <f>YEAR(Sales_data[[#This Row],[Order Date]])</f>
        <v>2013</v>
      </c>
    </row>
    <row r="320" spans="1:2" x14ac:dyDescent="0.2">
      <c r="A320" s="6" t="s">
        <v>18</v>
      </c>
      <c r="B320" s="16">
        <f>YEAR(Sales_data[[#This Row],[Order Date]])</f>
        <v>2013</v>
      </c>
    </row>
    <row r="321" spans="1:2" x14ac:dyDescent="0.2">
      <c r="A321" s="6" t="s">
        <v>21</v>
      </c>
      <c r="B321" s="16">
        <f>YEAR(Sales_data[[#This Row],[Order Date]])</f>
        <v>2013</v>
      </c>
    </row>
    <row r="322" spans="1:2" x14ac:dyDescent="0.2">
      <c r="A322" s="6" t="s">
        <v>18</v>
      </c>
      <c r="B322" s="16">
        <f>YEAR(Sales_data[[#This Row],[Order Date]])</f>
        <v>2013</v>
      </c>
    </row>
    <row r="323" spans="1:2" x14ac:dyDescent="0.2">
      <c r="A323" s="6" t="s">
        <v>19</v>
      </c>
      <c r="B323" s="16">
        <f>YEAR(Sales_data[[#This Row],[Order Date]])</f>
        <v>2013</v>
      </c>
    </row>
    <row r="324" spans="1:2" x14ac:dyDescent="0.2">
      <c r="A324" s="6" t="s">
        <v>20</v>
      </c>
      <c r="B324" s="16">
        <f>YEAR(Sales_data[[#This Row],[Order Date]])</f>
        <v>2013</v>
      </c>
    </row>
    <row r="325" spans="1:2" x14ac:dyDescent="0.2">
      <c r="A325" s="6" t="s">
        <v>14</v>
      </c>
      <c r="B325" s="16">
        <f>YEAR(Sales_data[[#This Row],[Order Date]])</f>
        <v>2013</v>
      </c>
    </row>
    <row r="326" spans="1:2" x14ac:dyDescent="0.2">
      <c r="A326" s="6" t="s">
        <v>20</v>
      </c>
      <c r="B326" s="16">
        <f>YEAR(Sales_data[[#This Row],[Order Date]])</f>
        <v>2013</v>
      </c>
    </row>
    <row r="327" spans="1:2" x14ac:dyDescent="0.2">
      <c r="A327" s="6" t="s">
        <v>18</v>
      </c>
      <c r="B327" s="16">
        <f>YEAR(Sales_data[[#This Row],[Order Date]])</f>
        <v>2013</v>
      </c>
    </row>
    <row r="328" spans="1:2" x14ac:dyDescent="0.2">
      <c r="A328" s="6" t="s">
        <v>21</v>
      </c>
      <c r="B328" s="16">
        <f>YEAR(Sales_data[[#This Row],[Order Date]])</f>
        <v>2013</v>
      </c>
    </row>
    <row r="329" spans="1:2" x14ac:dyDescent="0.2">
      <c r="A329" s="6" t="s">
        <v>20</v>
      </c>
      <c r="B329" s="16">
        <f>YEAR(Sales_data[[#This Row],[Order Date]])</f>
        <v>2013</v>
      </c>
    </row>
    <row r="330" spans="1:2" x14ac:dyDescent="0.2">
      <c r="A330" s="6" t="s">
        <v>12</v>
      </c>
      <c r="B330" s="16">
        <f>YEAR(Sales_data[[#This Row],[Order Date]])</f>
        <v>2013</v>
      </c>
    </row>
    <row r="331" spans="1:2" x14ac:dyDescent="0.2">
      <c r="A331" s="6" t="s">
        <v>19</v>
      </c>
      <c r="B331" s="16">
        <f>YEAR(Sales_data[[#This Row],[Order Date]])</f>
        <v>2013</v>
      </c>
    </row>
    <row r="332" spans="1:2" x14ac:dyDescent="0.2">
      <c r="A332" s="6" t="s">
        <v>13</v>
      </c>
      <c r="B332" s="16">
        <f>YEAR(Sales_data[[#This Row],[Order Date]])</f>
        <v>2013</v>
      </c>
    </row>
    <row r="333" spans="1:2" x14ac:dyDescent="0.2">
      <c r="A333" s="6" t="s">
        <v>19</v>
      </c>
      <c r="B333" s="16">
        <f>YEAR(Sales_data[[#This Row],[Order Date]])</f>
        <v>2013</v>
      </c>
    </row>
    <row r="334" spans="1:2" x14ac:dyDescent="0.2">
      <c r="A334" s="6" t="s">
        <v>16</v>
      </c>
      <c r="B334" s="16">
        <f>YEAR(Sales_data[[#This Row],[Order Date]])</f>
        <v>2013</v>
      </c>
    </row>
    <row r="335" spans="1:2" x14ac:dyDescent="0.2">
      <c r="A335" s="6" t="s">
        <v>15</v>
      </c>
      <c r="B335" s="16">
        <f>YEAR(Sales_data[[#This Row],[Order Date]])</f>
        <v>2013</v>
      </c>
    </row>
    <row r="336" spans="1:2" x14ac:dyDescent="0.2">
      <c r="A336" s="6" t="s">
        <v>21</v>
      </c>
      <c r="B336" s="16">
        <f>YEAR(Sales_data[[#This Row],[Order Date]])</f>
        <v>2013</v>
      </c>
    </row>
    <row r="337" spans="1:2" x14ac:dyDescent="0.2">
      <c r="A337" s="6" t="s">
        <v>15</v>
      </c>
      <c r="B337" s="16">
        <f>YEAR(Sales_data[[#This Row],[Order Date]])</f>
        <v>2013</v>
      </c>
    </row>
    <row r="338" spans="1:2" x14ac:dyDescent="0.2">
      <c r="A338" s="6" t="s">
        <v>19</v>
      </c>
      <c r="B338" s="16">
        <f>YEAR(Sales_data[[#This Row],[Order Date]])</f>
        <v>2013</v>
      </c>
    </row>
    <row r="339" spans="1:2" x14ac:dyDescent="0.2">
      <c r="A339" s="6" t="s">
        <v>11</v>
      </c>
      <c r="B339" s="16">
        <f>YEAR(Sales_data[[#This Row],[Order Date]])</f>
        <v>2013</v>
      </c>
    </row>
    <row r="340" spans="1:2" x14ac:dyDescent="0.2">
      <c r="A340" s="6" t="s">
        <v>16</v>
      </c>
      <c r="B340" s="16">
        <f>YEAR(Sales_data[[#This Row],[Order Date]])</f>
        <v>2013</v>
      </c>
    </row>
    <row r="341" spans="1:2" x14ac:dyDescent="0.2">
      <c r="A341" s="6" t="s">
        <v>15</v>
      </c>
      <c r="B341" s="16">
        <f>YEAR(Sales_data[[#This Row],[Order Date]])</f>
        <v>2013</v>
      </c>
    </row>
    <row r="342" spans="1:2" x14ac:dyDescent="0.2">
      <c r="A342" s="6" t="s">
        <v>20</v>
      </c>
      <c r="B342" s="16">
        <f>YEAR(Sales_data[[#This Row],[Order Date]])</f>
        <v>2013</v>
      </c>
    </row>
    <row r="343" spans="1:2" x14ac:dyDescent="0.2">
      <c r="A343" s="6" t="s">
        <v>14</v>
      </c>
      <c r="B343" s="16">
        <f>YEAR(Sales_data[[#This Row],[Order Date]])</f>
        <v>2013</v>
      </c>
    </row>
    <row r="344" spans="1:2" x14ac:dyDescent="0.2">
      <c r="A344" s="6" t="s">
        <v>18</v>
      </c>
      <c r="B344" s="16">
        <f>YEAR(Sales_data[[#This Row],[Order Date]])</f>
        <v>2013</v>
      </c>
    </row>
    <row r="345" spans="1:2" x14ac:dyDescent="0.2">
      <c r="A345" s="6" t="s">
        <v>16</v>
      </c>
      <c r="B345" s="16">
        <f>YEAR(Sales_data[[#This Row],[Order Date]])</f>
        <v>2013</v>
      </c>
    </row>
    <row r="346" spans="1:2" x14ac:dyDescent="0.2">
      <c r="A346" s="6" t="s">
        <v>14</v>
      </c>
      <c r="B346" s="16">
        <f>YEAR(Sales_data[[#This Row],[Order Date]])</f>
        <v>2013</v>
      </c>
    </row>
    <row r="347" spans="1:2" x14ac:dyDescent="0.2">
      <c r="A347" s="6" t="s">
        <v>20</v>
      </c>
      <c r="B347" s="16">
        <f>YEAR(Sales_data[[#This Row],[Order Date]])</f>
        <v>2013</v>
      </c>
    </row>
    <row r="348" spans="1:2" x14ac:dyDescent="0.2">
      <c r="A348" s="6" t="s">
        <v>9</v>
      </c>
      <c r="B348" s="16">
        <f>YEAR(Sales_data[[#This Row],[Order Date]])</f>
        <v>2013</v>
      </c>
    </row>
    <row r="349" spans="1:2" x14ac:dyDescent="0.2">
      <c r="A349" s="6" t="s">
        <v>10</v>
      </c>
      <c r="B349" s="16">
        <f>YEAR(Sales_data[[#This Row],[Order Date]])</f>
        <v>2013</v>
      </c>
    </row>
    <row r="350" spans="1:2" x14ac:dyDescent="0.2">
      <c r="A350" s="6" t="s">
        <v>16</v>
      </c>
      <c r="B350" s="16">
        <f>YEAR(Sales_data[[#This Row],[Order Date]])</f>
        <v>2013</v>
      </c>
    </row>
    <row r="351" spans="1:2" x14ac:dyDescent="0.2">
      <c r="A351" s="6" t="s">
        <v>9</v>
      </c>
      <c r="B351" s="16">
        <f>YEAR(Sales_data[[#This Row],[Order Date]])</f>
        <v>2013</v>
      </c>
    </row>
    <row r="352" spans="1:2" x14ac:dyDescent="0.2">
      <c r="A352" s="6" t="s">
        <v>21</v>
      </c>
      <c r="B352" s="16">
        <f>YEAR(Sales_data[[#This Row],[Order Date]])</f>
        <v>2013</v>
      </c>
    </row>
    <row r="353" spans="1:2" x14ac:dyDescent="0.2">
      <c r="A353" s="6" t="s">
        <v>12</v>
      </c>
      <c r="B353" s="16">
        <f>YEAR(Sales_data[[#This Row],[Order Date]])</f>
        <v>2013</v>
      </c>
    </row>
    <row r="354" spans="1:2" x14ac:dyDescent="0.2">
      <c r="A354" s="6" t="s">
        <v>10</v>
      </c>
      <c r="B354" s="16">
        <f>YEAR(Sales_data[[#This Row],[Order Date]])</f>
        <v>2013</v>
      </c>
    </row>
    <row r="355" spans="1:2" x14ac:dyDescent="0.2">
      <c r="A355" s="6" t="s">
        <v>15</v>
      </c>
      <c r="B355" s="16">
        <f>YEAR(Sales_data[[#This Row],[Order Date]])</f>
        <v>2013</v>
      </c>
    </row>
    <row r="356" spans="1:2" x14ac:dyDescent="0.2">
      <c r="A356" s="6" t="s">
        <v>19</v>
      </c>
      <c r="B356" s="16">
        <f>YEAR(Sales_data[[#This Row],[Order Date]])</f>
        <v>2013</v>
      </c>
    </row>
    <row r="357" spans="1:2" x14ac:dyDescent="0.2">
      <c r="A357" s="6" t="s">
        <v>13</v>
      </c>
      <c r="B357" s="16">
        <f>YEAR(Sales_data[[#This Row],[Order Date]])</f>
        <v>2013</v>
      </c>
    </row>
    <row r="358" spans="1:2" x14ac:dyDescent="0.2">
      <c r="A358" s="6" t="s">
        <v>17</v>
      </c>
      <c r="B358" s="16">
        <f>YEAR(Sales_data[[#This Row],[Order Date]])</f>
        <v>2013</v>
      </c>
    </row>
    <row r="359" spans="1:2" x14ac:dyDescent="0.2">
      <c r="A359" s="6" t="s">
        <v>20</v>
      </c>
      <c r="B359" s="16">
        <f>YEAR(Sales_data[[#This Row],[Order Date]])</f>
        <v>2013</v>
      </c>
    </row>
    <row r="360" spans="1:2" x14ac:dyDescent="0.2">
      <c r="A360" s="6" t="s">
        <v>18</v>
      </c>
      <c r="B360" s="16">
        <f>YEAR(Sales_data[[#This Row],[Order Date]])</f>
        <v>2013</v>
      </c>
    </row>
    <row r="361" spans="1:2" x14ac:dyDescent="0.2">
      <c r="A361" s="6" t="s">
        <v>16</v>
      </c>
      <c r="B361" s="16">
        <f>YEAR(Sales_data[[#This Row],[Order Date]])</f>
        <v>2013</v>
      </c>
    </row>
    <row r="362" spans="1:2" x14ac:dyDescent="0.2">
      <c r="A362" s="6" t="s">
        <v>14</v>
      </c>
      <c r="B362" s="16">
        <f>YEAR(Sales_data[[#This Row],[Order Date]])</f>
        <v>2013</v>
      </c>
    </row>
    <row r="363" spans="1:2" x14ac:dyDescent="0.2">
      <c r="A363" s="6" t="s">
        <v>9</v>
      </c>
      <c r="B363" s="16">
        <f>YEAR(Sales_data[[#This Row],[Order Date]])</f>
        <v>2013</v>
      </c>
    </row>
    <row r="364" spans="1:2" x14ac:dyDescent="0.2">
      <c r="A364" s="6" t="s">
        <v>9</v>
      </c>
      <c r="B364" s="16">
        <f>YEAR(Sales_data[[#This Row],[Order Date]])</f>
        <v>2013</v>
      </c>
    </row>
    <row r="365" spans="1:2" x14ac:dyDescent="0.2">
      <c r="A365" s="6" t="s">
        <v>14</v>
      </c>
      <c r="B365" s="16">
        <f>YEAR(Sales_data[[#This Row],[Order Date]])</f>
        <v>2013</v>
      </c>
    </row>
    <row r="366" spans="1:2" x14ac:dyDescent="0.2">
      <c r="A366" s="6" t="s">
        <v>12</v>
      </c>
      <c r="B366" s="16">
        <f>YEAR(Sales_data[[#This Row],[Order Date]])</f>
        <v>2013</v>
      </c>
    </row>
    <row r="367" spans="1:2" x14ac:dyDescent="0.2">
      <c r="A367" s="6" t="s">
        <v>16</v>
      </c>
      <c r="B367" s="16">
        <f>YEAR(Sales_data[[#This Row],[Order Date]])</f>
        <v>2013</v>
      </c>
    </row>
    <row r="368" spans="1:2" x14ac:dyDescent="0.2">
      <c r="A368" s="6" t="s">
        <v>13</v>
      </c>
      <c r="B368" s="16">
        <f>YEAR(Sales_data[[#This Row],[Order Date]])</f>
        <v>2013</v>
      </c>
    </row>
    <row r="369" spans="1:2" x14ac:dyDescent="0.2">
      <c r="A369" s="6" t="s">
        <v>21</v>
      </c>
      <c r="B369" s="16">
        <f>YEAR(Sales_data[[#This Row],[Order Date]])</f>
        <v>2013</v>
      </c>
    </row>
    <row r="370" spans="1:2" x14ac:dyDescent="0.2">
      <c r="A370" s="6" t="s">
        <v>21</v>
      </c>
      <c r="B370" s="16">
        <f>YEAR(Sales_data[[#This Row],[Order Date]])</f>
        <v>2013</v>
      </c>
    </row>
    <row r="371" spans="1:2" x14ac:dyDescent="0.2">
      <c r="A371" s="6" t="s">
        <v>9</v>
      </c>
      <c r="B371" s="16">
        <f>YEAR(Sales_data[[#This Row],[Order Date]])</f>
        <v>2013</v>
      </c>
    </row>
    <row r="372" spans="1:2" x14ac:dyDescent="0.2">
      <c r="A372" s="6" t="s">
        <v>20</v>
      </c>
      <c r="B372" s="16">
        <f>YEAR(Sales_data[[#This Row],[Order Date]])</f>
        <v>2013</v>
      </c>
    </row>
    <row r="373" spans="1:2" x14ac:dyDescent="0.2">
      <c r="A373" s="6" t="s">
        <v>9</v>
      </c>
      <c r="B373" s="16">
        <f>YEAR(Sales_data[[#This Row],[Order Date]])</f>
        <v>2013</v>
      </c>
    </row>
    <row r="374" spans="1:2" x14ac:dyDescent="0.2">
      <c r="A374" s="6" t="s">
        <v>18</v>
      </c>
      <c r="B374" s="16">
        <f>YEAR(Sales_data[[#This Row],[Order Date]])</f>
        <v>2013</v>
      </c>
    </row>
    <row r="375" spans="1:2" x14ac:dyDescent="0.2">
      <c r="A375" s="6" t="s">
        <v>11</v>
      </c>
      <c r="B375" s="16">
        <f>YEAR(Sales_data[[#This Row],[Order Date]])</f>
        <v>2013</v>
      </c>
    </row>
    <row r="376" spans="1:2" x14ac:dyDescent="0.2">
      <c r="A376" s="6" t="s">
        <v>15</v>
      </c>
      <c r="B376" s="16">
        <f>YEAR(Sales_data[[#This Row],[Order Date]])</f>
        <v>2013</v>
      </c>
    </row>
    <row r="377" spans="1:2" x14ac:dyDescent="0.2">
      <c r="A377" s="6" t="s">
        <v>21</v>
      </c>
      <c r="B377" s="16">
        <f>YEAR(Sales_data[[#This Row],[Order Date]])</f>
        <v>2013</v>
      </c>
    </row>
    <row r="378" spans="1:2" x14ac:dyDescent="0.2">
      <c r="A378" s="6" t="s">
        <v>16</v>
      </c>
      <c r="B378" s="16">
        <f>YEAR(Sales_data[[#This Row],[Order Date]])</f>
        <v>2013</v>
      </c>
    </row>
    <row r="379" spans="1:2" x14ac:dyDescent="0.2">
      <c r="A379" s="6" t="s">
        <v>21</v>
      </c>
      <c r="B379" s="16">
        <f>YEAR(Sales_data[[#This Row],[Order Date]])</f>
        <v>2013</v>
      </c>
    </row>
    <row r="380" spans="1:2" x14ac:dyDescent="0.2">
      <c r="A380" s="6" t="s">
        <v>12</v>
      </c>
      <c r="B380" s="16">
        <f>YEAR(Sales_data[[#This Row],[Order Date]])</f>
        <v>2013</v>
      </c>
    </row>
    <row r="381" spans="1:2" x14ac:dyDescent="0.2">
      <c r="A381" s="6" t="s">
        <v>20</v>
      </c>
      <c r="B381" s="16">
        <f>YEAR(Sales_data[[#This Row],[Order Date]])</f>
        <v>2014</v>
      </c>
    </row>
    <row r="382" spans="1:2" x14ac:dyDescent="0.2">
      <c r="A382" s="6" t="s">
        <v>11</v>
      </c>
      <c r="B382" s="16">
        <f>YEAR(Sales_data[[#This Row],[Order Date]])</f>
        <v>2014</v>
      </c>
    </row>
    <row r="383" spans="1:2" x14ac:dyDescent="0.2">
      <c r="A383" s="6" t="s">
        <v>14</v>
      </c>
      <c r="B383" s="16">
        <f>YEAR(Sales_data[[#This Row],[Order Date]])</f>
        <v>2014</v>
      </c>
    </row>
    <row r="384" spans="1:2" x14ac:dyDescent="0.2">
      <c r="A384" s="6" t="s">
        <v>21</v>
      </c>
      <c r="B384" s="16">
        <f>YEAR(Sales_data[[#This Row],[Order Date]])</f>
        <v>2014</v>
      </c>
    </row>
    <row r="385" spans="1:2" x14ac:dyDescent="0.2">
      <c r="A385" s="6" t="s">
        <v>15</v>
      </c>
      <c r="B385" s="16">
        <f>YEAR(Sales_data[[#This Row],[Order Date]])</f>
        <v>2014</v>
      </c>
    </row>
    <row r="386" spans="1:2" x14ac:dyDescent="0.2">
      <c r="A386" s="6" t="s">
        <v>9</v>
      </c>
      <c r="B386" s="16">
        <f>YEAR(Sales_data[[#This Row],[Order Date]])</f>
        <v>2014</v>
      </c>
    </row>
    <row r="387" spans="1:2" x14ac:dyDescent="0.2">
      <c r="A387" s="6" t="s">
        <v>19</v>
      </c>
      <c r="B387" s="16">
        <f>YEAR(Sales_data[[#This Row],[Order Date]])</f>
        <v>2014</v>
      </c>
    </row>
    <row r="388" spans="1:2" x14ac:dyDescent="0.2">
      <c r="A388" s="6" t="s">
        <v>19</v>
      </c>
      <c r="B388" s="16">
        <f>YEAR(Sales_data[[#This Row],[Order Date]])</f>
        <v>2014</v>
      </c>
    </row>
    <row r="389" spans="1:2" x14ac:dyDescent="0.2">
      <c r="A389" s="6" t="s">
        <v>12</v>
      </c>
      <c r="B389" s="16">
        <f>YEAR(Sales_data[[#This Row],[Order Date]])</f>
        <v>2014</v>
      </c>
    </row>
    <row r="390" spans="1:2" x14ac:dyDescent="0.2">
      <c r="A390" s="6" t="s">
        <v>17</v>
      </c>
      <c r="B390" s="16">
        <f>YEAR(Sales_data[[#This Row],[Order Date]])</f>
        <v>2014</v>
      </c>
    </row>
    <row r="391" spans="1:2" x14ac:dyDescent="0.2">
      <c r="A391" s="6" t="s">
        <v>14</v>
      </c>
      <c r="B391" s="16">
        <f>YEAR(Sales_data[[#This Row],[Order Date]])</f>
        <v>2014</v>
      </c>
    </row>
    <row r="392" spans="1:2" x14ac:dyDescent="0.2">
      <c r="A392" s="6" t="s">
        <v>12</v>
      </c>
      <c r="B392" s="16">
        <f>YEAR(Sales_data[[#This Row],[Order Date]])</f>
        <v>2014</v>
      </c>
    </row>
    <row r="393" spans="1:2" x14ac:dyDescent="0.2">
      <c r="A393" s="6" t="s">
        <v>21</v>
      </c>
      <c r="B393" s="16">
        <f>YEAR(Sales_data[[#This Row],[Order Date]])</f>
        <v>2014</v>
      </c>
    </row>
    <row r="394" spans="1:2" x14ac:dyDescent="0.2">
      <c r="A394" s="6" t="s">
        <v>14</v>
      </c>
      <c r="B394" s="16">
        <f>YEAR(Sales_data[[#This Row],[Order Date]])</f>
        <v>2014</v>
      </c>
    </row>
    <row r="395" spans="1:2" x14ac:dyDescent="0.2">
      <c r="A395" s="6" t="s">
        <v>16</v>
      </c>
      <c r="B395" s="16">
        <f>YEAR(Sales_data[[#This Row],[Order Date]])</f>
        <v>2014</v>
      </c>
    </row>
    <row r="396" spans="1:2" x14ac:dyDescent="0.2">
      <c r="A396" s="6" t="s">
        <v>10</v>
      </c>
      <c r="B396" s="16">
        <f>YEAR(Sales_data[[#This Row],[Order Date]])</f>
        <v>2014</v>
      </c>
    </row>
    <row r="397" spans="1:2" x14ac:dyDescent="0.2">
      <c r="A397" s="6" t="s">
        <v>10</v>
      </c>
      <c r="B397" s="16">
        <f>YEAR(Sales_data[[#This Row],[Order Date]])</f>
        <v>2014</v>
      </c>
    </row>
    <row r="398" spans="1:2" x14ac:dyDescent="0.2">
      <c r="A398" s="6" t="s">
        <v>21</v>
      </c>
      <c r="B398" s="16">
        <f>YEAR(Sales_data[[#This Row],[Order Date]])</f>
        <v>2014</v>
      </c>
    </row>
    <row r="399" spans="1:2" x14ac:dyDescent="0.2">
      <c r="A399" s="6" t="s">
        <v>20</v>
      </c>
      <c r="B399" s="16">
        <f>YEAR(Sales_data[[#This Row],[Order Date]])</f>
        <v>2014</v>
      </c>
    </row>
    <row r="400" spans="1:2" x14ac:dyDescent="0.2">
      <c r="A400" s="6" t="s">
        <v>10</v>
      </c>
      <c r="B400" s="16">
        <f>YEAR(Sales_data[[#This Row],[Order Date]])</f>
        <v>2014</v>
      </c>
    </row>
    <row r="401" spans="1:2" x14ac:dyDescent="0.2">
      <c r="A401" s="6" t="s">
        <v>13</v>
      </c>
      <c r="B401" s="16">
        <f>YEAR(Sales_data[[#This Row],[Order Date]])</f>
        <v>2014</v>
      </c>
    </row>
    <row r="402" spans="1:2" x14ac:dyDescent="0.2">
      <c r="A402" s="6" t="s">
        <v>20</v>
      </c>
      <c r="B402" s="16">
        <f>YEAR(Sales_data[[#This Row],[Order Date]])</f>
        <v>2014</v>
      </c>
    </row>
    <row r="403" spans="1:2" x14ac:dyDescent="0.2">
      <c r="A403" s="6" t="s">
        <v>10</v>
      </c>
      <c r="B403" s="16">
        <f>YEAR(Sales_data[[#This Row],[Order Date]])</f>
        <v>2014</v>
      </c>
    </row>
    <row r="404" spans="1:2" x14ac:dyDescent="0.2">
      <c r="A404" s="6" t="s">
        <v>21</v>
      </c>
      <c r="B404" s="16">
        <f>YEAR(Sales_data[[#This Row],[Order Date]])</f>
        <v>2014</v>
      </c>
    </row>
    <row r="405" spans="1:2" x14ac:dyDescent="0.2">
      <c r="A405" s="6" t="s">
        <v>14</v>
      </c>
      <c r="B405" s="16">
        <f>YEAR(Sales_data[[#This Row],[Order Date]])</f>
        <v>2014</v>
      </c>
    </row>
    <row r="406" spans="1:2" x14ac:dyDescent="0.2">
      <c r="A406" s="6" t="s">
        <v>10</v>
      </c>
      <c r="B406" s="16">
        <f>YEAR(Sales_data[[#This Row],[Order Date]])</f>
        <v>2014</v>
      </c>
    </row>
    <row r="407" spans="1:2" x14ac:dyDescent="0.2">
      <c r="A407" s="6" t="s">
        <v>11</v>
      </c>
      <c r="B407" s="16">
        <f>YEAR(Sales_data[[#This Row],[Order Date]])</f>
        <v>2014</v>
      </c>
    </row>
    <row r="408" spans="1:2" x14ac:dyDescent="0.2">
      <c r="A408" s="6" t="s">
        <v>21</v>
      </c>
      <c r="B408" s="16">
        <f>YEAR(Sales_data[[#This Row],[Order Date]])</f>
        <v>2014</v>
      </c>
    </row>
    <row r="409" spans="1:2" x14ac:dyDescent="0.2">
      <c r="A409" s="6" t="s">
        <v>14</v>
      </c>
      <c r="B409" s="16">
        <f>YEAR(Sales_data[[#This Row],[Order Date]])</f>
        <v>2014</v>
      </c>
    </row>
    <row r="410" spans="1:2" x14ac:dyDescent="0.2">
      <c r="A410" s="6" t="s">
        <v>17</v>
      </c>
      <c r="B410" s="16">
        <f>YEAR(Sales_data[[#This Row],[Order Date]])</f>
        <v>2014</v>
      </c>
    </row>
    <row r="411" spans="1:2" x14ac:dyDescent="0.2">
      <c r="A411" s="6" t="s">
        <v>19</v>
      </c>
      <c r="B411" s="16">
        <f>YEAR(Sales_data[[#This Row],[Order Date]])</f>
        <v>2014</v>
      </c>
    </row>
    <row r="412" spans="1:2" x14ac:dyDescent="0.2">
      <c r="A412" s="6" t="s">
        <v>12</v>
      </c>
      <c r="B412" s="16">
        <f>YEAR(Sales_data[[#This Row],[Order Date]])</f>
        <v>2014</v>
      </c>
    </row>
    <row r="413" spans="1:2" x14ac:dyDescent="0.2">
      <c r="A413" s="6" t="s">
        <v>16</v>
      </c>
      <c r="B413" s="16">
        <f>YEAR(Sales_data[[#This Row],[Order Date]])</f>
        <v>2014</v>
      </c>
    </row>
    <row r="414" spans="1:2" x14ac:dyDescent="0.2">
      <c r="A414" s="6" t="s">
        <v>19</v>
      </c>
      <c r="B414" s="16">
        <f>YEAR(Sales_data[[#This Row],[Order Date]])</f>
        <v>2014</v>
      </c>
    </row>
    <row r="415" spans="1:2" x14ac:dyDescent="0.2">
      <c r="A415" s="6" t="s">
        <v>9</v>
      </c>
      <c r="B415" s="16">
        <f>YEAR(Sales_data[[#This Row],[Order Date]])</f>
        <v>2014</v>
      </c>
    </row>
    <row r="416" spans="1:2" x14ac:dyDescent="0.2">
      <c r="A416" s="6" t="s">
        <v>12</v>
      </c>
      <c r="B416" s="16">
        <f>YEAR(Sales_data[[#This Row],[Order Date]])</f>
        <v>2014</v>
      </c>
    </row>
    <row r="417" spans="1:2" x14ac:dyDescent="0.2">
      <c r="A417" s="6" t="s">
        <v>15</v>
      </c>
      <c r="B417" s="16">
        <f>YEAR(Sales_data[[#This Row],[Order Date]])</f>
        <v>2014</v>
      </c>
    </row>
    <row r="418" spans="1:2" x14ac:dyDescent="0.2">
      <c r="A418" s="6" t="s">
        <v>9</v>
      </c>
      <c r="B418" s="16">
        <f>YEAR(Sales_data[[#This Row],[Order Date]])</f>
        <v>2014</v>
      </c>
    </row>
    <row r="419" spans="1:2" x14ac:dyDescent="0.2">
      <c r="A419" s="6" t="s">
        <v>14</v>
      </c>
      <c r="B419" s="16">
        <f>YEAR(Sales_data[[#This Row],[Order Date]])</f>
        <v>2014</v>
      </c>
    </row>
    <row r="420" spans="1:2" x14ac:dyDescent="0.2">
      <c r="A420" s="6" t="s">
        <v>9</v>
      </c>
      <c r="B420" s="16">
        <f>YEAR(Sales_data[[#This Row],[Order Date]])</f>
        <v>2014</v>
      </c>
    </row>
    <row r="421" spans="1:2" x14ac:dyDescent="0.2">
      <c r="A421" s="6" t="s">
        <v>13</v>
      </c>
      <c r="B421" s="16">
        <f>YEAR(Sales_data[[#This Row],[Order Date]])</f>
        <v>2014</v>
      </c>
    </row>
    <row r="422" spans="1:2" x14ac:dyDescent="0.2">
      <c r="A422" s="6" t="s">
        <v>17</v>
      </c>
      <c r="B422" s="16">
        <f>YEAR(Sales_data[[#This Row],[Order Date]])</f>
        <v>2014</v>
      </c>
    </row>
    <row r="423" spans="1:2" x14ac:dyDescent="0.2">
      <c r="A423" s="6" t="s">
        <v>17</v>
      </c>
      <c r="B423" s="16">
        <f>YEAR(Sales_data[[#This Row],[Order Date]])</f>
        <v>2014</v>
      </c>
    </row>
    <row r="424" spans="1:2" x14ac:dyDescent="0.2">
      <c r="A424" s="6" t="s">
        <v>14</v>
      </c>
      <c r="B424" s="16">
        <f>YEAR(Sales_data[[#This Row],[Order Date]])</f>
        <v>2014</v>
      </c>
    </row>
    <row r="425" spans="1:2" x14ac:dyDescent="0.2">
      <c r="A425" s="6" t="s">
        <v>18</v>
      </c>
      <c r="B425" s="16">
        <f>YEAR(Sales_data[[#This Row],[Order Date]])</f>
        <v>2014</v>
      </c>
    </row>
    <row r="426" spans="1:2" x14ac:dyDescent="0.2">
      <c r="A426" s="6" t="s">
        <v>14</v>
      </c>
      <c r="B426" s="16">
        <f>YEAR(Sales_data[[#This Row],[Order Date]])</f>
        <v>2014</v>
      </c>
    </row>
    <row r="427" spans="1:2" x14ac:dyDescent="0.2">
      <c r="A427" s="6" t="s">
        <v>11</v>
      </c>
      <c r="B427" s="16">
        <f>YEAR(Sales_data[[#This Row],[Order Date]])</f>
        <v>2014</v>
      </c>
    </row>
    <row r="428" spans="1:2" x14ac:dyDescent="0.2">
      <c r="A428" s="6" t="s">
        <v>15</v>
      </c>
      <c r="B428" s="16">
        <f>YEAR(Sales_data[[#This Row],[Order Date]])</f>
        <v>2014</v>
      </c>
    </row>
    <row r="429" spans="1:2" x14ac:dyDescent="0.2">
      <c r="A429" s="6" t="s">
        <v>12</v>
      </c>
      <c r="B429" s="16">
        <f>YEAR(Sales_data[[#This Row],[Order Date]])</f>
        <v>2014</v>
      </c>
    </row>
    <row r="430" spans="1:2" x14ac:dyDescent="0.2">
      <c r="A430" s="6" t="s">
        <v>9</v>
      </c>
      <c r="B430" s="16">
        <f>YEAR(Sales_data[[#This Row],[Order Date]])</f>
        <v>2014</v>
      </c>
    </row>
    <row r="431" spans="1:2" x14ac:dyDescent="0.2">
      <c r="A431" s="6" t="s">
        <v>19</v>
      </c>
      <c r="B431" s="16">
        <f>YEAR(Sales_data[[#This Row],[Order Date]])</f>
        <v>2014</v>
      </c>
    </row>
    <row r="432" spans="1:2" x14ac:dyDescent="0.2">
      <c r="A432" s="6" t="s">
        <v>16</v>
      </c>
      <c r="B432" s="16">
        <f>YEAR(Sales_data[[#This Row],[Order Date]])</f>
        <v>2014</v>
      </c>
    </row>
    <row r="433" spans="1:2" x14ac:dyDescent="0.2">
      <c r="A433" s="6" t="s">
        <v>11</v>
      </c>
      <c r="B433" s="16">
        <f>YEAR(Sales_data[[#This Row],[Order Date]])</f>
        <v>2014</v>
      </c>
    </row>
    <row r="434" spans="1:2" x14ac:dyDescent="0.2">
      <c r="A434" s="6" t="s">
        <v>13</v>
      </c>
      <c r="B434" s="16">
        <f>YEAR(Sales_data[[#This Row],[Order Date]])</f>
        <v>2014</v>
      </c>
    </row>
    <row r="435" spans="1:2" x14ac:dyDescent="0.2">
      <c r="A435" s="6" t="s">
        <v>9</v>
      </c>
      <c r="B435" s="16">
        <f>YEAR(Sales_data[[#This Row],[Order Date]])</f>
        <v>2014</v>
      </c>
    </row>
    <row r="436" spans="1:2" x14ac:dyDescent="0.2">
      <c r="A436" s="6" t="s">
        <v>14</v>
      </c>
      <c r="B436" s="16">
        <f>YEAR(Sales_data[[#This Row],[Order Date]])</f>
        <v>2014</v>
      </c>
    </row>
    <row r="437" spans="1:2" x14ac:dyDescent="0.2">
      <c r="A437" s="6" t="s">
        <v>12</v>
      </c>
      <c r="B437" s="16">
        <f>YEAR(Sales_data[[#This Row],[Order Date]])</f>
        <v>2014</v>
      </c>
    </row>
    <row r="438" spans="1:2" x14ac:dyDescent="0.2">
      <c r="A438" s="6" t="s">
        <v>9</v>
      </c>
      <c r="B438" s="16">
        <f>YEAR(Sales_data[[#This Row],[Order Date]])</f>
        <v>2014</v>
      </c>
    </row>
    <row r="439" spans="1:2" x14ac:dyDescent="0.2">
      <c r="A439" s="6" t="s">
        <v>16</v>
      </c>
      <c r="B439" s="16">
        <f>YEAR(Sales_data[[#This Row],[Order Date]])</f>
        <v>2014</v>
      </c>
    </row>
    <row r="440" spans="1:2" x14ac:dyDescent="0.2">
      <c r="A440" s="6" t="s">
        <v>16</v>
      </c>
      <c r="B440" s="16">
        <f>YEAR(Sales_data[[#This Row],[Order Date]])</f>
        <v>2014</v>
      </c>
    </row>
    <row r="441" spans="1:2" x14ac:dyDescent="0.2">
      <c r="A441" s="6" t="s">
        <v>9</v>
      </c>
      <c r="B441" s="16">
        <f>YEAR(Sales_data[[#This Row],[Order Date]])</f>
        <v>2014</v>
      </c>
    </row>
    <row r="442" spans="1:2" x14ac:dyDescent="0.2">
      <c r="A442" s="6" t="s">
        <v>17</v>
      </c>
      <c r="B442" s="16">
        <f>YEAR(Sales_data[[#This Row],[Order Date]])</f>
        <v>2014</v>
      </c>
    </row>
    <row r="443" spans="1:2" x14ac:dyDescent="0.2">
      <c r="A443" s="6" t="s">
        <v>14</v>
      </c>
      <c r="B443" s="16">
        <f>YEAR(Sales_data[[#This Row],[Order Date]])</f>
        <v>2014</v>
      </c>
    </row>
    <row r="444" spans="1:2" x14ac:dyDescent="0.2">
      <c r="A444" s="6" t="s">
        <v>15</v>
      </c>
      <c r="B444" s="16">
        <f>YEAR(Sales_data[[#This Row],[Order Date]])</f>
        <v>2014</v>
      </c>
    </row>
    <row r="445" spans="1:2" x14ac:dyDescent="0.2">
      <c r="A445" s="6" t="s">
        <v>18</v>
      </c>
      <c r="B445" s="16">
        <f>YEAR(Sales_data[[#This Row],[Order Date]])</f>
        <v>2014</v>
      </c>
    </row>
    <row r="446" spans="1:2" x14ac:dyDescent="0.2">
      <c r="A446" s="6" t="s">
        <v>17</v>
      </c>
      <c r="B446" s="16">
        <f>YEAR(Sales_data[[#This Row],[Order Date]])</f>
        <v>2014</v>
      </c>
    </row>
    <row r="447" spans="1:2" x14ac:dyDescent="0.2">
      <c r="A447" s="6" t="s">
        <v>20</v>
      </c>
      <c r="B447" s="16">
        <f>YEAR(Sales_data[[#This Row],[Order Date]])</f>
        <v>2014</v>
      </c>
    </row>
    <row r="448" spans="1:2" x14ac:dyDescent="0.2">
      <c r="A448" s="6" t="s">
        <v>20</v>
      </c>
      <c r="B448" s="16">
        <f>YEAR(Sales_data[[#This Row],[Order Date]])</f>
        <v>2014</v>
      </c>
    </row>
    <row r="449" spans="1:2" x14ac:dyDescent="0.2">
      <c r="A449" s="6" t="s">
        <v>11</v>
      </c>
      <c r="B449" s="16">
        <f>YEAR(Sales_data[[#This Row],[Order Date]])</f>
        <v>2014</v>
      </c>
    </row>
    <row r="450" spans="1:2" x14ac:dyDescent="0.2">
      <c r="A450" s="6" t="s">
        <v>20</v>
      </c>
      <c r="B450" s="16">
        <f>YEAR(Sales_data[[#This Row],[Order Date]])</f>
        <v>2014</v>
      </c>
    </row>
    <row r="451" spans="1:2" x14ac:dyDescent="0.2">
      <c r="A451" s="6" t="s">
        <v>14</v>
      </c>
      <c r="B451" s="16">
        <f>YEAR(Sales_data[[#This Row],[Order Date]])</f>
        <v>2014</v>
      </c>
    </row>
    <row r="452" spans="1:2" x14ac:dyDescent="0.2">
      <c r="A452" s="6" t="s">
        <v>17</v>
      </c>
      <c r="B452" s="16">
        <f>YEAR(Sales_data[[#This Row],[Order Date]])</f>
        <v>2014</v>
      </c>
    </row>
    <row r="453" spans="1:2" x14ac:dyDescent="0.2">
      <c r="A453" s="6" t="s">
        <v>13</v>
      </c>
      <c r="B453" s="16">
        <f>YEAR(Sales_data[[#This Row],[Order Date]])</f>
        <v>2014</v>
      </c>
    </row>
    <row r="454" spans="1:2" x14ac:dyDescent="0.2">
      <c r="A454" s="6" t="s">
        <v>17</v>
      </c>
      <c r="B454" s="16">
        <f>YEAR(Sales_data[[#This Row],[Order Date]])</f>
        <v>2014</v>
      </c>
    </row>
    <row r="455" spans="1:2" x14ac:dyDescent="0.2">
      <c r="A455" s="6" t="s">
        <v>11</v>
      </c>
      <c r="B455" s="16">
        <f>YEAR(Sales_data[[#This Row],[Order Date]])</f>
        <v>2014</v>
      </c>
    </row>
    <row r="456" spans="1:2" x14ac:dyDescent="0.2">
      <c r="A456" s="6" t="s">
        <v>21</v>
      </c>
      <c r="B456" s="16">
        <f>YEAR(Sales_data[[#This Row],[Order Date]])</f>
        <v>2014</v>
      </c>
    </row>
    <row r="457" spans="1:2" x14ac:dyDescent="0.2">
      <c r="A457" s="6" t="s">
        <v>20</v>
      </c>
      <c r="B457" s="16">
        <f>YEAR(Sales_data[[#This Row],[Order Date]])</f>
        <v>2014</v>
      </c>
    </row>
    <row r="458" spans="1:2" x14ac:dyDescent="0.2">
      <c r="A458" s="6" t="s">
        <v>9</v>
      </c>
      <c r="B458" s="16">
        <f>YEAR(Sales_data[[#This Row],[Order Date]])</f>
        <v>2014</v>
      </c>
    </row>
    <row r="459" spans="1:2" x14ac:dyDescent="0.2">
      <c r="A459" s="6" t="s">
        <v>19</v>
      </c>
      <c r="B459" s="16">
        <f>YEAR(Sales_data[[#This Row],[Order Date]])</f>
        <v>2014</v>
      </c>
    </row>
    <row r="460" spans="1:2" x14ac:dyDescent="0.2">
      <c r="A460" s="6" t="s">
        <v>18</v>
      </c>
      <c r="B460" s="16">
        <f>YEAR(Sales_data[[#This Row],[Order Date]])</f>
        <v>2014</v>
      </c>
    </row>
    <row r="461" spans="1:2" x14ac:dyDescent="0.2">
      <c r="A461" s="6" t="s">
        <v>14</v>
      </c>
      <c r="B461" s="16">
        <f>YEAR(Sales_data[[#This Row],[Order Date]])</f>
        <v>2014</v>
      </c>
    </row>
    <row r="462" spans="1:2" x14ac:dyDescent="0.2">
      <c r="A462" s="6" t="s">
        <v>18</v>
      </c>
      <c r="B462" s="16">
        <f>YEAR(Sales_data[[#This Row],[Order Date]])</f>
        <v>2014</v>
      </c>
    </row>
    <row r="463" spans="1:2" x14ac:dyDescent="0.2">
      <c r="A463" s="6" t="s">
        <v>16</v>
      </c>
      <c r="B463" s="16">
        <f>YEAR(Sales_data[[#This Row],[Order Date]])</f>
        <v>2014</v>
      </c>
    </row>
    <row r="464" spans="1:2" x14ac:dyDescent="0.2">
      <c r="A464" s="6" t="s">
        <v>13</v>
      </c>
      <c r="B464" s="16">
        <f>YEAR(Sales_data[[#This Row],[Order Date]])</f>
        <v>2014</v>
      </c>
    </row>
    <row r="465" spans="1:2" x14ac:dyDescent="0.2">
      <c r="A465" s="6" t="s">
        <v>16</v>
      </c>
      <c r="B465" s="16">
        <f>YEAR(Sales_data[[#This Row],[Order Date]])</f>
        <v>2014</v>
      </c>
    </row>
    <row r="466" spans="1:2" x14ac:dyDescent="0.2">
      <c r="A466" s="6" t="s">
        <v>9</v>
      </c>
      <c r="B466" s="16">
        <f>YEAR(Sales_data[[#This Row],[Order Date]])</f>
        <v>2014</v>
      </c>
    </row>
    <row r="467" spans="1:2" x14ac:dyDescent="0.2">
      <c r="A467" s="6" t="s">
        <v>10</v>
      </c>
      <c r="B467" s="16">
        <f>YEAR(Sales_data[[#This Row],[Order Date]])</f>
        <v>2014</v>
      </c>
    </row>
    <row r="468" spans="1:2" x14ac:dyDescent="0.2">
      <c r="A468" s="6" t="s">
        <v>9</v>
      </c>
      <c r="B468" s="16">
        <f>YEAR(Sales_data[[#This Row],[Order Date]])</f>
        <v>2014</v>
      </c>
    </row>
    <row r="469" spans="1:2" x14ac:dyDescent="0.2">
      <c r="A469" s="6" t="s">
        <v>16</v>
      </c>
      <c r="B469" s="16">
        <f>YEAR(Sales_data[[#This Row],[Order Date]])</f>
        <v>2014</v>
      </c>
    </row>
    <row r="470" spans="1:2" x14ac:dyDescent="0.2">
      <c r="A470" s="6" t="s">
        <v>16</v>
      </c>
      <c r="B470" s="16">
        <f>YEAR(Sales_data[[#This Row],[Order Date]])</f>
        <v>2014</v>
      </c>
    </row>
    <row r="471" spans="1:2" x14ac:dyDescent="0.2">
      <c r="A471" s="6" t="s">
        <v>15</v>
      </c>
      <c r="B471" s="16">
        <f>YEAR(Sales_data[[#This Row],[Order Date]])</f>
        <v>2014</v>
      </c>
    </row>
    <row r="472" spans="1:2" x14ac:dyDescent="0.2">
      <c r="A472" s="6" t="s">
        <v>20</v>
      </c>
      <c r="B472" s="16">
        <f>YEAR(Sales_data[[#This Row],[Order Date]])</f>
        <v>2014</v>
      </c>
    </row>
    <row r="473" spans="1:2" x14ac:dyDescent="0.2">
      <c r="A473" s="6" t="s">
        <v>12</v>
      </c>
      <c r="B473" s="16">
        <f>YEAR(Sales_data[[#This Row],[Order Date]])</f>
        <v>2014</v>
      </c>
    </row>
    <row r="474" spans="1:2" x14ac:dyDescent="0.2">
      <c r="A474" s="6" t="s">
        <v>11</v>
      </c>
      <c r="B474" s="16">
        <f>YEAR(Sales_data[[#This Row],[Order Date]])</f>
        <v>2014</v>
      </c>
    </row>
    <row r="475" spans="1:2" x14ac:dyDescent="0.2">
      <c r="A475" s="6" t="s">
        <v>20</v>
      </c>
      <c r="B475" s="16">
        <f>YEAR(Sales_data[[#This Row],[Order Date]])</f>
        <v>2014</v>
      </c>
    </row>
    <row r="476" spans="1:2" x14ac:dyDescent="0.2">
      <c r="A476" s="6" t="s">
        <v>20</v>
      </c>
      <c r="B476" s="16">
        <f>YEAR(Sales_data[[#This Row],[Order Date]])</f>
        <v>2014</v>
      </c>
    </row>
    <row r="477" spans="1:2" x14ac:dyDescent="0.2">
      <c r="A477" s="6" t="s">
        <v>10</v>
      </c>
      <c r="B477" s="16">
        <f>YEAR(Sales_data[[#This Row],[Order Date]])</f>
        <v>2014</v>
      </c>
    </row>
    <row r="478" spans="1:2" x14ac:dyDescent="0.2">
      <c r="A478" s="6" t="s">
        <v>13</v>
      </c>
      <c r="B478" s="16">
        <f>YEAR(Sales_data[[#This Row],[Order Date]])</f>
        <v>2014</v>
      </c>
    </row>
    <row r="479" spans="1:2" x14ac:dyDescent="0.2">
      <c r="A479" s="6" t="s">
        <v>9</v>
      </c>
      <c r="B479" s="16">
        <f>YEAR(Sales_data[[#This Row],[Order Date]])</f>
        <v>2014</v>
      </c>
    </row>
    <row r="480" spans="1:2" x14ac:dyDescent="0.2">
      <c r="A480" s="6" t="s">
        <v>20</v>
      </c>
      <c r="B480" s="16">
        <f>YEAR(Sales_data[[#This Row],[Order Date]])</f>
        <v>2014</v>
      </c>
    </row>
    <row r="481" spans="1:2" x14ac:dyDescent="0.2">
      <c r="A481" s="6" t="s">
        <v>19</v>
      </c>
      <c r="B481" s="16">
        <f>YEAR(Sales_data[[#This Row],[Order Date]])</f>
        <v>2014</v>
      </c>
    </row>
    <row r="482" spans="1:2" x14ac:dyDescent="0.2">
      <c r="A482" s="6" t="s">
        <v>16</v>
      </c>
      <c r="B482" s="16">
        <f>YEAR(Sales_data[[#This Row],[Order Date]])</f>
        <v>2014</v>
      </c>
    </row>
    <row r="483" spans="1:2" x14ac:dyDescent="0.2">
      <c r="A483" s="6" t="s">
        <v>19</v>
      </c>
      <c r="B483" s="16">
        <f>YEAR(Sales_data[[#This Row],[Order Date]])</f>
        <v>2014</v>
      </c>
    </row>
    <row r="484" spans="1:2" x14ac:dyDescent="0.2">
      <c r="A484" s="6" t="s">
        <v>16</v>
      </c>
      <c r="B484" s="16">
        <f>YEAR(Sales_data[[#This Row],[Order Date]])</f>
        <v>2014</v>
      </c>
    </row>
    <row r="485" spans="1:2" x14ac:dyDescent="0.2">
      <c r="A485" s="6" t="s">
        <v>14</v>
      </c>
      <c r="B485" s="16">
        <f>YEAR(Sales_data[[#This Row],[Order Date]])</f>
        <v>2014</v>
      </c>
    </row>
    <row r="486" spans="1:2" x14ac:dyDescent="0.2">
      <c r="A486" s="6" t="s">
        <v>13</v>
      </c>
      <c r="B486" s="16">
        <f>YEAR(Sales_data[[#This Row],[Order Date]])</f>
        <v>2014</v>
      </c>
    </row>
    <row r="487" spans="1:2" x14ac:dyDescent="0.2">
      <c r="A487" s="6" t="s">
        <v>16</v>
      </c>
      <c r="B487" s="16">
        <f>YEAR(Sales_data[[#This Row],[Order Date]])</f>
        <v>2014</v>
      </c>
    </row>
    <row r="488" spans="1:2" x14ac:dyDescent="0.2">
      <c r="A488" s="6" t="s">
        <v>20</v>
      </c>
      <c r="B488" s="16">
        <f>YEAR(Sales_data[[#This Row],[Order Date]])</f>
        <v>2014</v>
      </c>
    </row>
    <row r="489" spans="1:2" x14ac:dyDescent="0.2">
      <c r="A489" s="6" t="s">
        <v>15</v>
      </c>
      <c r="B489" s="16">
        <f>YEAR(Sales_data[[#This Row],[Order Date]])</f>
        <v>2014</v>
      </c>
    </row>
    <row r="490" spans="1:2" x14ac:dyDescent="0.2">
      <c r="A490" s="6" t="s">
        <v>20</v>
      </c>
      <c r="B490" s="16">
        <f>YEAR(Sales_data[[#This Row],[Order Date]])</f>
        <v>2014</v>
      </c>
    </row>
    <row r="491" spans="1:2" x14ac:dyDescent="0.2">
      <c r="A491" s="6" t="s">
        <v>12</v>
      </c>
      <c r="B491" s="16">
        <f>YEAR(Sales_data[[#This Row],[Order Date]])</f>
        <v>2014</v>
      </c>
    </row>
    <row r="492" spans="1:2" x14ac:dyDescent="0.2">
      <c r="A492" s="6" t="s">
        <v>18</v>
      </c>
      <c r="B492" s="16">
        <f>YEAR(Sales_data[[#This Row],[Order Date]])</f>
        <v>2014</v>
      </c>
    </row>
    <row r="493" spans="1:2" x14ac:dyDescent="0.2">
      <c r="A493" s="6" t="s">
        <v>18</v>
      </c>
      <c r="B493" s="16">
        <f>YEAR(Sales_data[[#This Row],[Order Date]])</f>
        <v>2014</v>
      </c>
    </row>
    <row r="494" spans="1:2" x14ac:dyDescent="0.2">
      <c r="A494" s="6" t="s">
        <v>13</v>
      </c>
      <c r="B494" s="16">
        <f>YEAR(Sales_data[[#This Row],[Order Date]])</f>
        <v>2014</v>
      </c>
    </row>
    <row r="495" spans="1:2" x14ac:dyDescent="0.2">
      <c r="A495" s="6" t="s">
        <v>10</v>
      </c>
      <c r="B495" s="16">
        <f>YEAR(Sales_data[[#This Row],[Order Date]])</f>
        <v>2014</v>
      </c>
    </row>
    <row r="496" spans="1:2" x14ac:dyDescent="0.2">
      <c r="A496" s="6" t="s">
        <v>14</v>
      </c>
      <c r="B496" s="16">
        <f>YEAR(Sales_data[[#This Row],[Order Date]])</f>
        <v>2014</v>
      </c>
    </row>
    <row r="497" spans="1:2" x14ac:dyDescent="0.2">
      <c r="A497" s="6" t="s">
        <v>10</v>
      </c>
      <c r="B497" s="16">
        <f>YEAR(Sales_data[[#This Row],[Order Date]])</f>
        <v>2014</v>
      </c>
    </row>
    <row r="498" spans="1:2" x14ac:dyDescent="0.2">
      <c r="A498" s="6" t="s">
        <v>13</v>
      </c>
      <c r="B498" s="16">
        <f>YEAR(Sales_data[[#This Row],[Order Date]])</f>
        <v>2014</v>
      </c>
    </row>
    <row r="499" spans="1:2" x14ac:dyDescent="0.2">
      <c r="A499" s="6" t="s">
        <v>9</v>
      </c>
      <c r="B499" s="16">
        <f>YEAR(Sales_data[[#This Row],[Order Date]])</f>
        <v>2014</v>
      </c>
    </row>
    <row r="500" spans="1:2" x14ac:dyDescent="0.2">
      <c r="A500" s="6" t="s">
        <v>15</v>
      </c>
      <c r="B500" s="16">
        <f>YEAR(Sales_data[[#This Row],[Order Date]])</f>
        <v>2014</v>
      </c>
    </row>
    <row r="501" spans="1:2" x14ac:dyDescent="0.2">
      <c r="A501" s="6" t="s">
        <v>20</v>
      </c>
      <c r="B501" s="16">
        <f>YEAR(Sales_data[[#This Row],[Order Date]])</f>
        <v>2014</v>
      </c>
    </row>
    <row r="502" spans="1:2" x14ac:dyDescent="0.2">
      <c r="A502" s="6" t="s">
        <v>20</v>
      </c>
      <c r="B502" s="16">
        <f>YEAR(Sales_data[[#This Row],[Order Date]])</f>
        <v>2014</v>
      </c>
    </row>
    <row r="503" spans="1:2" x14ac:dyDescent="0.2">
      <c r="A503" s="6" t="s">
        <v>14</v>
      </c>
      <c r="B503" s="16">
        <f>YEAR(Sales_data[[#This Row],[Order Date]])</f>
        <v>2014</v>
      </c>
    </row>
    <row r="504" spans="1:2" x14ac:dyDescent="0.2">
      <c r="A504" s="6" t="s">
        <v>16</v>
      </c>
      <c r="B504" s="16">
        <f>YEAR(Sales_data[[#This Row],[Order Date]])</f>
        <v>2014</v>
      </c>
    </row>
    <row r="505" spans="1:2" x14ac:dyDescent="0.2">
      <c r="A505" s="6" t="s">
        <v>11</v>
      </c>
      <c r="B505" s="16">
        <f>YEAR(Sales_data[[#This Row],[Order Date]])</f>
        <v>2014</v>
      </c>
    </row>
    <row r="506" spans="1:2" x14ac:dyDescent="0.2">
      <c r="A506" s="6" t="s">
        <v>15</v>
      </c>
      <c r="B506" s="16">
        <f>YEAR(Sales_data[[#This Row],[Order Date]])</f>
        <v>2014</v>
      </c>
    </row>
    <row r="507" spans="1:2" x14ac:dyDescent="0.2">
      <c r="A507" s="6" t="s">
        <v>20</v>
      </c>
      <c r="B507" s="16">
        <f>YEAR(Sales_data[[#This Row],[Order Date]])</f>
        <v>2014</v>
      </c>
    </row>
    <row r="508" spans="1:2" x14ac:dyDescent="0.2">
      <c r="A508" s="6" t="s">
        <v>11</v>
      </c>
      <c r="B508" s="16">
        <f>YEAR(Sales_data[[#This Row],[Order Date]])</f>
        <v>2014</v>
      </c>
    </row>
    <row r="509" spans="1:2" x14ac:dyDescent="0.2">
      <c r="A509" s="6" t="s">
        <v>16</v>
      </c>
      <c r="B509" s="16">
        <f>YEAR(Sales_data[[#This Row],[Order Date]])</f>
        <v>2014</v>
      </c>
    </row>
    <row r="510" spans="1:2" x14ac:dyDescent="0.2">
      <c r="A510" s="6" t="s">
        <v>19</v>
      </c>
      <c r="B510" s="16">
        <f>YEAR(Sales_data[[#This Row],[Order Date]])</f>
        <v>2014</v>
      </c>
    </row>
    <row r="511" spans="1:2" x14ac:dyDescent="0.2">
      <c r="A511" s="6" t="s">
        <v>20</v>
      </c>
      <c r="B511" s="16">
        <f>YEAR(Sales_data[[#This Row],[Order Date]])</f>
        <v>2014</v>
      </c>
    </row>
    <row r="512" spans="1:2" x14ac:dyDescent="0.2">
      <c r="A512" s="6" t="s">
        <v>11</v>
      </c>
      <c r="B512" s="16">
        <f>YEAR(Sales_data[[#This Row],[Order Date]])</f>
        <v>2014</v>
      </c>
    </row>
    <row r="513" spans="1:2" x14ac:dyDescent="0.2">
      <c r="A513" s="6" t="s">
        <v>19</v>
      </c>
      <c r="B513" s="16">
        <f>YEAR(Sales_data[[#This Row],[Order Date]])</f>
        <v>2014</v>
      </c>
    </row>
    <row r="514" spans="1:2" x14ac:dyDescent="0.2">
      <c r="A514" s="6" t="s">
        <v>17</v>
      </c>
      <c r="B514" s="16">
        <f>YEAR(Sales_data[[#This Row],[Order Date]])</f>
        <v>2014</v>
      </c>
    </row>
    <row r="515" spans="1:2" x14ac:dyDescent="0.2">
      <c r="A515" s="6" t="s">
        <v>10</v>
      </c>
      <c r="B515" s="16">
        <f>YEAR(Sales_data[[#This Row],[Order Date]])</f>
        <v>2014</v>
      </c>
    </row>
    <row r="516" spans="1:2" x14ac:dyDescent="0.2">
      <c r="A516" s="6" t="s">
        <v>14</v>
      </c>
      <c r="B516" s="16">
        <f>YEAR(Sales_data[[#This Row],[Order Date]])</f>
        <v>2014</v>
      </c>
    </row>
    <row r="517" spans="1:2" x14ac:dyDescent="0.2">
      <c r="A517" s="6" t="s">
        <v>12</v>
      </c>
      <c r="B517" s="16">
        <f>YEAR(Sales_data[[#This Row],[Order Date]])</f>
        <v>2014</v>
      </c>
    </row>
    <row r="518" spans="1:2" x14ac:dyDescent="0.2">
      <c r="A518" s="6" t="s">
        <v>18</v>
      </c>
      <c r="B518" s="16">
        <f>YEAR(Sales_data[[#This Row],[Order Date]])</f>
        <v>2014</v>
      </c>
    </row>
    <row r="519" spans="1:2" x14ac:dyDescent="0.2">
      <c r="A519" s="6" t="s">
        <v>14</v>
      </c>
      <c r="B519" s="16">
        <f>YEAR(Sales_data[[#This Row],[Order Date]])</f>
        <v>2014</v>
      </c>
    </row>
    <row r="520" spans="1:2" x14ac:dyDescent="0.2">
      <c r="A520" s="6" t="s">
        <v>12</v>
      </c>
      <c r="B520" s="16">
        <f>YEAR(Sales_data[[#This Row],[Order Date]])</f>
        <v>2014</v>
      </c>
    </row>
    <row r="521" spans="1:2" x14ac:dyDescent="0.2">
      <c r="A521" s="6" t="s">
        <v>14</v>
      </c>
      <c r="B521" s="16">
        <f>YEAR(Sales_data[[#This Row],[Order Date]])</f>
        <v>2014</v>
      </c>
    </row>
    <row r="522" spans="1:2" x14ac:dyDescent="0.2">
      <c r="A522" s="6" t="s">
        <v>9</v>
      </c>
      <c r="B522" s="16">
        <f>YEAR(Sales_data[[#This Row],[Order Date]])</f>
        <v>2014</v>
      </c>
    </row>
    <row r="523" spans="1:2" x14ac:dyDescent="0.2">
      <c r="A523" s="6" t="s">
        <v>20</v>
      </c>
      <c r="B523" s="16">
        <f>YEAR(Sales_data[[#This Row],[Order Date]])</f>
        <v>2014</v>
      </c>
    </row>
    <row r="524" spans="1:2" x14ac:dyDescent="0.2">
      <c r="A524" s="6" t="s">
        <v>20</v>
      </c>
      <c r="B524" s="16">
        <f>YEAR(Sales_data[[#This Row],[Order Date]])</f>
        <v>2014</v>
      </c>
    </row>
    <row r="525" spans="1:2" x14ac:dyDescent="0.2">
      <c r="A525" s="6" t="s">
        <v>13</v>
      </c>
      <c r="B525" s="16">
        <f>YEAR(Sales_data[[#This Row],[Order Date]])</f>
        <v>2014</v>
      </c>
    </row>
    <row r="526" spans="1:2" x14ac:dyDescent="0.2">
      <c r="A526" s="6" t="s">
        <v>15</v>
      </c>
      <c r="B526" s="16">
        <f>YEAR(Sales_data[[#This Row],[Order Date]])</f>
        <v>2014</v>
      </c>
    </row>
    <row r="527" spans="1:2" x14ac:dyDescent="0.2">
      <c r="A527" s="6" t="s">
        <v>11</v>
      </c>
      <c r="B527" s="16">
        <f>YEAR(Sales_data[[#This Row],[Order Date]])</f>
        <v>2014</v>
      </c>
    </row>
    <row r="528" spans="1:2" x14ac:dyDescent="0.2">
      <c r="A528" s="6" t="s">
        <v>14</v>
      </c>
      <c r="B528" s="16">
        <f>YEAR(Sales_data[[#This Row],[Order Date]])</f>
        <v>2014</v>
      </c>
    </row>
    <row r="529" spans="1:2" x14ac:dyDescent="0.2">
      <c r="A529" s="6" t="s">
        <v>12</v>
      </c>
      <c r="B529" s="16">
        <f>YEAR(Sales_data[[#This Row],[Order Date]])</f>
        <v>2014</v>
      </c>
    </row>
    <row r="530" spans="1:2" x14ac:dyDescent="0.2">
      <c r="A530" s="6" t="s">
        <v>20</v>
      </c>
      <c r="B530" s="16">
        <f>YEAR(Sales_data[[#This Row],[Order Date]])</f>
        <v>2014</v>
      </c>
    </row>
    <row r="531" spans="1:2" x14ac:dyDescent="0.2">
      <c r="A531" s="6" t="s">
        <v>14</v>
      </c>
      <c r="B531" s="16">
        <f>YEAR(Sales_data[[#This Row],[Order Date]])</f>
        <v>2014</v>
      </c>
    </row>
    <row r="532" spans="1:2" x14ac:dyDescent="0.2">
      <c r="A532" s="6" t="s">
        <v>18</v>
      </c>
      <c r="B532" s="16">
        <f>YEAR(Sales_data[[#This Row],[Order Date]])</f>
        <v>2014</v>
      </c>
    </row>
    <row r="533" spans="1:2" x14ac:dyDescent="0.2">
      <c r="A533" s="6" t="s">
        <v>16</v>
      </c>
      <c r="B533" s="16">
        <f>YEAR(Sales_data[[#This Row],[Order Date]])</f>
        <v>2014</v>
      </c>
    </row>
    <row r="534" spans="1:2" x14ac:dyDescent="0.2">
      <c r="A534" s="6" t="s">
        <v>14</v>
      </c>
      <c r="B534" s="16">
        <f>YEAR(Sales_data[[#This Row],[Order Date]])</f>
        <v>2014</v>
      </c>
    </row>
    <row r="535" spans="1:2" x14ac:dyDescent="0.2">
      <c r="A535" s="6" t="s">
        <v>9</v>
      </c>
      <c r="B535" s="16">
        <f>YEAR(Sales_data[[#This Row],[Order Date]])</f>
        <v>2014</v>
      </c>
    </row>
    <row r="536" spans="1:2" x14ac:dyDescent="0.2">
      <c r="A536" s="6" t="s">
        <v>16</v>
      </c>
      <c r="B536" s="16">
        <f>YEAR(Sales_data[[#This Row],[Order Date]])</f>
        <v>2014</v>
      </c>
    </row>
    <row r="537" spans="1:2" x14ac:dyDescent="0.2">
      <c r="A537" s="6" t="s">
        <v>19</v>
      </c>
      <c r="B537" s="16">
        <f>YEAR(Sales_data[[#This Row],[Order Date]])</f>
        <v>2014</v>
      </c>
    </row>
    <row r="538" spans="1:2" x14ac:dyDescent="0.2">
      <c r="A538" s="6" t="s">
        <v>11</v>
      </c>
      <c r="B538" s="16">
        <f>YEAR(Sales_data[[#This Row],[Order Date]])</f>
        <v>2014</v>
      </c>
    </row>
    <row r="539" spans="1:2" x14ac:dyDescent="0.2">
      <c r="A539" s="6" t="s">
        <v>9</v>
      </c>
      <c r="B539" s="16">
        <f>YEAR(Sales_data[[#This Row],[Order Date]])</f>
        <v>2014</v>
      </c>
    </row>
    <row r="540" spans="1:2" x14ac:dyDescent="0.2">
      <c r="A540" s="6" t="s">
        <v>14</v>
      </c>
      <c r="B540" s="16">
        <f>YEAR(Sales_data[[#This Row],[Order Date]])</f>
        <v>2014</v>
      </c>
    </row>
    <row r="541" spans="1:2" x14ac:dyDescent="0.2">
      <c r="A541" s="6" t="s">
        <v>19</v>
      </c>
      <c r="B541" s="16">
        <f>YEAR(Sales_data[[#This Row],[Order Date]])</f>
        <v>2014</v>
      </c>
    </row>
    <row r="542" spans="1:2" x14ac:dyDescent="0.2">
      <c r="A542" s="6" t="s">
        <v>18</v>
      </c>
      <c r="B542" s="16">
        <f>YEAR(Sales_data[[#This Row],[Order Date]])</f>
        <v>2014</v>
      </c>
    </row>
    <row r="543" spans="1:2" x14ac:dyDescent="0.2">
      <c r="A543" s="6" t="s">
        <v>9</v>
      </c>
      <c r="B543" s="16">
        <f>YEAR(Sales_data[[#This Row],[Order Date]])</f>
        <v>2014</v>
      </c>
    </row>
    <row r="544" spans="1:2" x14ac:dyDescent="0.2">
      <c r="A544" s="6" t="s">
        <v>11</v>
      </c>
      <c r="B544" s="16">
        <f>YEAR(Sales_data[[#This Row],[Order Date]])</f>
        <v>2014</v>
      </c>
    </row>
    <row r="545" spans="1:2" x14ac:dyDescent="0.2">
      <c r="A545" s="6" t="s">
        <v>16</v>
      </c>
      <c r="B545" s="16">
        <f>YEAR(Sales_data[[#This Row],[Order Date]])</f>
        <v>2014</v>
      </c>
    </row>
    <row r="546" spans="1:2" x14ac:dyDescent="0.2">
      <c r="A546" s="6" t="s">
        <v>11</v>
      </c>
      <c r="B546" s="16">
        <f>YEAR(Sales_data[[#This Row],[Order Date]])</f>
        <v>2014</v>
      </c>
    </row>
    <row r="547" spans="1:2" x14ac:dyDescent="0.2">
      <c r="A547" s="6" t="s">
        <v>14</v>
      </c>
      <c r="B547" s="16">
        <f>YEAR(Sales_data[[#This Row],[Order Date]])</f>
        <v>2014</v>
      </c>
    </row>
    <row r="548" spans="1:2" x14ac:dyDescent="0.2">
      <c r="A548" s="6" t="s">
        <v>20</v>
      </c>
      <c r="B548" s="16">
        <f>YEAR(Sales_data[[#This Row],[Order Date]])</f>
        <v>2014</v>
      </c>
    </row>
    <row r="549" spans="1:2" x14ac:dyDescent="0.2">
      <c r="A549" s="6" t="s">
        <v>17</v>
      </c>
      <c r="B549" s="16">
        <f>YEAR(Sales_data[[#This Row],[Order Date]])</f>
        <v>2014</v>
      </c>
    </row>
    <row r="550" spans="1:2" x14ac:dyDescent="0.2">
      <c r="A550" s="6" t="s">
        <v>10</v>
      </c>
      <c r="B550" s="16">
        <f>YEAR(Sales_data[[#This Row],[Order Date]])</f>
        <v>2014</v>
      </c>
    </row>
    <row r="551" spans="1:2" x14ac:dyDescent="0.2">
      <c r="A551" s="6" t="s">
        <v>11</v>
      </c>
      <c r="B551" s="16">
        <f>YEAR(Sales_data[[#This Row],[Order Date]])</f>
        <v>2014</v>
      </c>
    </row>
    <row r="552" spans="1:2" x14ac:dyDescent="0.2">
      <c r="A552" s="6" t="s">
        <v>9</v>
      </c>
      <c r="B552" s="16">
        <f>YEAR(Sales_data[[#This Row],[Order Date]])</f>
        <v>2014</v>
      </c>
    </row>
    <row r="553" spans="1:2" x14ac:dyDescent="0.2">
      <c r="A553" s="6" t="s">
        <v>17</v>
      </c>
      <c r="B553" s="16">
        <f>YEAR(Sales_data[[#This Row],[Order Date]])</f>
        <v>2014</v>
      </c>
    </row>
    <row r="554" spans="1:2" x14ac:dyDescent="0.2">
      <c r="A554" s="6" t="s">
        <v>13</v>
      </c>
      <c r="B554" s="16">
        <f>YEAR(Sales_data[[#This Row],[Order Date]])</f>
        <v>2014</v>
      </c>
    </row>
    <row r="555" spans="1:2" x14ac:dyDescent="0.2">
      <c r="A555" s="6" t="s">
        <v>17</v>
      </c>
      <c r="B555" s="16">
        <f>YEAR(Sales_data[[#This Row],[Order Date]])</f>
        <v>2014</v>
      </c>
    </row>
    <row r="556" spans="1:2" x14ac:dyDescent="0.2">
      <c r="A556" s="6" t="s">
        <v>12</v>
      </c>
      <c r="B556" s="16">
        <f>YEAR(Sales_data[[#This Row],[Order Date]])</f>
        <v>2014</v>
      </c>
    </row>
    <row r="557" spans="1:2" x14ac:dyDescent="0.2">
      <c r="A557" s="6" t="s">
        <v>11</v>
      </c>
      <c r="B557" s="16">
        <f>YEAR(Sales_data[[#This Row],[Order Date]])</f>
        <v>2014</v>
      </c>
    </row>
    <row r="558" spans="1:2" x14ac:dyDescent="0.2">
      <c r="A558" s="6" t="s">
        <v>17</v>
      </c>
      <c r="B558" s="16">
        <f>YEAR(Sales_data[[#This Row],[Order Date]])</f>
        <v>2014</v>
      </c>
    </row>
    <row r="559" spans="1:2" x14ac:dyDescent="0.2">
      <c r="A559" s="6" t="s">
        <v>13</v>
      </c>
      <c r="B559" s="16">
        <f>YEAR(Sales_data[[#This Row],[Order Date]])</f>
        <v>2014</v>
      </c>
    </row>
    <row r="560" spans="1:2" x14ac:dyDescent="0.2">
      <c r="A560" s="6" t="s">
        <v>20</v>
      </c>
      <c r="B560" s="16">
        <f>YEAR(Sales_data[[#This Row],[Order Date]])</f>
        <v>2014</v>
      </c>
    </row>
    <row r="561" spans="1:2" x14ac:dyDescent="0.2">
      <c r="A561" s="6" t="s">
        <v>17</v>
      </c>
      <c r="B561" s="16">
        <f>YEAR(Sales_data[[#This Row],[Order Date]])</f>
        <v>2014</v>
      </c>
    </row>
    <row r="562" spans="1:2" x14ac:dyDescent="0.2">
      <c r="A562" s="6" t="s">
        <v>20</v>
      </c>
      <c r="B562" s="16">
        <f>YEAR(Sales_data[[#This Row],[Order Date]])</f>
        <v>2014</v>
      </c>
    </row>
    <row r="563" spans="1:2" x14ac:dyDescent="0.2">
      <c r="A563" s="6" t="s">
        <v>19</v>
      </c>
      <c r="B563" s="16">
        <f>YEAR(Sales_data[[#This Row],[Order Date]])</f>
        <v>2014</v>
      </c>
    </row>
    <row r="564" spans="1:2" x14ac:dyDescent="0.2">
      <c r="A564" s="6" t="s">
        <v>19</v>
      </c>
      <c r="B564" s="16">
        <f>YEAR(Sales_data[[#This Row],[Order Date]])</f>
        <v>2014</v>
      </c>
    </row>
    <row r="565" spans="1:2" x14ac:dyDescent="0.2">
      <c r="A565" s="6" t="s">
        <v>15</v>
      </c>
      <c r="B565" s="16">
        <f>YEAR(Sales_data[[#This Row],[Order Date]])</f>
        <v>2014</v>
      </c>
    </row>
    <row r="566" spans="1:2" x14ac:dyDescent="0.2">
      <c r="A566" s="6" t="s">
        <v>16</v>
      </c>
      <c r="B566" s="16">
        <f>YEAR(Sales_data[[#This Row],[Order Date]])</f>
        <v>2014</v>
      </c>
    </row>
    <row r="567" spans="1:2" x14ac:dyDescent="0.2">
      <c r="A567" s="6" t="s">
        <v>15</v>
      </c>
      <c r="B567" s="16">
        <f>YEAR(Sales_data[[#This Row],[Order Date]])</f>
        <v>2014</v>
      </c>
    </row>
    <row r="568" spans="1:2" x14ac:dyDescent="0.2">
      <c r="A568" s="6" t="s">
        <v>12</v>
      </c>
      <c r="B568" s="16">
        <f>YEAR(Sales_data[[#This Row],[Order Date]])</f>
        <v>2014</v>
      </c>
    </row>
    <row r="569" spans="1:2" x14ac:dyDescent="0.2">
      <c r="A569" s="6" t="s">
        <v>18</v>
      </c>
      <c r="B569" s="16">
        <f>YEAR(Sales_data[[#This Row],[Order Date]])</f>
        <v>2014</v>
      </c>
    </row>
    <row r="570" spans="1:2" x14ac:dyDescent="0.2">
      <c r="A570" s="6" t="s">
        <v>9</v>
      </c>
      <c r="B570" s="16">
        <f>YEAR(Sales_data[[#This Row],[Order Date]])</f>
        <v>2014</v>
      </c>
    </row>
    <row r="571" spans="1:2" x14ac:dyDescent="0.2">
      <c r="A571" s="6" t="s">
        <v>20</v>
      </c>
      <c r="B571" s="16">
        <f>YEAR(Sales_data[[#This Row],[Order Date]])</f>
        <v>2014</v>
      </c>
    </row>
    <row r="572" spans="1:2" x14ac:dyDescent="0.2">
      <c r="A572" s="6" t="s">
        <v>15</v>
      </c>
      <c r="B572" s="16">
        <f>YEAR(Sales_data[[#This Row],[Order Date]])</f>
        <v>2014</v>
      </c>
    </row>
    <row r="573" spans="1:2" x14ac:dyDescent="0.2">
      <c r="A573" s="6" t="s">
        <v>11</v>
      </c>
      <c r="B573" s="16">
        <f>YEAR(Sales_data[[#This Row],[Order Date]])</f>
        <v>2014</v>
      </c>
    </row>
    <row r="574" spans="1:2" x14ac:dyDescent="0.2">
      <c r="A574" s="6" t="s">
        <v>10</v>
      </c>
      <c r="B574" s="16">
        <f>YEAR(Sales_data[[#This Row],[Order Date]])</f>
        <v>2014</v>
      </c>
    </row>
    <row r="575" spans="1:2" x14ac:dyDescent="0.2">
      <c r="A575" s="6" t="s">
        <v>10</v>
      </c>
      <c r="B575" s="16">
        <f>YEAR(Sales_data[[#This Row],[Order Date]])</f>
        <v>2014</v>
      </c>
    </row>
    <row r="576" spans="1:2" x14ac:dyDescent="0.2">
      <c r="A576" s="6" t="s">
        <v>18</v>
      </c>
      <c r="B576" s="16">
        <f>YEAR(Sales_data[[#This Row],[Order Date]])</f>
        <v>2014</v>
      </c>
    </row>
    <row r="577" spans="1:2" x14ac:dyDescent="0.2">
      <c r="A577" s="6" t="s">
        <v>16</v>
      </c>
      <c r="B577" s="16">
        <f>YEAR(Sales_data[[#This Row],[Order Date]])</f>
        <v>2014</v>
      </c>
    </row>
    <row r="578" spans="1:2" x14ac:dyDescent="0.2">
      <c r="A578" s="6" t="s">
        <v>12</v>
      </c>
      <c r="B578" s="16">
        <f>YEAR(Sales_data[[#This Row],[Order Date]])</f>
        <v>2014</v>
      </c>
    </row>
    <row r="579" spans="1:2" x14ac:dyDescent="0.2">
      <c r="A579" s="6" t="s">
        <v>17</v>
      </c>
      <c r="B579" s="16">
        <f>YEAR(Sales_data[[#This Row],[Order Date]])</f>
        <v>2014</v>
      </c>
    </row>
    <row r="580" spans="1:2" x14ac:dyDescent="0.2">
      <c r="A580" s="6" t="s">
        <v>20</v>
      </c>
      <c r="B580" s="16">
        <f>YEAR(Sales_data[[#This Row],[Order Date]])</f>
        <v>2014</v>
      </c>
    </row>
    <row r="581" spans="1:2" x14ac:dyDescent="0.2">
      <c r="A581" s="6" t="s">
        <v>13</v>
      </c>
      <c r="B581" s="16">
        <f>YEAR(Sales_data[[#This Row],[Order Date]])</f>
        <v>2014</v>
      </c>
    </row>
    <row r="582" spans="1:2" x14ac:dyDescent="0.2">
      <c r="A582" s="6" t="s">
        <v>11</v>
      </c>
      <c r="B582" s="16">
        <f>YEAR(Sales_data[[#This Row],[Order Date]])</f>
        <v>2014</v>
      </c>
    </row>
    <row r="583" spans="1:2" x14ac:dyDescent="0.2">
      <c r="A583" s="6" t="s">
        <v>17</v>
      </c>
      <c r="B583" s="16">
        <f>YEAR(Sales_data[[#This Row],[Order Date]])</f>
        <v>2014</v>
      </c>
    </row>
    <row r="584" spans="1:2" x14ac:dyDescent="0.2">
      <c r="A584" s="6" t="s">
        <v>16</v>
      </c>
      <c r="B584" s="16">
        <f>YEAR(Sales_data[[#This Row],[Order Date]])</f>
        <v>2014</v>
      </c>
    </row>
    <row r="585" spans="1:2" x14ac:dyDescent="0.2">
      <c r="A585" s="6" t="s">
        <v>21</v>
      </c>
      <c r="B585" s="16">
        <f>YEAR(Sales_data[[#This Row],[Order Date]])</f>
        <v>2014</v>
      </c>
    </row>
    <row r="586" spans="1:2" x14ac:dyDescent="0.2">
      <c r="A586" s="6" t="s">
        <v>11</v>
      </c>
      <c r="B586" s="16">
        <f>YEAR(Sales_data[[#This Row],[Order Date]])</f>
        <v>2014</v>
      </c>
    </row>
    <row r="587" spans="1:2" x14ac:dyDescent="0.2">
      <c r="A587" s="6" t="s">
        <v>20</v>
      </c>
      <c r="B587" s="16">
        <f>YEAR(Sales_data[[#This Row],[Order Date]])</f>
        <v>2014</v>
      </c>
    </row>
    <row r="588" spans="1:2" x14ac:dyDescent="0.2">
      <c r="A588" s="6" t="s">
        <v>13</v>
      </c>
      <c r="B588" s="16">
        <f>YEAR(Sales_data[[#This Row],[Order Date]])</f>
        <v>2014</v>
      </c>
    </row>
    <row r="589" spans="1:2" x14ac:dyDescent="0.2">
      <c r="A589" s="6" t="s">
        <v>12</v>
      </c>
      <c r="B589" s="16">
        <f>YEAR(Sales_data[[#This Row],[Order Date]])</f>
        <v>2014</v>
      </c>
    </row>
    <row r="590" spans="1:2" x14ac:dyDescent="0.2">
      <c r="A590" s="6" t="s">
        <v>18</v>
      </c>
      <c r="B590" s="16">
        <f>YEAR(Sales_data[[#This Row],[Order Date]])</f>
        <v>2014</v>
      </c>
    </row>
    <row r="591" spans="1:2" x14ac:dyDescent="0.2">
      <c r="A591" s="6" t="s">
        <v>11</v>
      </c>
      <c r="B591" s="16">
        <f>YEAR(Sales_data[[#This Row],[Order Date]])</f>
        <v>2014</v>
      </c>
    </row>
    <row r="592" spans="1:2" x14ac:dyDescent="0.2">
      <c r="A592" s="6" t="s">
        <v>14</v>
      </c>
      <c r="B592" s="16">
        <f>YEAR(Sales_data[[#This Row],[Order Date]])</f>
        <v>2014</v>
      </c>
    </row>
    <row r="593" spans="1:2" x14ac:dyDescent="0.2">
      <c r="A593" s="6" t="s">
        <v>20</v>
      </c>
      <c r="B593" s="16">
        <f>YEAR(Sales_data[[#This Row],[Order Date]])</f>
        <v>2014</v>
      </c>
    </row>
    <row r="594" spans="1:2" x14ac:dyDescent="0.2">
      <c r="A594" s="6" t="s">
        <v>16</v>
      </c>
      <c r="B594" s="16">
        <f>YEAR(Sales_data[[#This Row],[Order Date]])</f>
        <v>2014</v>
      </c>
    </row>
    <row r="595" spans="1:2" x14ac:dyDescent="0.2">
      <c r="A595" s="6" t="s">
        <v>9</v>
      </c>
      <c r="B595" s="16">
        <f>YEAR(Sales_data[[#This Row],[Order Date]])</f>
        <v>2014</v>
      </c>
    </row>
    <row r="596" spans="1:2" x14ac:dyDescent="0.2">
      <c r="A596" s="6" t="s">
        <v>16</v>
      </c>
      <c r="B596" s="16">
        <f>YEAR(Sales_data[[#This Row],[Order Date]])</f>
        <v>2014</v>
      </c>
    </row>
    <row r="597" spans="1:2" x14ac:dyDescent="0.2">
      <c r="A597" s="6" t="s">
        <v>17</v>
      </c>
      <c r="B597" s="16">
        <f>YEAR(Sales_data[[#This Row],[Order Date]])</f>
        <v>2014</v>
      </c>
    </row>
    <row r="598" spans="1:2" x14ac:dyDescent="0.2">
      <c r="A598" s="6" t="s">
        <v>20</v>
      </c>
      <c r="B598" s="16">
        <f>YEAR(Sales_data[[#This Row],[Order Date]])</f>
        <v>2014</v>
      </c>
    </row>
    <row r="599" spans="1:2" x14ac:dyDescent="0.2">
      <c r="A599" s="6" t="s">
        <v>12</v>
      </c>
      <c r="B599" s="16">
        <f>YEAR(Sales_data[[#This Row],[Order Date]])</f>
        <v>2014</v>
      </c>
    </row>
    <row r="600" spans="1:2" x14ac:dyDescent="0.2">
      <c r="A600" s="6" t="s">
        <v>20</v>
      </c>
      <c r="B600" s="16">
        <f>YEAR(Sales_data[[#This Row],[Order Date]])</f>
        <v>2014</v>
      </c>
    </row>
    <row r="601" spans="1:2" x14ac:dyDescent="0.2">
      <c r="A601" s="6" t="s">
        <v>12</v>
      </c>
      <c r="B601" s="16">
        <f>YEAR(Sales_data[[#This Row],[Order Date]])</f>
        <v>2014</v>
      </c>
    </row>
    <row r="602" spans="1:2" x14ac:dyDescent="0.2">
      <c r="A602" s="6" t="s">
        <v>16</v>
      </c>
      <c r="B602" s="16">
        <f>YEAR(Sales_data[[#This Row],[Order Date]])</f>
        <v>2014</v>
      </c>
    </row>
    <row r="603" spans="1:2" x14ac:dyDescent="0.2">
      <c r="A603" s="6" t="s">
        <v>18</v>
      </c>
      <c r="B603" s="16">
        <f>YEAR(Sales_data[[#This Row],[Order Date]])</f>
        <v>2014</v>
      </c>
    </row>
    <row r="604" spans="1:2" x14ac:dyDescent="0.2">
      <c r="A604" s="6" t="s">
        <v>16</v>
      </c>
      <c r="B604" s="16">
        <f>YEAR(Sales_data[[#This Row],[Order Date]])</f>
        <v>2014</v>
      </c>
    </row>
    <row r="605" spans="1:2" x14ac:dyDescent="0.2">
      <c r="A605" s="6" t="s">
        <v>15</v>
      </c>
      <c r="B605" s="16">
        <f>YEAR(Sales_data[[#This Row],[Order Date]])</f>
        <v>2014</v>
      </c>
    </row>
    <row r="606" spans="1:2" x14ac:dyDescent="0.2">
      <c r="A606" s="6" t="s">
        <v>10</v>
      </c>
      <c r="B606" s="16">
        <f>YEAR(Sales_data[[#This Row],[Order Date]])</f>
        <v>2014</v>
      </c>
    </row>
    <row r="607" spans="1:2" x14ac:dyDescent="0.2">
      <c r="A607" s="6" t="s">
        <v>18</v>
      </c>
      <c r="B607" s="16">
        <f>YEAR(Sales_data[[#This Row],[Order Date]])</f>
        <v>2014</v>
      </c>
    </row>
    <row r="608" spans="1:2" x14ac:dyDescent="0.2">
      <c r="A608" s="6" t="s">
        <v>12</v>
      </c>
      <c r="B608" s="16">
        <f>YEAR(Sales_data[[#This Row],[Order Date]])</f>
        <v>2014</v>
      </c>
    </row>
    <row r="609" spans="1:2" x14ac:dyDescent="0.2">
      <c r="A609" s="6" t="s">
        <v>15</v>
      </c>
      <c r="B609" s="16">
        <f>YEAR(Sales_data[[#This Row],[Order Date]])</f>
        <v>2014</v>
      </c>
    </row>
    <row r="610" spans="1:2" x14ac:dyDescent="0.2">
      <c r="A610" s="6" t="s">
        <v>13</v>
      </c>
      <c r="B610" s="16">
        <f>YEAR(Sales_data[[#This Row],[Order Date]])</f>
        <v>2014</v>
      </c>
    </row>
    <row r="611" spans="1:2" x14ac:dyDescent="0.2">
      <c r="A611" s="6" t="s">
        <v>11</v>
      </c>
      <c r="B611" s="16">
        <f>YEAR(Sales_data[[#This Row],[Order Date]])</f>
        <v>2014</v>
      </c>
    </row>
    <row r="612" spans="1:2" x14ac:dyDescent="0.2">
      <c r="A612" s="6" t="s">
        <v>15</v>
      </c>
      <c r="B612" s="16">
        <f>YEAR(Sales_data[[#This Row],[Order Date]])</f>
        <v>2014</v>
      </c>
    </row>
    <row r="613" spans="1:2" x14ac:dyDescent="0.2">
      <c r="A613" s="6" t="s">
        <v>10</v>
      </c>
      <c r="B613" s="16">
        <f>YEAR(Sales_data[[#This Row],[Order Date]])</f>
        <v>2014</v>
      </c>
    </row>
    <row r="614" spans="1:2" x14ac:dyDescent="0.2">
      <c r="A614" s="6" t="s">
        <v>10</v>
      </c>
      <c r="B614" s="16">
        <f>YEAR(Sales_data[[#This Row],[Order Date]])</f>
        <v>2014</v>
      </c>
    </row>
    <row r="615" spans="1:2" x14ac:dyDescent="0.2">
      <c r="A615" s="6" t="s">
        <v>11</v>
      </c>
      <c r="B615" s="16">
        <f>YEAR(Sales_data[[#This Row],[Order Date]])</f>
        <v>2014</v>
      </c>
    </row>
    <row r="616" spans="1:2" x14ac:dyDescent="0.2">
      <c r="A616" s="6" t="s">
        <v>17</v>
      </c>
      <c r="B616" s="16">
        <f>YEAR(Sales_data[[#This Row],[Order Date]])</f>
        <v>2014</v>
      </c>
    </row>
    <row r="617" spans="1:2" x14ac:dyDescent="0.2">
      <c r="A617" s="6" t="s">
        <v>18</v>
      </c>
      <c r="B617" s="16">
        <f>YEAR(Sales_data[[#This Row],[Order Date]])</f>
        <v>2014</v>
      </c>
    </row>
    <row r="618" spans="1:2" x14ac:dyDescent="0.2">
      <c r="A618" s="6" t="s">
        <v>21</v>
      </c>
      <c r="B618" s="16">
        <f>YEAR(Sales_data[[#This Row],[Order Date]])</f>
        <v>2014</v>
      </c>
    </row>
    <row r="619" spans="1:2" x14ac:dyDescent="0.2">
      <c r="A619" s="6" t="s">
        <v>19</v>
      </c>
      <c r="B619" s="16">
        <f>YEAR(Sales_data[[#This Row],[Order Date]])</f>
        <v>2014</v>
      </c>
    </row>
    <row r="620" spans="1:2" x14ac:dyDescent="0.2">
      <c r="A620" s="6" t="s">
        <v>13</v>
      </c>
      <c r="B620" s="16">
        <f>YEAR(Sales_data[[#This Row],[Order Date]])</f>
        <v>2014</v>
      </c>
    </row>
    <row r="621" spans="1:2" x14ac:dyDescent="0.2">
      <c r="A621" s="6" t="s">
        <v>15</v>
      </c>
      <c r="B621" s="16">
        <f>YEAR(Sales_data[[#This Row],[Order Date]])</f>
        <v>2014</v>
      </c>
    </row>
    <row r="622" spans="1:2" x14ac:dyDescent="0.2">
      <c r="A622" s="6" t="s">
        <v>13</v>
      </c>
      <c r="B622" s="16">
        <f>YEAR(Sales_data[[#This Row],[Order Date]])</f>
        <v>2014</v>
      </c>
    </row>
    <row r="623" spans="1:2" x14ac:dyDescent="0.2">
      <c r="A623" s="6" t="s">
        <v>19</v>
      </c>
      <c r="B623" s="16">
        <f>YEAR(Sales_data[[#This Row],[Order Date]])</f>
        <v>2014</v>
      </c>
    </row>
    <row r="624" spans="1:2" x14ac:dyDescent="0.2">
      <c r="A624" s="6" t="s">
        <v>9</v>
      </c>
      <c r="B624" s="16">
        <f>YEAR(Sales_data[[#This Row],[Order Date]])</f>
        <v>2014</v>
      </c>
    </row>
    <row r="625" spans="1:2" x14ac:dyDescent="0.2">
      <c r="A625" s="6" t="s">
        <v>19</v>
      </c>
      <c r="B625" s="16">
        <f>YEAR(Sales_data[[#This Row],[Order Date]])</f>
        <v>2014</v>
      </c>
    </row>
    <row r="626" spans="1:2" x14ac:dyDescent="0.2">
      <c r="A626" s="6" t="s">
        <v>11</v>
      </c>
      <c r="B626" s="16">
        <f>YEAR(Sales_data[[#This Row],[Order Date]])</f>
        <v>2014</v>
      </c>
    </row>
    <row r="627" spans="1:2" x14ac:dyDescent="0.2">
      <c r="A627" s="6" t="s">
        <v>20</v>
      </c>
      <c r="B627" s="16">
        <f>YEAR(Sales_data[[#This Row],[Order Date]])</f>
        <v>2014</v>
      </c>
    </row>
    <row r="628" spans="1:2" x14ac:dyDescent="0.2">
      <c r="A628" s="6" t="s">
        <v>17</v>
      </c>
      <c r="B628" s="16">
        <f>YEAR(Sales_data[[#This Row],[Order Date]])</f>
        <v>2014</v>
      </c>
    </row>
    <row r="629" spans="1:2" x14ac:dyDescent="0.2">
      <c r="A629" s="6" t="s">
        <v>14</v>
      </c>
      <c r="B629" s="16">
        <f>YEAR(Sales_data[[#This Row],[Order Date]])</f>
        <v>2014</v>
      </c>
    </row>
    <row r="630" spans="1:2" x14ac:dyDescent="0.2">
      <c r="A630" s="6" t="s">
        <v>9</v>
      </c>
      <c r="B630" s="16">
        <f>YEAR(Sales_data[[#This Row],[Order Date]])</f>
        <v>2014</v>
      </c>
    </row>
    <row r="631" spans="1:2" x14ac:dyDescent="0.2">
      <c r="A631" s="6" t="s">
        <v>12</v>
      </c>
      <c r="B631" s="16">
        <f>YEAR(Sales_data[[#This Row],[Order Date]])</f>
        <v>2014</v>
      </c>
    </row>
    <row r="632" spans="1:2" x14ac:dyDescent="0.2">
      <c r="A632" s="6" t="s">
        <v>15</v>
      </c>
      <c r="B632" s="16">
        <f>YEAR(Sales_data[[#This Row],[Order Date]])</f>
        <v>2014</v>
      </c>
    </row>
    <row r="633" spans="1:2" x14ac:dyDescent="0.2">
      <c r="A633" s="6" t="s">
        <v>18</v>
      </c>
      <c r="B633" s="16">
        <f>YEAR(Sales_data[[#This Row],[Order Date]])</f>
        <v>2014</v>
      </c>
    </row>
    <row r="634" spans="1:2" x14ac:dyDescent="0.2">
      <c r="A634" s="6" t="s">
        <v>13</v>
      </c>
      <c r="B634" s="16">
        <f>YEAR(Sales_data[[#This Row],[Order Date]])</f>
        <v>2014</v>
      </c>
    </row>
    <row r="635" spans="1:2" x14ac:dyDescent="0.2">
      <c r="A635" s="6" t="s">
        <v>12</v>
      </c>
      <c r="B635" s="16">
        <f>YEAR(Sales_data[[#This Row],[Order Date]])</f>
        <v>2014</v>
      </c>
    </row>
    <row r="636" spans="1:2" x14ac:dyDescent="0.2">
      <c r="A636" s="6" t="s">
        <v>18</v>
      </c>
      <c r="B636" s="16">
        <f>YEAR(Sales_data[[#This Row],[Order Date]])</f>
        <v>2014</v>
      </c>
    </row>
    <row r="637" spans="1:2" x14ac:dyDescent="0.2">
      <c r="A637" s="6" t="s">
        <v>18</v>
      </c>
      <c r="B637" s="16">
        <f>YEAR(Sales_data[[#This Row],[Order Date]])</f>
        <v>2014</v>
      </c>
    </row>
    <row r="638" spans="1:2" x14ac:dyDescent="0.2">
      <c r="A638" s="6" t="s">
        <v>11</v>
      </c>
      <c r="B638" s="16">
        <f>YEAR(Sales_data[[#This Row],[Order Date]])</f>
        <v>2014</v>
      </c>
    </row>
    <row r="639" spans="1:2" x14ac:dyDescent="0.2">
      <c r="A639" s="6" t="s">
        <v>11</v>
      </c>
      <c r="B639" s="16">
        <f>YEAR(Sales_data[[#This Row],[Order Date]])</f>
        <v>2014</v>
      </c>
    </row>
    <row r="640" spans="1:2" x14ac:dyDescent="0.2">
      <c r="A640" s="6" t="s">
        <v>19</v>
      </c>
      <c r="B640" s="16">
        <f>YEAR(Sales_data[[#This Row],[Order Date]])</f>
        <v>2014</v>
      </c>
    </row>
    <row r="641" spans="1:2" x14ac:dyDescent="0.2">
      <c r="A641" s="6" t="s">
        <v>19</v>
      </c>
      <c r="B641" s="16">
        <f>YEAR(Sales_data[[#This Row],[Order Date]])</f>
        <v>2014</v>
      </c>
    </row>
    <row r="642" spans="1:2" x14ac:dyDescent="0.2">
      <c r="A642" s="6" t="s">
        <v>20</v>
      </c>
      <c r="B642" s="16">
        <f>YEAR(Sales_data[[#This Row],[Order Date]])</f>
        <v>2014</v>
      </c>
    </row>
    <row r="643" spans="1:2" x14ac:dyDescent="0.2">
      <c r="A643" s="6" t="s">
        <v>20</v>
      </c>
      <c r="B643" s="16">
        <f>YEAR(Sales_data[[#This Row],[Order Date]])</f>
        <v>2014</v>
      </c>
    </row>
    <row r="644" spans="1:2" x14ac:dyDescent="0.2">
      <c r="A644" s="6" t="s">
        <v>21</v>
      </c>
      <c r="B644" s="16">
        <f>YEAR(Sales_data[[#This Row],[Order Date]])</f>
        <v>2014</v>
      </c>
    </row>
    <row r="645" spans="1:2" x14ac:dyDescent="0.2">
      <c r="A645" s="6" t="s">
        <v>18</v>
      </c>
      <c r="B645" s="16">
        <f>YEAR(Sales_data[[#This Row],[Order Date]])</f>
        <v>2014</v>
      </c>
    </row>
    <row r="646" spans="1:2" x14ac:dyDescent="0.2">
      <c r="A646" s="6" t="s">
        <v>19</v>
      </c>
      <c r="B646" s="16">
        <f>YEAR(Sales_data[[#This Row],[Order Date]])</f>
        <v>2014</v>
      </c>
    </row>
    <row r="647" spans="1:2" x14ac:dyDescent="0.2">
      <c r="A647" s="6" t="s">
        <v>11</v>
      </c>
      <c r="B647" s="16">
        <f>YEAR(Sales_data[[#This Row],[Order Date]])</f>
        <v>2014</v>
      </c>
    </row>
    <row r="648" spans="1:2" x14ac:dyDescent="0.2">
      <c r="A648" s="6" t="s">
        <v>12</v>
      </c>
      <c r="B648" s="16">
        <f>YEAR(Sales_data[[#This Row],[Order Date]])</f>
        <v>2014</v>
      </c>
    </row>
    <row r="649" spans="1:2" x14ac:dyDescent="0.2">
      <c r="A649" s="6" t="s">
        <v>12</v>
      </c>
      <c r="B649" s="16">
        <f>YEAR(Sales_data[[#This Row],[Order Date]])</f>
        <v>2014</v>
      </c>
    </row>
    <row r="650" spans="1:2" x14ac:dyDescent="0.2">
      <c r="A650" s="6" t="s">
        <v>14</v>
      </c>
      <c r="B650" s="16">
        <f>YEAR(Sales_data[[#This Row],[Order Date]])</f>
        <v>2014</v>
      </c>
    </row>
    <row r="651" spans="1:2" x14ac:dyDescent="0.2">
      <c r="A651" s="6" t="s">
        <v>19</v>
      </c>
      <c r="B651" s="16">
        <f>YEAR(Sales_data[[#This Row],[Order Date]])</f>
        <v>2014</v>
      </c>
    </row>
    <row r="652" spans="1:2" x14ac:dyDescent="0.2">
      <c r="A652" s="6" t="s">
        <v>12</v>
      </c>
      <c r="B652" s="16">
        <f>YEAR(Sales_data[[#This Row],[Order Date]])</f>
        <v>2014</v>
      </c>
    </row>
    <row r="653" spans="1:2" x14ac:dyDescent="0.2">
      <c r="A653" s="6" t="s">
        <v>9</v>
      </c>
      <c r="B653" s="16">
        <f>YEAR(Sales_data[[#This Row],[Order Date]])</f>
        <v>2014</v>
      </c>
    </row>
    <row r="654" spans="1:2" x14ac:dyDescent="0.2">
      <c r="A654" s="6" t="s">
        <v>9</v>
      </c>
      <c r="B654" s="16">
        <f>YEAR(Sales_data[[#This Row],[Order Date]])</f>
        <v>2014</v>
      </c>
    </row>
    <row r="655" spans="1:2" x14ac:dyDescent="0.2">
      <c r="A655" s="6" t="s">
        <v>17</v>
      </c>
      <c r="B655" s="16">
        <f>YEAR(Sales_data[[#This Row],[Order Date]])</f>
        <v>2014</v>
      </c>
    </row>
    <row r="656" spans="1:2" x14ac:dyDescent="0.2">
      <c r="A656" s="6" t="s">
        <v>11</v>
      </c>
      <c r="B656" s="16">
        <f>YEAR(Sales_data[[#This Row],[Order Date]])</f>
        <v>2014</v>
      </c>
    </row>
    <row r="657" spans="1:2" x14ac:dyDescent="0.2">
      <c r="A657" s="6" t="s">
        <v>21</v>
      </c>
      <c r="B657" s="16">
        <f>YEAR(Sales_data[[#This Row],[Order Date]])</f>
        <v>2014</v>
      </c>
    </row>
    <row r="658" spans="1:2" x14ac:dyDescent="0.2">
      <c r="A658" s="6" t="s">
        <v>10</v>
      </c>
      <c r="B658" s="16">
        <f>YEAR(Sales_data[[#This Row],[Order Date]])</f>
        <v>2014</v>
      </c>
    </row>
    <row r="659" spans="1:2" x14ac:dyDescent="0.2">
      <c r="A659" s="6" t="s">
        <v>16</v>
      </c>
      <c r="B659" s="16">
        <f>YEAR(Sales_data[[#This Row],[Order Date]])</f>
        <v>2014</v>
      </c>
    </row>
    <row r="660" spans="1:2" x14ac:dyDescent="0.2">
      <c r="A660" s="6" t="s">
        <v>13</v>
      </c>
      <c r="B660" s="16">
        <f>YEAR(Sales_data[[#This Row],[Order Date]])</f>
        <v>2014</v>
      </c>
    </row>
    <row r="661" spans="1:2" x14ac:dyDescent="0.2">
      <c r="A661" s="6" t="s">
        <v>15</v>
      </c>
      <c r="B661" s="16">
        <f>YEAR(Sales_data[[#This Row],[Order Date]])</f>
        <v>2014</v>
      </c>
    </row>
    <row r="662" spans="1:2" x14ac:dyDescent="0.2">
      <c r="A662" s="6" t="s">
        <v>21</v>
      </c>
      <c r="B662" s="16">
        <f>YEAR(Sales_data[[#This Row],[Order Date]])</f>
        <v>2014</v>
      </c>
    </row>
    <row r="663" spans="1:2" x14ac:dyDescent="0.2">
      <c r="A663" s="6" t="s">
        <v>20</v>
      </c>
      <c r="B663" s="16">
        <f>YEAR(Sales_data[[#This Row],[Order Date]])</f>
        <v>2014</v>
      </c>
    </row>
    <row r="664" spans="1:2" x14ac:dyDescent="0.2">
      <c r="A664" s="6" t="s">
        <v>10</v>
      </c>
      <c r="B664" s="16">
        <f>YEAR(Sales_data[[#This Row],[Order Date]])</f>
        <v>2014</v>
      </c>
    </row>
    <row r="665" spans="1:2" x14ac:dyDescent="0.2">
      <c r="A665" s="6" t="s">
        <v>19</v>
      </c>
      <c r="B665" s="16">
        <f>YEAR(Sales_data[[#This Row],[Order Date]])</f>
        <v>2014</v>
      </c>
    </row>
    <row r="666" spans="1:2" x14ac:dyDescent="0.2">
      <c r="A666" s="6" t="s">
        <v>19</v>
      </c>
      <c r="B666" s="16">
        <f>YEAR(Sales_data[[#This Row],[Order Date]])</f>
        <v>2014</v>
      </c>
    </row>
    <row r="667" spans="1:2" x14ac:dyDescent="0.2">
      <c r="A667" s="6" t="s">
        <v>10</v>
      </c>
      <c r="B667" s="16">
        <f>YEAR(Sales_data[[#This Row],[Order Date]])</f>
        <v>2014</v>
      </c>
    </row>
    <row r="668" spans="1:2" x14ac:dyDescent="0.2">
      <c r="A668" s="6" t="s">
        <v>14</v>
      </c>
      <c r="B668" s="16">
        <f>YEAR(Sales_data[[#This Row],[Order Date]])</f>
        <v>2014</v>
      </c>
    </row>
    <row r="669" spans="1:2" x14ac:dyDescent="0.2">
      <c r="A669" s="6" t="s">
        <v>19</v>
      </c>
      <c r="B669" s="16">
        <f>YEAR(Sales_data[[#This Row],[Order Date]])</f>
        <v>2014</v>
      </c>
    </row>
    <row r="670" spans="1:2" x14ac:dyDescent="0.2">
      <c r="A670" s="6" t="s">
        <v>16</v>
      </c>
      <c r="B670" s="16">
        <f>YEAR(Sales_data[[#This Row],[Order Date]])</f>
        <v>2014</v>
      </c>
    </row>
    <row r="671" spans="1:2" x14ac:dyDescent="0.2">
      <c r="A671" s="6" t="s">
        <v>10</v>
      </c>
      <c r="B671" s="16">
        <f>YEAR(Sales_data[[#This Row],[Order Date]])</f>
        <v>2014</v>
      </c>
    </row>
    <row r="672" spans="1:2" x14ac:dyDescent="0.2">
      <c r="A672" s="6" t="s">
        <v>9</v>
      </c>
      <c r="B672" s="16">
        <f>YEAR(Sales_data[[#This Row],[Order Date]])</f>
        <v>2014</v>
      </c>
    </row>
    <row r="673" spans="1:2" x14ac:dyDescent="0.2">
      <c r="A673" s="6" t="s">
        <v>20</v>
      </c>
      <c r="B673" s="16">
        <f>YEAR(Sales_data[[#This Row],[Order Date]])</f>
        <v>2014</v>
      </c>
    </row>
    <row r="674" spans="1:2" x14ac:dyDescent="0.2">
      <c r="A674" s="6" t="s">
        <v>15</v>
      </c>
      <c r="B674" s="16">
        <f>YEAR(Sales_data[[#This Row],[Order Date]])</f>
        <v>2014</v>
      </c>
    </row>
    <row r="675" spans="1:2" x14ac:dyDescent="0.2">
      <c r="A675" s="6" t="s">
        <v>15</v>
      </c>
      <c r="B675" s="16">
        <f>YEAR(Sales_data[[#This Row],[Order Date]])</f>
        <v>2014</v>
      </c>
    </row>
    <row r="676" spans="1:2" x14ac:dyDescent="0.2">
      <c r="A676" s="6" t="s">
        <v>10</v>
      </c>
      <c r="B676" s="16">
        <f>YEAR(Sales_data[[#This Row],[Order Date]])</f>
        <v>2014</v>
      </c>
    </row>
    <row r="677" spans="1:2" x14ac:dyDescent="0.2">
      <c r="A677" s="6" t="s">
        <v>20</v>
      </c>
      <c r="B677" s="16">
        <f>YEAR(Sales_data[[#This Row],[Order Date]])</f>
        <v>2014</v>
      </c>
    </row>
    <row r="678" spans="1:2" x14ac:dyDescent="0.2">
      <c r="A678" s="6" t="s">
        <v>18</v>
      </c>
      <c r="B678" s="16">
        <f>YEAR(Sales_data[[#This Row],[Order Date]])</f>
        <v>2014</v>
      </c>
    </row>
    <row r="679" spans="1:2" x14ac:dyDescent="0.2">
      <c r="A679" s="6" t="s">
        <v>21</v>
      </c>
      <c r="B679" s="16">
        <f>YEAR(Sales_data[[#This Row],[Order Date]])</f>
        <v>2014</v>
      </c>
    </row>
    <row r="680" spans="1:2" x14ac:dyDescent="0.2">
      <c r="A680" s="6" t="s">
        <v>9</v>
      </c>
      <c r="B680" s="16">
        <f>YEAR(Sales_data[[#This Row],[Order Date]])</f>
        <v>2014</v>
      </c>
    </row>
    <row r="681" spans="1:2" x14ac:dyDescent="0.2">
      <c r="A681" s="6" t="s">
        <v>21</v>
      </c>
      <c r="B681" s="16">
        <f>YEAR(Sales_data[[#This Row],[Order Date]])</f>
        <v>2014</v>
      </c>
    </row>
    <row r="682" spans="1:2" x14ac:dyDescent="0.2">
      <c r="A682" s="6" t="s">
        <v>19</v>
      </c>
      <c r="B682" s="16">
        <f>YEAR(Sales_data[[#This Row],[Order Date]])</f>
        <v>2014</v>
      </c>
    </row>
    <row r="683" spans="1:2" x14ac:dyDescent="0.2">
      <c r="A683" s="6" t="s">
        <v>13</v>
      </c>
      <c r="B683" s="16">
        <f>YEAR(Sales_data[[#This Row],[Order Date]])</f>
        <v>2014</v>
      </c>
    </row>
    <row r="684" spans="1:2" x14ac:dyDescent="0.2">
      <c r="A684" s="6" t="s">
        <v>14</v>
      </c>
      <c r="B684" s="16">
        <f>YEAR(Sales_data[[#This Row],[Order Date]])</f>
        <v>2014</v>
      </c>
    </row>
    <row r="685" spans="1:2" x14ac:dyDescent="0.2">
      <c r="A685" s="6" t="s">
        <v>14</v>
      </c>
      <c r="B685" s="16">
        <f>YEAR(Sales_data[[#This Row],[Order Date]])</f>
        <v>2014</v>
      </c>
    </row>
    <row r="686" spans="1:2" x14ac:dyDescent="0.2">
      <c r="A686" s="6" t="s">
        <v>14</v>
      </c>
      <c r="B686" s="16">
        <f>YEAR(Sales_data[[#This Row],[Order Date]])</f>
        <v>2014</v>
      </c>
    </row>
    <row r="687" spans="1:2" x14ac:dyDescent="0.2">
      <c r="A687" s="6" t="s">
        <v>15</v>
      </c>
      <c r="B687" s="16">
        <f>YEAR(Sales_data[[#This Row],[Order Date]])</f>
        <v>2014</v>
      </c>
    </row>
    <row r="688" spans="1:2" x14ac:dyDescent="0.2">
      <c r="A688" s="6" t="s">
        <v>16</v>
      </c>
      <c r="B688" s="16">
        <f>YEAR(Sales_data[[#This Row],[Order Date]])</f>
        <v>2014</v>
      </c>
    </row>
    <row r="689" spans="1:2" x14ac:dyDescent="0.2">
      <c r="A689" s="6" t="s">
        <v>9</v>
      </c>
      <c r="B689" s="16">
        <f>YEAR(Sales_data[[#This Row],[Order Date]])</f>
        <v>2014</v>
      </c>
    </row>
    <row r="690" spans="1:2" x14ac:dyDescent="0.2">
      <c r="A690" s="6" t="s">
        <v>13</v>
      </c>
      <c r="B690" s="16">
        <f>YEAR(Sales_data[[#This Row],[Order Date]])</f>
        <v>2014</v>
      </c>
    </row>
    <row r="691" spans="1:2" x14ac:dyDescent="0.2">
      <c r="A691" s="6" t="s">
        <v>9</v>
      </c>
      <c r="B691" s="16">
        <f>YEAR(Sales_data[[#This Row],[Order Date]])</f>
        <v>2014</v>
      </c>
    </row>
    <row r="692" spans="1:2" x14ac:dyDescent="0.2">
      <c r="A692" s="6" t="s">
        <v>10</v>
      </c>
      <c r="B692" s="16">
        <f>YEAR(Sales_data[[#This Row],[Order Date]])</f>
        <v>2014</v>
      </c>
    </row>
    <row r="693" spans="1:2" x14ac:dyDescent="0.2">
      <c r="A693" s="6" t="s">
        <v>19</v>
      </c>
      <c r="B693" s="16">
        <f>YEAR(Sales_data[[#This Row],[Order Date]])</f>
        <v>2014</v>
      </c>
    </row>
    <row r="694" spans="1:2" x14ac:dyDescent="0.2">
      <c r="A694" s="6" t="s">
        <v>12</v>
      </c>
      <c r="B694" s="16">
        <f>YEAR(Sales_data[[#This Row],[Order Date]])</f>
        <v>2014</v>
      </c>
    </row>
    <row r="695" spans="1:2" x14ac:dyDescent="0.2">
      <c r="A695" s="6" t="s">
        <v>13</v>
      </c>
      <c r="B695" s="16">
        <f>YEAR(Sales_data[[#This Row],[Order Date]])</f>
        <v>2014</v>
      </c>
    </row>
    <row r="696" spans="1:2" x14ac:dyDescent="0.2">
      <c r="A696" s="6" t="s">
        <v>17</v>
      </c>
      <c r="B696" s="16">
        <f>YEAR(Sales_data[[#This Row],[Order Date]])</f>
        <v>2014</v>
      </c>
    </row>
    <row r="697" spans="1:2" x14ac:dyDescent="0.2">
      <c r="A697" s="6" t="s">
        <v>18</v>
      </c>
      <c r="B697" s="16">
        <f>YEAR(Sales_data[[#This Row],[Order Date]])</f>
        <v>2014</v>
      </c>
    </row>
    <row r="698" spans="1:2" x14ac:dyDescent="0.2">
      <c r="A698" s="6" t="s">
        <v>10</v>
      </c>
      <c r="B698" s="16">
        <f>YEAR(Sales_data[[#This Row],[Order Date]])</f>
        <v>2014</v>
      </c>
    </row>
    <row r="699" spans="1:2" x14ac:dyDescent="0.2">
      <c r="A699" s="6" t="s">
        <v>12</v>
      </c>
      <c r="B699" s="16">
        <f>YEAR(Sales_data[[#This Row],[Order Date]])</f>
        <v>2014</v>
      </c>
    </row>
    <row r="700" spans="1:2" x14ac:dyDescent="0.2">
      <c r="A700" s="6" t="s">
        <v>10</v>
      </c>
      <c r="B700" s="16">
        <f>YEAR(Sales_data[[#This Row],[Order Date]])</f>
        <v>2014</v>
      </c>
    </row>
    <row r="701" spans="1:2" x14ac:dyDescent="0.2">
      <c r="A701" s="6" t="s">
        <v>11</v>
      </c>
      <c r="B701" s="16">
        <f>YEAR(Sales_data[[#This Row],[Order Date]])</f>
        <v>2014</v>
      </c>
    </row>
    <row r="702" spans="1:2" x14ac:dyDescent="0.2">
      <c r="A702" s="6" t="s">
        <v>15</v>
      </c>
      <c r="B702" s="16">
        <f>YEAR(Sales_data[[#This Row],[Order Date]])</f>
        <v>2014</v>
      </c>
    </row>
    <row r="703" spans="1:2" x14ac:dyDescent="0.2">
      <c r="A703" s="6" t="s">
        <v>19</v>
      </c>
      <c r="B703" s="16">
        <f>YEAR(Sales_data[[#This Row],[Order Date]])</f>
        <v>2014</v>
      </c>
    </row>
    <row r="704" spans="1:2" x14ac:dyDescent="0.2">
      <c r="A704" s="6" t="s">
        <v>21</v>
      </c>
      <c r="B704" s="16">
        <f>YEAR(Sales_data[[#This Row],[Order Date]])</f>
        <v>2014</v>
      </c>
    </row>
    <row r="705" spans="1:2" x14ac:dyDescent="0.2">
      <c r="A705" s="6" t="s">
        <v>18</v>
      </c>
      <c r="B705" s="16">
        <f>YEAR(Sales_data[[#This Row],[Order Date]])</f>
        <v>2014</v>
      </c>
    </row>
    <row r="706" spans="1:2" x14ac:dyDescent="0.2">
      <c r="A706" s="6" t="s">
        <v>15</v>
      </c>
      <c r="B706" s="16">
        <f>YEAR(Sales_data[[#This Row],[Order Date]])</f>
        <v>2014</v>
      </c>
    </row>
    <row r="707" spans="1:2" x14ac:dyDescent="0.2">
      <c r="A707" s="6" t="s">
        <v>17</v>
      </c>
      <c r="B707" s="16">
        <f>YEAR(Sales_data[[#This Row],[Order Date]])</f>
        <v>2014</v>
      </c>
    </row>
    <row r="708" spans="1:2" x14ac:dyDescent="0.2">
      <c r="A708" s="6" t="s">
        <v>20</v>
      </c>
      <c r="B708" s="16">
        <f>YEAR(Sales_data[[#This Row],[Order Date]])</f>
        <v>2014</v>
      </c>
    </row>
    <row r="709" spans="1:2" x14ac:dyDescent="0.2">
      <c r="A709" s="6" t="s">
        <v>19</v>
      </c>
      <c r="B709" s="16">
        <f>YEAR(Sales_data[[#This Row],[Order Date]])</f>
        <v>2014</v>
      </c>
    </row>
    <row r="710" spans="1:2" x14ac:dyDescent="0.2">
      <c r="A710" s="6" t="s">
        <v>12</v>
      </c>
      <c r="B710" s="16">
        <f>YEAR(Sales_data[[#This Row],[Order Date]])</f>
        <v>2014</v>
      </c>
    </row>
    <row r="711" spans="1:2" x14ac:dyDescent="0.2">
      <c r="A711" s="6" t="s">
        <v>20</v>
      </c>
      <c r="B711" s="16">
        <f>YEAR(Sales_data[[#This Row],[Order Date]])</f>
        <v>2014</v>
      </c>
    </row>
    <row r="712" spans="1:2" x14ac:dyDescent="0.2">
      <c r="A712" s="6" t="s">
        <v>19</v>
      </c>
      <c r="B712" s="16">
        <f>YEAR(Sales_data[[#This Row],[Order Date]])</f>
        <v>2014</v>
      </c>
    </row>
    <row r="713" spans="1:2" x14ac:dyDescent="0.2">
      <c r="A713" s="6" t="s">
        <v>14</v>
      </c>
      <c r="B713" s="16">
        <f>YEAR(Sales_data[[#This Row],[Order Date]])</f>
        <v>2014</v>
      </c>
    </row>
    <row r="714" spans="1:2" x14ac:dyDescent="0.2">
      <c r="A714" s="6" t="s">
        <v>10</v>
      </c>
      <c r="B714" s="16">
        <f>YEAR(Sales_data[[#This Row],[Order Date]])</f>
        <v>2014</v>
      </c>
    </row>
    <row r="715" spans="1:2" x14ac:dyDescent="0.2">
      <c r="A715" s="6" t="s">
        <v>19</v>
      </c>
      <c r="B715" s="16">
        <f>YEAR(Sales_data[[#This Row],[Order Date]])</f>
        <v>2014</v>
      </c>
    </row>
    <row r="716" spans="1:2" x14ac:dyDescent="0.2">
      <c r="A716" s="6" t="s">
        <v>15</v>
      </c>
      <c r="B716" s="16">
        <f>YEAR(Sales_data[[#This Row],[Order Date]])</f>
        <v>2014</v>
      </c>
    </row>
    <row r="717" spans="1:2" x14ac:dyDescent="0.2">
      <c r="A717" s="6" t="s">
        <v>21</v>
      </c>
      <c r="B717" s="16">
        <f>YEAR(Sales_data[[#This Row],[Order Date]])</f>
        <v>2014</v>
      </c>
    </row>
    <row r="718" spans="1:2" x14ac:dyDescent="0.2">
      <c r="A718" s="6" t="s">
        <v>13</v>
      </c>
      <c r="B718" s="16">
        <f>YEAR(Sales_data[[#This Row],[Order Date]])</f>
        <v>2014</v>
      </c>
    </row>
    <row r="719" spans="1:2" x14ac:dyDescent="0.2">
      <c r="A719" s="6" t="s">
        <v>17</v>
      </c>
      <c r="B719" s="16">
        <f>YEAR(Sales_data[[#This Row],[Order Date]])</f>
        <v>2014</v>
      </c>
    </row>
    <row r="720" spans="1:2" x14ac:dyDescent="0.2">
      <c r="A720" s="6" t="s">
        <v>9</v>
      </c>
      <c r="B720" s="16">
        <f>YEAR(Sales_data[[#This Row],[Order Date]])</f>
        <v>2014</v>
      </c>
    </row>
    <row r="721" spans="1:2" x14ac:dyDescent="0.2">
      <c r="A721" s="6" t="s">
        <v>17</v>
      </c>
      <c r="B721" s="16">
        <f>YEAR(Sales_data[[#This Row],[Order Date]])</f>
        <v>2014</v>
      </c>
    </row>
    <row r="722" spans="1:2" x14ac:dyDescent="0.2">
      <c r="A722" s="6" t="s">
        <v>14</v>
      </c>
      <c r="B722" s="16">
        <f>YEAR(Sales_data[[#This Row],[Order Date]])</f>
        <v>2014</v>
      </c>
    </row>
    <row r="723" spans="1:2" x14ac:dyDescent="0.2">
      <c r="A723" s="6" t="s">
        <v>10</v>
      </c>
      <c r="B723" s="16">
        <f>YEAR(Sales_data[[#This Row],[Order Date]])</f>
        <v>2014</v>
      </c>
    </row>
    <row r="724" spans="1:2" x14ac:dyDescent="0.2">
      <c r="A724" s="6" t="s">
        <v>18</v>
      </c>
      <c r="B724" s="16">
        <f>YEAR(Sales_data[[#This Row],[Order Date]])</f>
        <v>2014</v>
      </c>
    </row>
    <row r="725" spans="1:2" x14ac:dyDescent="0.2">
      <c r="A725" s="6" t="s">
        <v>14</v>
      </c>
      <c r="B725" s="16">
        <f>YEAR(Sales_data[[#This Row],[Order Date]])</f>
        <v>2014</v>
      </c>
    </row>
    <row r="726" spans="1:2" x14ac:dyDescent="0.2">
      <c r="A726" s="6" t="s">
        <v>11</v>
      </c>
      <c r="B726" s="16">
        <f>YEAR(Sales_data[[#This Row],[Order Date]])</f>
        <v>2014</v>
      </c>
    </row>
    <row r="727" spans="1:2" x14ac:dyDescent="0.2">
      <c r="A727" s="6" t="s">
        <v>15</v>
      </c>
      <c r="B727" s="16">
        <f>YEAR(Sales_data[[#This Row],[Order Date]])</f>
        <v>2014</v>
      </c>
    </row>
    <row r="728" spans="1:2" x14ac:dyDescent="0.2">
      <c r="A728" s="6" t="s">
        <v>13</v>
      </c>
      <c r="B728" s="16">
        <f>YEAR(Sales_data[[#This Row],[Order Date]])</f>
        <v>2014</v>
      </c>
    </row>
    <row r="729" spans="1:2" x14ac:dyDescent="0.2">
      <c r="A729" s="6" t="s">
        <v>19</v>
      </c>
      <c r="B729" s="16">
        <f>YEAR(Sales_data[[#This Row],[Order Date]])</f>
        <v>2014</v>
      </c>
    </row>
    <row r="730" spans="1:2" x14ac:dyDescent="0.2">
      <c r="A730" s="6" t="s">
        <v>20</v>
      </c>
      <c r="B730" s="16">
        <f>YEAR(Sales_data[[#This Row],[Order Date]])</f>
        <v>2014</v>
      </c>
    </row>
    <row r="731" spans="1:2" x14ac:dyDescent="0.2">
      <c r="A731" s="6" t="s">
        <v>13</v>
      </c>
      <c r="B731" s="16">
        <f>YEAR(Sales_data[[#This Row],[Order Date]])</f>
        <v>2014</v>
      </c>
    </row>
    <row r="732" spans="1:2" x14ac:dyDescent="0.2">
      <c r="A732" s="6" t="s">
        <v>9</v>
      </c>
      <c r="B732" s="16">
        <f>YEAR(Sales_data[[#This Row],[Order Date]])</f>
        <v>2014</v>
      </c>
    </row>
    <row r="733" spans="1:2" x14ac:dyDescent="0.2">
      <c r="A733" s="6" t="s">
        <v>17</v>
      </c>
      <c r="B733" s="16">
        <f>YEAR(Sales_data[[#This Row],[Order Date]])</f>
        <v>2014</v>
      </c>
    </row>
    <row r="734" spans="1:2" x14ac:dyDescent="0.2">
      <c r="A734" s="6" t="s">
        <v>13</v>
      </c>
      <c r="B734" s="16">
        <f>YEAR(Sales_data[[#This Row],[Order Date]])</f>
        <v>2014</v>
      </c>
    </row>
    <row r="735" spans="1:2" x14ac:dyDescent="0.2">
      <c r="A735" s="6" t="s">
        <v>9</v>
      </c>
      <c r="B735" s="16">
        <f>YEAR(Sales_data[[#This Row],[Order Date]])</f>
        <v>2014</v>
      </c>
    </row>
    <row r="736" spans="1:2" x14ac:dyDescent="0.2">
      <c r="A736" s="6" t="s">
        <v>15</v>
      </c>
      <c r="B736" s="16">
        <f>YEAR(Sales_data[[#This Row],[Order Date]])</f>
        <v>2014</v>
      </c>
    </row>
    <row r="737" spans="1:2" x14ac:dyDescent="0.2">
      <c r="A737" s="6" t="s">
        <v>12</v>
      </c>
      <c r="B737" s="16">
        <f>YEAR(Sales_data[[#This Row],[Order Date]])</f>
        <v>2014</v>
      </c>
    </row>
    <row r="738" spans="1:2" x14ac:dyDescent="0.2">
      <c r="A738" s="6" t="s">
        <v>10</v>
      </c>
      <c r="B738" s="16">
        <f>YEAR(Sales_data[[#This Row],[Order Date]])</f>
        <v>2014</v>
      </c>
    </row>
    <row r="739" spans="1:2" x14ac:dyDescent="0.2">
      <c r="A739" s="6" t="s">
        <v>11</v>
      </c>
      <c r="B739" s="16">
        <f>YEAR(Sales_data[[#This Row],[Order Date]])</f>
        <v>2014</v>
      </c>
    </row>
    <row r="740" spans="1:2" x14ac:dyDescent="0.2">
      <c r="A740" s="6" t="s">
        <v>16</v>
      </c>
      <c r="B740" s="16">
        <f>YEAR(Sales_data[[#This Row],[Order Date]])</f>
        <v>2014</v>
      </c>
    </row>
    <row r="741" spans="1:2" x14ac:dyDescent="0.2">
      <c r="A741" s="6" t="s">
        <v>21</v>
      </c>
      <c r="B741" s="16">
        <f>YEAR(Sales_data[[#This Row],[Order Date]])</f>
        <v>2014</v>
      </c>
    </row>
    <row r="742" spans="1:2" x14ac:dyDescent="0.2">
      <c r="A742" s="6" t="s">
        <v>9</v>
      </c>
      <c r="B742" s="16">
        <f>YEAR(Sales_data[[#This Row],[Order Date]])</f>
        <v>2014</v>
      </c>
    </row>
    <row r="743" spans="1:2" x14ac:dyDescent="0.2">
      <c r="A743" s="6" t="s">
        <v>11</v>
      </c>
      <c r="B743" s="16">
        <f>YEAR(Sales_data[[#This Row],[Order Date]])</f>
        <v>2014</v>
      </c>
    </row>
    <row r="744" spans="1:2" x14ac:dyDescent="0.2">
      <c r="A744" s="6" t="s">
        <v>12</v>
      </c>
      <c r="B744" s="16">
        <f>YEAR(Sales_data[[#This Row],[Order Date]])</f>
        <v>2014</v>
      </c>
    </row>
    <row r="745" spans="1:2" x14ac:dyDescent="0.2">
      <c r="A745" s="6" t="s">
        <v>18</v>
      </c>
      <c r="B745" s="16">
        <f>YEAR(Sales_data[[#This Row],[Order Date]])</f>
        <v>2014</v>
      </c>
    </row>
    <row r="746" spans="1:2" x14ac:dyDescent="0.2">
      <c r="A746" s="6" t="s">
        <v>11</v>
      </c>
      <c r="B746" s="16">
        <f>YEAR(Sales_data[[#This Row],[Order Date]])</f>
        <v>2014</v>
      </c>
    </row>
    <row r="747" spans="1:2" x14ac:dyDescent="0.2">
      <c r="A747" s="6" t="s">
        <v>17</v>
      </c>
      <c r="B747" s="16">
        <f>YEAR(Sales_data[[#This Row],[Order Date]])</f>
        <v>2014</v>
      </c>
    </row>
    <row r="748" spans="1:2" x14ac:dyDescent="0.2">
      <c r="A748" s="6" t="s">
        <v>20</v>
      </c>
      <c r="B748" s="16">
        <f>YEAR(Sales_data[[#This Row],[Order Date]])</f>
        <v>2014</v>
      </c>
    </row>
    <row r="749" spans="1:2" x14ac:dyDescent="0.2">
      <c r="A749" s="6" t="s">
        <v>13</v>
      </c>
      <c r="B749" s="16">
        <f>YEAR(Sales_data[[#This Row],[Order Date]])</f>
        <v>2014</v>
      </c>
    </row>
    <row r="750" spans="1:2" x14ac:dyDescent="0.2">
      <c r="A750" s="6" t="s">
        <v>14</v>
      </c>
      <c r="B750" s="16">
        <f>YEAR(Sales_data[[#This Row],[Order Date]])</f>
        <v>2014</v>
      </c>
    </row>
    <row r="751" spans="1:2" x14ac:dyDescent="0.2">
      <c r="A751" s="6" t="s">
        <v>21</v>
      </c>
      <c r="B751" s="16">
        <f>YEAR(Sales_data[[#This Row],[Order Date]])</f>
        <v>2014</v>
      </c>
    </row>
    <row r="752" spans="1:2" x14ac:dyDescent="0.2">
      <c r="A752" s="6" t="s">
        <v>19</v>
      </c>
      <c r="B752" s="16">
        <f>YEAR(Sales_data[[#This Row],[Order Date]])</f>
        <v>2015</v>
      </c>
    </row>
    <row r="753" spans="1:2" x14ac:dyDescent="0.2">
      <c r="A753" s="6" t="s">
        <v>11</v>
      </c>
      <c r="B753" s="16">
        <f>YEAR(Sales_data[[#This Row],[Order Date]])</f>
        <v>2015</v>
      </c>
    </row>
    <row r="754" spans="1:2" x14ac:dyDescent="0.2">
      <c r="A754" s="6" t="s">
        <v>15</v>
      </c>
      <c r="B754" s="16">
        <f>YEAR(Sales_data[[#This Row],[Order Date]])</f>
        <v>2015</v>
      </c>
    </row>
    <row r="755" spans="1:2" x14ac:dyDescent="0.2">
      <c r="A755" s="6" t="s">
        <v>18</v>
      </c>
      <c r="B755" s="16">
        <f>YEAR(Sales_data[[#This Row],[Order Date]])</f>
        <v>2015</v>
      </c>
    </row>
    <row r="756" spans="1:2" x14ac:dyDescent="0.2">
      <c r="A756" s="6" t="s">
        <v>11</v>
      </c>
      <c r="B756" s="16">
        <f>YEAR(Sales_data[[#This Row],[Order Date]])</f>
        <v>2015</v>
      </c>
    </row>
    <row r="757" spans="1:2" x14ac:dyDescent="0.2">
      <c r="A757" s="6" t="s">
        <v>11</v>
      </c>
      <c r="B757" s="16">
        <f>YEAR(Sales_data[[#This Row],[Order Date]])</f>
        <v>2015</v>
      </c>
    </row>
    <row r="758" spans="1:2" x14ac:dyDescent="0.2">
      <c r="A758" s="6" t="s">
        <v>12</v>
      </c>
      <c r="B758" s="16">
        <f>YEAR(Sales_data[[#This Row],[Order Date]])</f>
        <v>2015</v>
      </c>
    </row>
    <row r="759" spans="1:2" x14ac:dyDescent="0.2">
      <c r="A759" s="6" t="s">
        <v>21</v>
      </c>
      <c r="B759" s="16">
        <f>YEAR(Sales_data[[#This Row],[Order Date]])</f>
        <v>2015</v>
      </c>
    </row>
    <row r="760" spans="1:2" x14ac:dyDescent="0.2">
      <c r="A760" s="6" t="s">
        <v>15</v>
      </c>
      <c r="B760" s="16">
        <f>YEAR(Sales_data[[#This Row],[Order Date]])</f>
        <v>2015</v>
      </c>
    </row>
    <row r="761" spans="1:2" x14ac:dyDescent="0.2">
      <c r="A761" s="6" t="s">
        <v>13</v>
      </c>
      <c r="B761" s="16">
        <f>YEAR(Sales_data[[#This Row],[Order Date]])</f>
        <v>2015</v>
      </c>
    </row>
    <row r="762" spans="1:2" x14ac:dyDescent="0.2">
      <c r="A762" s="6" t="s">
        <v>12</v>
      </c>
      <c r="B762" s="16">
        <f>YEAR(Sales_data[[#This Row],[Order Date]])</f>
        <v>2015</v>
      </c>
    </row>
    <row r="763" spans="1:2" x14ac:dyDescent="0.2">
      <c r="A763" s="6" t="s">
        <v>10</v>
      </c>
      <c r="B763" s="16">
        <f>YEAR(Sales_data[[#This Row],[Order Date]])</f>
        <v>2015</v>
      </c>
    </row>
    <row r="764" spans="1:2" x14ac:dyDescent="0.2">
      <c r="A764" s="6" t="s">
        <v>15</v>
      </c>
      <c r="B764" s="16">
        <f>YEAR(Sales_data[[#This Row],[Order Date]])</f>
        <v>2015</v>
      </c>
    </row>
    <row r="765" spans="1:2" x14ac:dyDescent="0.2">
      <c r="A765" s="6" t="s">
        <v>14</v>
      </c>
      <c r="B765" s="16">
        <f>YEAR(Sales_data[[#This Row],[Order Date]])</f>
        <v>2015</v>
      </c>
    </row>
    <row r="766" spans="1:2" x14ac:dyDescent="0.2">
      <c r="A766" s="6" t="s">
        <v>10</v>
      </c>
      <c r="B766" s="16">
        <f>YEAR(Sales_data[[#This Row],[Order Date]])</f>
        <v>2015</v>
      </c>
    </row>
    <row r="767" spans="1:2" x14ac:dyDescent="0.2">
      <c r="A767" s="6" t="s">
        <v>13</v>
      </c>
      <c r="B767" s="16">
        <f>YEAR(Sales_data[[#This Row],[Order Date]])</f>
        <v>2015</v>
      </c>
    </row>
    <row r="768" spans="1:2" x14ac:dyDescent="0.2">
      <c r="A768" s="6" t="s">
        <v>20</v>
      </c>
      <c r="B768" s="16">
        <f>YEAR(Sales_data[[#This Row],[Order Date]])</f>
        <v>2015</v>
      </c>
    </row>
    <row r="769" spans="1:2" x14ac:dyDescent="0.2">
      <c r="A769" s="6" t="s">
        <v>18</v>
      </c>
      <c r="B769" s="16">
        <f>YEAR(Sales_data[[#This Row],[Order Date]])</f>
        <v>2015</v>
      </c>
    </row>
    <row r="770" spans="1:2" x14ac:dyDescent="0.2">
      <c r="A770" s="6" t="s">
        <v>18</v>
      </c>
      <c r="B770" s="16">
        <f>YEAR(Sales_data[[#This Row],[Order Date]])</f>
        <v>2015</v>
      </c>
    </row>
    <row r="771" spans="1:2" x14ac:dyDescent="0.2">
      <c r="A771" s="6" t="s">
        <v>9</v>
      </c>
      <c r="B771" s="16">
        <f>YEAR(Sales_data[[#This Row],[Order Date]])</f>
        <v>2015</v>
      </c>
    </row>
    <row r="772" spans="1:2" x14ac:dyDescent="0.2">
      <c r="A772" s="6" t="s">
        <v>13</v>
      </c>
      <c r="B772" s="16">
        <f>YEAR(Sales_data[[#This Row],[Order Date]])</f>
        <v>2015</v>
      </c>
    </row>
    <row r="773" spans="1:2" x14ac:dyDescent="0.2">
      <c r="A773" s="6" t="s">
        <v>9</v>
      </c>
      <c r="B773" s="16">
        <f>YEAR(Sales_data[[#This Row],[Order Date]])</f>
        <v>2015</v>
      </c>
    </row>
    <row r="774" spans="1:2" x14ac:dyDescent="0.2">
      <c r="A774" s="6" t="s">
        <v>14</v>
      </c>
      <c r="B774" s="16">
        <f>YEAR(Sales_data[[#This Row],[Order Date]])</f>
        <v>2015</v>
      </c>
    </row>
    <row r="775" spans="1:2" x14ac:dyDescent="0.2">
      <c r="A775" s="6" t="s">
        <v>16</v>
      </c>
      <c r="B775" s="16">
        <f>YEAR(Sales_data[[#This Row],[Order Date]])</f>
        <v>2015</v>
      </c>
    </row>
    <row r="776" spans="1:2" x14ac:dyDescent="0.2">
      <c r="A776" s="6" t="s">
        <v>9</v>
      </c>
      <c r="B776" s="16">
        <f>YEAR(Sales_data[[#This Row],[Order Date]])</f>
        <v>2015</v>
      </c>
    </row>
    <row r="777" spans="1:2" x14ac:dyDescent="0.2">
      <c r="A777" s="6" t="s">
        <v>10</v>
      </c>
      <c r="B777" s="16">
        <f>YEAR(Sales_data[[#This Row],[Order Date]])</f>
        <v>2015</v>
      </c>
    </row>
    <row r="778" spans="1:2" x14ac:dyDescent="0.2">
      <c r="A778" s="6" t="s">
        <v>14</v>
      </c>
      <c r="B778" s="16">
        <f>YEAR(Sales_data[[#This Row],[Order Date]])</f>
        <v>2015</v>
      </c>
    </row>
    <row r="779" spans="1:2" x14ac:dyDescent="0.2">
      <c r="A779" s="6" t="s">
        <v>19</v>
      </c>
      <c r="B779" s="16">
        <f>YEAR(Sales_data[[#This Row],[Order Date]])</f>
        <v>2015</v>
      </c>
    </row>
    <row r="780" spans="1:2" x14ac:dyDescent="0.2">
      <c r="A780" s="6" t="s">
        <v>19</v>
      </c>
      <c r="B780" s="16">
        <f>YEAR(Sales_data[[#This Row],[Order Date]])</f>
        <v>2015</v>
      </c>
    </row>
    <row r="781" spans="1:2" x14ac:dyDescent="0.2">
      <c r="A781" s="6" t="s">
        <v>13</v>
      </c>
      <c r="B781" s="16">
        <f>YEAR(Sales_data[[#This Row],[Order Date]])</f>
        <v>2015</v>
      </c>
    </row>
    <row r="782" spans="1:2" x14ac:dyDescent="0.2">
      <c r="A782" s="6" t="s">
        <v>13</v>
      </c>
      <c r="B782" s="16">
        <f>YEAR(Sales_data[[#This Row],[Order Date]])</f>
        <v>2015</v>
      </c>
    </row>
    <row r="783" spans="1:2" x14ac:dyDescent="0.2">
      <c r="A783" s="6" t="s">
        <v>16</v>
      </c>
      <c r="B783" s="16">
        <f>YEAR(Sales_data[[#This Row],[Order Date]])</f>
        <v>2015</v>
      </c>
    </row>
    <row r="784" spans="1:2" x14ac:dyDescent="0.2">
      <c r="A784" s="6" t="s">
        <v>11</v>
      </c>
      <c r="B784" s="16">
        <f>YEAR(Sales_data[[#This Row],[Order Date]])</f>
        <v>2015</v>
      </c>
    </row>
    <row r="785" spans="1:2" x14ac:dyDescent="0.2">
      <c r="A785" s="6" t="s">
        <v>15</v>
      </c>
      <c r="B785" s="16">
        <f>YEAR(Sales_data[[#This Row],[Order Date]])</f>
        <v>2015</v>
      </c>
    </row>
    <row r="786" spans="1:2" x14ac:dyDescent="0.2">
      <c r="A786" s="6" t="s">
        <v>11</v>
      </c>
      <c r="B786" s="16">
        <f>YEAR(Sales_data[[#This Row],[Order Date]])</f>
        <v>2015</v>
      </c>
    </row>
    <row r="787" spans="1:2" x14ac:dyDescent="0.2">
      <c r="A787" s="6" t="s">
        <v>15</v>
      </c>
      <c r="B787" s="16">
        <f>YEAR(Sales_data[[#This Row],[Order Date]])</f>
        <v>2015</v>
      </c>
    </row>
    <row r="788" spans="1:2" x14ac:dyDescent="0.2">
      <c r="A788" s="6" t="s">
        <v>9</v>
      </c>
      <c r="B788" s="16">
        <f>YEAR(Sales_data[[#This Row],[Order Date]])</f>
        <v>2015</v>
      </c>
    </row>
    <row r="789" spans="1:2" x14ac:dyDescent="0.2">
      <c r="A789" s="6" t="s">
        <v>14</v>
      </c>
      <c r="B789" s="16">
        <f>YEAR(Sales_data[[#This Row],[Order Date]])</f>
        <v>2015</v>
      </c>
    </row>
    <row r="790" spans="1:2" x14ac:dyDescent="0.2">
      <c r="A790" s="6" t="s">
        <v>15</v>
      </c>
      <c r="B790" s="16">
        <f>YEAR(Sales_data[[#This Row],[Order Date]])</f>
        <v>2015</v>
      </c>
    </row>
    <row r="791" spans="1:2" x14ac:dyDescent="0.2">
      <c r="A791" s="6" t="s">
        <v>9</v>
      </c>
      <c r="B791" s="16">
        <f>YEAR(Sales_data[[#This Row],[Order Date]])</f>
        <v>2015</v>
      </c>
    </row>
    <row r="792" spans="1:2" x14ac:dyDescent="0.2">
      <c r="A792" s="6" t="s">
        <v>19</v>
      </c>
      <c r="B792" s="16">
        <f>YEAR(Sales_data[[#This Row],[Order Date]])</f>
        <v>2015</v>
      </c>
    </row>
    <row r="793" spans="1:2" x14ac:dyDescent="0.2">
      <c r="A793" s="6" t="s">
        <v>11</v>
      </c>
      <c r="B793" s="16">
        <f>YEAR(Sales_data[[#This Row],[Order Date]])</f>
        <v>2015</v>
      </c>
    </row>
    <row r="794" spans="1:2" x14ac:dyDescent="0.2">
      <c r="A794" s="6" t="s">
        <v>20</v>
      </c>
      <c r="B794" s="16">
        <f>YEAR(Sales_data[[#This Row],[Order Date]])</f>
        <v>2015</v>
      </c>
    </row>
    <row r="795" spans="1:2" x14ac:dyDescent="0.2">
      <c r="A795" s="6" t="s">
        <v>9</v>
      </c>
      <c r="B795" s="16">
        <f>YEAR(Sales_data[[#This Row],[Order Date]])</f>
        <v>2015</v>
      </c>
    </row>
    <row r="796" spans="1:2" x14ac:dyDescent="0.2">
      <c r="A796" s="6" t="s">
        <v>13</v>
      </c>
      <c r="B796" s="16">
        <f>YEAR(Sales_data[[#This Row],[Order Date]])</f>
        <v>2015</v>
      </c>
    </row>
    <row r="797" spans="1:2" x14ac:dyDescent="0.2">
      <c r="A797" s="6" t="s">
        <v>19</v>
      </c>
      <c r="B797" s="16">
        <f>YEAR(Sales_data[[#This Row],[Order Date]])</f>
        <v>2015</v>
      </c>
    </row>
    <row r="798" spans="1:2" x14ac:dyDescent="0.2">
      <c r="A798" s="6" t="s">
        <v>11</v>
      </c>
      <c r="B798" s="16">
        <f>YEAR(Sales_data[[#This Row],[Order Date]])</f>
        <v>2015</v>
      </c>
    </row>
    <row r="799" spans="1:2" x14ac:dyDescent="0.2">
      <c r="A799" s="6" t="s">
        <v>17</v>
      </c>
      <c r="B799" s="16">
        <f>YEAR(Sales_data[[#This Row],[Order Date]])</f>
        <v>2015</v>
      </c>
    </row>
    <row r="800" spans="1:2" x14ac:dyDescent="0.2">
      <c r="A800" s="6" t="s">
        <v>19</v>
      </c>
      <c r="B800" s="16">
        <f>YEAR(Sales_data[[#This Row],[Order Date]])</f>
        <v>2015</v>
      </c>
    </row>
    <row r="801" spans="1:2" x14ac:dyDescent="0.2">
      <c r="A801" s="6" t="s">
        <v>10</v>
      </c>
      <c r="B801" s="16">
        <f>YEAR(Sales_data[[#This Row],[Order Date]])</f>
        <v>2015</v>
      </c>
    </row>
    <row r="802" spans="1:2" x14ac:dyDescent="0.2">
      <c r="A802" s="6" t="s">
        <v>21</v>
      </c>
      <c r="B802" s="16">
        <f>YEAR(Sales_data[[#This Row],[Order Date]])</f>
        <v>2015</v>
      </c>
    </row>
    <row r="803" spans="1:2" x14ac:dyDescent="0.2">
      <c r="A803" s="6" t="s">
        <v>20</v>
      </c>
      <c r="B803" s="16">
        <f>YEAR(Sales_data[[#This Row],[Order Date]])</f>
        <v>2015</v>
      </c>
    </row>
    <row r="804" spans="1:2" x14ac:dyDescent="0.2">
      <c r="A804" s="6" t="s">
        <v>9</v>
      </c>
      <c r="B804" s="16">
        <f>YEAR(Sales_data[[#This Row],[Order Date]])</f>
        <v>2015</v>
      </c>
    </row>
    <row r="805" spans="1:2" x14ac:dyDescent="0.2">
      <c r="A805" s="6" t="s">
        <v>13</v>
      </c>
      <c r="B805" s="16">
        <f>YEAR(Sales_data[[#This Row],[Order Date]])</f>
        <v>2015</v>
      </c>
    </row>
    <row r="806" spans="1:2" x14ac:dyDescent="0.2">
      <c r="A806" s="6" t="s">
        <v>15</v>
      </c>
      <c r="B806" s="16">
        <f>YEAR(Sales_data[[#This Row],[Order Date]])</f>
        <v>2015</v>
      </c>
    </row>
    <row r="807" spans="1:2" x14ac:dyDescent="0.2">
      <c r="A807" s="6" t="s">
        <v>9</v>
      </c>
      <c r="B807" s="16">
        <f>YEAR(Sales_data[[#This Row],[Order Date]])</f>
        <v>2015</v>
      </c>
    </row>
    <row r="808" spans="1:2" x14ac:dyDescent="0.2">
      <c r="A808" s="6" t="s">
        <v>11</v>
      </c>
      <c r="B808" s="16">
        <f>YEAR(Sales_data[[#This Row],[Order Date]])</f>
        <v>2015</v>
      </c>
    </row>
    <row r="809" spans="1:2" x14ac:dyDescent="0.2">
      <c r="A809" s="6" t="s">
        <v>13</v>
      </c>
      <c r="B809" s="16">
        <f>YEAR(Sales_data[[#This Row],[Order Date]])</f>
        <v>2015</v>
      </c>
    </row>
    <row r="810" spans="1:2" x14ac:dyDescent="0.2">
      <c r="A810" s="6" t="s">
        <v>13</v>
      </c>
      <c r="B810" s="16">
        <f>YEAR(Sales_data[[#This Row],[Order Date]])</f>
        <v>2015</v>
      </c>
    </row>
    <row r="811" spans="1:2" x14ac:dyDescent="0.2">
      <c r="A811" s="6" t="s">
        <v>18</v>
      </c>
      <c r="B811" s="16">
        <f>YEAR(Sales_data[[#This Row],[Order Date]])</f>
        <v>2015</v>
      </c>
    </row>
    <row r="812" spans="1:2" x14ac:dyDescent="0.2">
      <c r="A812" s="6" t="s">
        <v>16</v>
      </c>
      <c r="B812" s="16">
        <f>YEAR(Sales_data[[#This Row],[Order Date]])</f>
        <v>2015</v>
      </c>
    </row>
    <row r="813" spans="1:2" x14ac:dyDescent="0.2">
      <c r="A813" s="6" t="s">
        <v>21</v>
      </c>
      <c r="B813" s="16">
        <f>YEAR(Sales_data[[#This Row],[Order Date]])</f>
        <v>2015</v>
      </c>
    </row>
    <row r="814" spans="1:2" x14ac:dyDescent="0.2">
      <c r="A814" s="6" t="s">
        <v>10</v>
      </c>
      <c r="B814" s="16">
        <f>YEAR(Sales_data[[#This Row],[Order Date]])</f>
        <v>2015</v>
      </c>
    </row>
    <row r="815" spans="1:2" x14ac:dyDescent="0.2">
      <c r="A815" s="6" t="s">
        <v>20</v>
      </c>
      <c r="B815" s="16">
        <f>YEAR(Sales_data[[#This Row],[Order Date]])</f>
        <v>2015</v>
      </c>
    </row>
    <row r="816" spans="1:2" x14ac:dyDescent="0.2">
      <c r="A816" s="6" t="s">
        <v>12</v>
      </c>
      <c r="B816" s="16">
        <f>YEAR(Sales_data[[#This Row],[Order Date]])</f>
        <v>2015</v>
      </c>
    </row>
    <row r="817" spans="1:2" x14ac:dyDescent="0.2">
      <c r="A817" s="6" t="s">
        <v>10</v>
      </c>
      <c r="B817" s="16">
        <f>YEAR(Sales_data[[#This Row],[Order Date]])</f>
        <v>2015</v>
      </c>
    </row>
    <row r="818" spans="1:2" x14ac:dyDescent="0.2">
      <c r="A818" s="6" t="s">
        <v>17</v>
      </c>
      <c r="B818" s="16">
        <f>YEAR(Sales_data[[#This Row],[Order Date]])</f>
        <v>2015</v>
      </c>
    </row>
    <row r="819" spans="1:2" x14ac:dyDescent="0.2">
      <c r="A819" s="6" t="s">
        <v>13</v>
      </c>
      <c r="B819" s="16">
        <f>YEAR(Sales_data[[#This Row],[Order Date]])</f>
        <v>2015</v>
      </c>
    </row>
    <row r="820" spans="1:2" x14ac:dyDescent="0.2">
      <c r="A820" s="6" t="s">
        <v>10</v>
      </c>
      <c r="B820" s="16">
        <f>YEAR(Sales_data[[#This Row],[Order Date]])</f>
        <v>2015</v>
      </c>
    </row>
    <row r="821" spans="1:2" x14ac:dyDescent="0.2">
      <c r="A821" s="6" t="s">
        <v>10</v>
      </c>
      <c r="B821" s="16">
        <f>YEAR(Sales_data[[#This Row],[Order Date]])</f>
        <v>2015</v>
      </c>
    </row>
    <row r="822" spans="1:2" x14ac:dyDescent="0.2">
      <c r="A822" s="6" t="s">
        <v>19</v>
      </c>
      <c r="B822" s="16">
        <f>YEAR(Sales_data[[#This Row],[Order Date]])</f>
        <v>2015</v>
      </c>
    </row>
    <row r="823" spans="1:2" x14ac:dyDescent="0.2">
      <c r="A823" s="6" t="s">
        <v>18</v>
      </c>
      <c r="B823" s="16">
        <f>YEAR(Sales_data[[#This Row],[Order Date]])</f>
        <v>2015</v>
      </c>
    </row>
    <row r="824" spans="1:2" x14ac:dyDescent="0.2">
      <c r="A824" s="6" t="s">
        <v>18</v>
      </c>
      <c r="B824" s="16">
        <f>YEAR(Sales_data[[#This Row],[Order Date]])</f>
        <v>2015</v>
      </c>
    </row>
    <row r="825" spans="1:2" x14ac:dyDescent="0.2">
      <c r="A825" s="6" t="s">
        <v>10</v>
      </c>
      <c r="B825" s="16">
        <f>YEAR(Sales_data[[#This Row],[Order Date]])</f>
        <v>2015</v>
      </c>
    </row>
    <row r="826" spans="1:2" x14ac:dyDescent="0.2">
      <c r="A826" s="6" t="s">
        <v>12</v>
      </c>
      <c r="B826" s="16">
        <f>YEAR(Sales_data[[#This Row],[Order Date]])</f>
        <v>2015</v>
      </c>
    </row>
    <row r="827" spans="1:2" x14ac:dyDescent="0.2">
      <c r="A827" s="6" t="s">
        <v>14</v>
      </c>
      <c r="B827" s="16">
        <f>YEAR(Sales_data[[#This Row],[Order Date]])</f>
        <v>2015</v>
      </c>
    </row>
    <row r="828" spans="1:2" x14ac:dyDescent="0.2">
      <c r="A828" s="6" t="s">
        <v>21</v>
      </c>
      <c r="B828" s="16">
        <f>YEAR(Sales_data[[#This Row],[Order Date]])</f>
        <v>2015</v>
      </c>
    </row>
    <row r="829" spans="1:2" x14ac:dyDescent="0.2">
      <c r="A829" s="6" t="s">
        <v>16</v>
      </c>
      <c r="B829" s="16">
        <f>YEAR(Sales_data[[#This Row],[Order Date]])</f>
        <v>2015</v>
      </c>
    </row>
    <row r="830" spans="1:2" x14ac:dyDescent="0.2">
      <c r="A830" s="6" t="s">
        <v>14</v>
      </c>
      <c r="B830" s="16">
        <f>YEAR(Sales_data[[#This Row],[Order Date]])</f>
        <v>2015</v>
      </c>
    </row>
    <row r="831" spans="1:2" x14ac:dyDescent="0.2">
      <c r="A831" s="6" t="s">
        <v>16</v>
      </c>
      <c r="B831" s="16">
        <f>YEAR(Sales_data[[#This Row],[Order Date]])</f>
        <v>2015</v>
      </c>
    </row>
    <row r="832" spans="1:2" x14ac:dyDescent="0.2">
      <c r="A832" s="6" t="s">
        <v>9</v>
      </c>
      <c r="B832" s="16">
        <f>YEAR(Sales_data[[#This Row],[Order Date]])</f>
        <v>2015</v>
      </c>
    </row>
    <row r="833" spans="1:2" x14ac:dyDescent="0.2">
      <c r="A833" s="6" t="s">
        <v>11</v>
      </c>
      <c r="B833" s="16">
        <f>YEAR(Sales_data[[#This Row],[Order Date]])</f>
        <v>2015</v>
      </c>
    </row>
    <row r="834" spans="1:2" x14ac:dyDescent="0.2">
      <c r="A834" s="6" t="s">
        <v>14</v>
      </c>
      <c r="B834" s="16">
        <f>YEAR(Sales_data[[#This Row],[Order Date]])</f>
        <v>2015</v>
      </c>
    </row>
    <row r="835" spans="1:2" x14ac:dyDescent="0.2">
      <c r="A835" s="6" t="s">
        <v>11</v>
      </c>
      <c r="B835" s="16">
        <f>YEAR(Sales_data[[#This Row],[Order Date]])</f>
        <v>2015</v>
      </c>
    </row>
    <row r="836" spans="1:2" x14ac:dyDescent="0.2">
      <c r="A836" s="6" t="s">
        <v>21</v>
      </c>
      <c r="B836" s="16">
        <f>YEAR(Sales_data[[#This Row],[Order Date]])</f>
        <v>2015</v>
      </c>
    </row>
    <row r="837" spans="1:2" x14ac:dyDescent="0.2">
      <c r="A837" s="6" t="s">
        <v>10</v>
      </c>
      <c r="B837" s="16">
        <f>YEAR(Sales_data[[#This Row],[Order Date]])</f>
        <v>2015</v>
      </c>
    </row>
    <row r="838" spans="1:2" x14ac:dyDescent="0.2">
      <c r="A838" s="6" t="s">
        <v>12</v>
      </c>
      <c r="B838" s="16">
        <f>YEAR(Sales_data[[#This Row],[Order Date]])</f>
        <v>2015</v>
      </c>
    </row>
    <row r="839" spans="1:2" x14ac:dyDescent="0.2">
      <c r="A839" s="6" t="s">
        <v>15</v>
      </c>
      <c r="B839" s="16">
        <f>YEAR(Sales_data[[#This Row],[Order Date]])</f>
        <v>2015</v>
      </c>
    </row>
    <row r="840" spans="1:2" x14ac:dyDescent="0.2">
      <c r="A840" s="6" t="s">
        <v>21</v>
      </c>
      <c r="B840" s="16">
        <f>YEAR(Sales_data[[#This Row],[Order Date]])</f>
        <v>2015</v>
      </c>
    </row>
    <row r="841" spans="1:2" x14ac:dyDescent="0.2">
      <c r="A841" s="6" t="s">
        <v>15</v>
      </c>
      <c r="B841" s="16">
        <f>YEAR(Sales_data[[#This Row],[Order Date]])</f>
        <v>2015</v>
      </c>
    </row>
    <row r="842" spans="1:2" x14ac:dyDescent="0.2">
      <c r="A842" s="6" t="s">
        <v>19</v>
      </c>
      <c r="B842" s="16">
        <f>YEAR(Sales_data[[#This Row],[Order Date]])</f>
        <v>2015</v>
      </c>
    </row>
    <row r="843" spans="1:2" x14ac:dyDescent="0.2">
      <c r="A843" s="6" t="s">
        <v>17</v>
      </c>
      <c r="B843" s="16">
        <f>YEAR(Sales_data[[#This Row],[Order Date]])</f>
        <v>2015</v>
      </c>
    </row>
    <row r="844" spans="1:2" x14ac:dyDescent="0.2">
      <c r="A844" s="6" t="s">
        <v>16</v>
      </c>
      <c r="B844" s="16">
        <f>YEAR(Sales_data[[#This Row],[Order Date]])</f>
        <v>2015</v>
      </c>
    </row>
    <row r="845" spans="1:2" x14ac:dyDescent="0.2">
      <c r="A845" s="6" t="s">
        <v>12</v>
      </c>
      <c r="B845" s="16">
        <f>YEAR(Sales_data[[#This Row],[Order Date]])</f>
        <v>2015</v>
      </c>
    </row>
    <row r="846" spans="1:2" x14ac:dyDescent="0.2">
      <c r="A846" s="6" t="s">
        <v>19</v>
      </c>
      <c r="B846" s="16">
        <f>YEAR(Sales_data[[#This Row],[Order Date]])</f>
        <v>2015</v>
      </c>
    </row>
    <row r="847" spans="1:2" x14ac:dyDescent="0.2">
      <c r="A847" s="6" t="s">
        <v>20</v>
      </c>
      <c r="B847" s="16">
        <f>YEAR(Sales_data[[#This Row],[Order Date]])</f>
        <v>2015</v>
      </c>
    </row>
    <row r="848" spans="1:2" x14ac:dyDescent="0.2">
      <c r="A848" s="6" t="s">
        <v>14</v>
      </c>
      <c r="B848" s="16">
        <f>YEAR(Sales_data[[#This Row],[Order Date]])</f>
        <v>2015</v>
      </c>
    </row>
    <row r="849" spans="1:2" x14ac:dyDescent="0.2">
      <c r="A849" s="6" t="s">
        <v>9</v>
      </c>
      <c r="B849" s="16">
        <f>YEAR(Sales_data[[#This Row],[Order Date]])</f>
        <v>2015</v>
      </c>
    </row>
    <row r="850" spans="1:2" x14ac:dyDescent="0.2">
      <c r="A850" s="6" t="s">
        <v>19</v>
      </c>
      <c r="B850" s="16">
        <f>YEAR(Sales_data[[#This Row],[Order Date]])</f>
        <v>2015</v>
      </c>
    </row>
    <row r="851" spans="1:2" x14ac:dyDescent="0.2">
      <c r="A851" s="6" t="s">
        <v>11</v>
      </c>
      <c r="B851" s="16">
        <f>YEAR(Sales_data[[#This Row],[Order Date]])</f>
        <v>2015</v>
      </c>
    </row>
    <row r="852" spans="1:2" x14ac:dyDescent="0.2">
      <c r="A852" s="6" t="s">
        <v>10</v>
      </c>
      <c r="B852" s="16">
        <f>YEAR(Sales_data[[#This Row],[Order Date]])</f>
        <v>2015</v>
      </c>
    </row>
    <row r="853" spans="1:2" x14ac:dyDescent="0.2">
      <c r="A853" s="6" t="s">
        <v>16</v>
      </c>
      <c r="B853" s="16">
        <f>YEAR(Sales_data[[#This Row],[Order Date]])</f>
        <v>2015</v>
      </c>
    </row>
    <row r="854" spans="1:2" x14ac:dyDescent="0.2">
      <c r="A854" s="6" t="s">
        <v>19</v>
      </c>
      <c r="B854" s="16">
        <f>YEAR(Sales_data[[#This Row],[Order Date]])</f>
        <v>2015</v>
      </c>
    </row>
    <row r="855" spans="1:2" x14ac:dyDescent="0.2">
      <c r="A855" s="6" t="s">
        <v>16</v>
      </c>
      <c r="B855" s="16">
        <f>YEAR(Sales_data[[#This Row],[Order Date]])</f>
        <v>2015</v>
      </c>
    </row>
    <row r="856" spans="1:2" x14ac:dyDescent="0.2">
      <c r="A856" s="6" t="s">
        <v>16</v>
      </c>
      <c r="B856" s="16">
        <f>YEAR(Sales_data[[#This Row],[Order Date]])</f>
        <v>2015</v>
      </c>
    </row>
    <row r="857" spans="1:2" x14ac:dyDescent="0.2">
      <c r="A857" s="6" t="s">
        <v>14</v>
      </c>
      <c r="B857" s="16">
        <f>YEAR(Sales_data[[#This Row],[Order Date]])</f>
        <v>2015</v>
      </c>
    </row>
    <row r="858" spans="1:2" x14ac:dyDescent="0.2">
      <c r="A858" s="6" t="s">
        <v>16</v>
      </c>
      <c r="B858" s="16">
        <f>YEAR(Sales_data[[#This Row],[Order Date]])</f>
        <v>2015</v>
      </c>
    </row>
    <row r="859" spans="1:2" x14ac:dyDescent="0.2">
      <c r="A859" s="6" t="s">
        <v>9</v>
      </c>
      <c r="B859" s="16">
        <f>YEAR(Sales_data[[#This Row],[Order Date]])</f>
        <v>2015</v>
      </c>
    </row>
    <row r="860" spans="1:2" x14ac:dyDescent="0.2">
      <c r="A860" s="6" t="s">
        <v>20</v>
      </c>
      <c r="B860" s="16">
        <f>YEAR(Sales_data[[#This Row],[Order Date]])</f>
        <v>2015</v>
      </c>
    </row>
    <row r="861" spans="1:2" x14ac:dyDescent="0.2">
      <c r="A861" s="6" t="s">
        <v>10</v>
      </c>
      <c r="B861" s="16">
        <f>YEAR(Sales_data[[#This Row],[Order Date]])</f>
        <v>2015</v>
      </c>
    </row>
    <row r="862" spans="1:2" x14ac:dyDescent="0.2">
      <c r="A862" s="6" t="s">
        <v>15</v>
      </c>
      <c r="B862" s="16">
        <f>YEAR(Sales_data[[#This Row],[Order Date]])</f>
        <v>2015</v>
      </c>
    </row>
    <row r="863" spans="1:2" x14ac:dyDescent="0.2">
      <c r="A863" s="6" t="s">
        <v>12</v>
      </c>
      <c r="B863" s="16">
        <f>YEAR(Sales_data[[#This Row],[Order Date]])</f>
        <v>2015</v>
      </c>
    </row>
    <row r="864" spans="1:2" x14ac:dyDescent="0.2">
      <c r="A864" s="6" t="s">
        <v>20</v>
      </c>
      <c r="B864" s="16">
        <f>YEAR(Sales_data[[#This Row],[Order Date]])</f>
        <v>2015</v>
      </c>
    </row>
    <row r="865" spans="1:2" x14ac:dyDescent="0.2">
      <c r="A865" s="6" t="s">
        <v>18</v>
      </c>
      <c r="B865" s="16">
        <f>YEAR(Sales_data[[#This Row],[Order Date]])</f>
        <v>2015</v>
      </c>
    </row>
    <row r="866" spans="1:2" x14ac:dyDescent="0.2">
      <c r="A866" s="6" t="s">
        <v>17</v>
      </c>
      <c r="B866" s="16">
        <f>YEAR(Sales_data[[#This Row],[Order Date]])</f>
        <v>2015</v>
      </c>
    </row>
    <row r="867" spans="1:2" x14ac:dyDescent="0.2">
      <c r="A867" s="6" t="s">
        <v>10</v>
      </c>
      <c r="B867" s="16">
        <f>YEAR(Sales_data[[#This Row],[Order Date]])</f>
        <v>2015</v>
      </c>
    </row>
    <row r="868" spans="1:2" x14ac:dyDescent="0.2">
      <c r="A868" s="6" t="s">
        <v>20</v>
      </c>
      <c r="B868" s="16">
        <f>YEAR(Sales_data[[#This Row],[Order Date]])</f>
        <v>2015</v>
      </c>
    </row>
    <row r="869" spans="1:2" x14ac:dyDescent="0.2">
      <c r="A869" s="6" t="s">
        <v>12</v>
      </c>
      <c r="B869" s="16">
        <f>YEAR(Sales_data[[#This Row],[Order Date]])</f>
        <v>2015</v>
      </c>
    </row>
    <row r="870" spans="1:2" x14ac:dyDescent="0.2">
      <c r="A870" s="6" t="s">
        <v>13</v>
      </c>
      <c r="B870" s="16">
        <f>YEAR(Sales_data[[#This Row],[Order Date]])</f>
        <v>2015</v>
      </c>
    </row>
    <row r="871" spans="1:2" x14ac:dyDescent="0.2">
      <c r="A871" s="6" t="s">
        <v>15</v>
      </c>
      <c r="B871" s="16">
        <f>YEAR(Sales_data[[#This Row],[Order Date]])</f>
        <v>2015</v>
      </c>
    </row>
    <row r="872" spans="1:2" x14ac:dyDescent="0.2">
      <c r="A872" s="6" t="s">
        <v>13</v>
      </c>
      <c r="B872" s="16">
        <f>YEAR(Sales_data[[#This Row],[Order Date]])</f>
        <v>2015</v>
      </c>
    </row>
    <row r="873" spans="1:2" x14ac:dyDescent="0.2">
      <c r="A873" s="6" t="s">
        <v>13</v>
      </c>
      <c r="B873" s="16">
        <f>YEAR(Sales_data[[#This Row],[Order Date]])</f>
        <v>2015</v>
      </c>
    </row>
    <row r="874" spans="1:2" x14ac:dyDescent="0.2">
      <c r="A874" s="6" t="s">
        <v>14</v>
      </c>
      <c r="B874" s="16">
        <f>YEAR(Sales_data[[#This Row],[Order Date]])</f>
        <v>2015</v>
      </c>
    </row>
    <row r="875" spans="1:2" x14ac:dyDescent="0.2">
      <c r="A875" s="6" t="s">
        <v>17</v>
      </c>
      <c r="B875" s="16">
        <f>YEAR(Sales_data[[#This Row],[Order Date]])</f>
        <v>2015</v>
      </c>
    </row>
    <row r="876" spans="1:2" x14ac:dyDescent="0.2">
      <c r="A876" s="6" t="s">
        <v>14</v>
      </c>
      <c r="B876" s="16">
        <f>YEAR(Sales_data[[#This Row],[Order Date]])</f>
        <v>2015</v>
      </c>
    </row>
    <row r="877" spans="1:2" x14ac:dyDescent="0.2">
      <c r="A877" s="6" t="s">
        <v>9</v>
      </c>
      <c r="B877" s="16">
        <f>YEAR(Sales_data[[#This Row],[Order Date]])</f>
        <v>2015</v>
      </c>
    </row>
    <row r="878" spans="1:2" x14ac:dyDescent="0.2">
      <c r="A878" s="6" t="s">
        <v>9</v>
      </c>
      <c r="B878" s="16">
        <f>YEAR(Sales_data[[#This Row],[Order Date]])</f>
        <v>2015</v>
      </c>
    </row>
    <row r="879" spans="1:2" x14ac:dyDescent="0.2">
      <c r="A879" s="6" t="s">
        <v>16</v>
      </c>
      <c r="B879" s="16">
        <f>YEAR(Sales_data[[#This Row],[Order Date]])</f>
        <v>2015</v>
      </c>
    </row>
    <row r="880" spans="1:2" x14ac:dyDescent="0.2">
      <c r="A880" s="6" t="s">
        <v>16</v>
      </c>
      <c r="B880" s="16">
        <f>YEAR(Sales_data[[#This Row],[Order Date]])</f>
        <v>2015</v>
      </c>
    </row>
    <row r="881" spans="1:2" x14ac:dyDescent="0.2">
      <c r="A881" s="6" t="s">
        <v>18</v>
      </c>
      <c r="B881" s="16">
        <f>YEAR(Sales_data[[#This Row],[Order Date]])</f>
        <v>2015</v>
      </c>
    </row>
    <row r="882" spans="1:2" x14ac:dyDescent="0.2">
      <c r="A882" s="6" t="s">
        <v>9</v>
      </c>
      <c r="B882" s="16">
        <f>YEAR(Sales_data[[#This Row],[Order Date]])</f>
        <v>2015</v>
      </c>
    </row>
    <row r="883" spans="1:2" x14ac:dyDescent="0.2">
      <c r="A883" s="6" t="s">
        <v>9</v>
      </c>
      <c r="B883" s="16">
        <f>YEAR(Sales_data[[#This Row],[Order Date]])</f>
        <v>2015</v>
      </c>
    </row>
    <row r="884" spans="1:2" x14ac:dyDescent="0.2">
      <c r="A884" s="6" t="s">
        <v>11</v>
      </c>
      <c r="B884" s="16">
        <f>YEAR(Sales_data[[#This Row],[Order Date]])</f>
        <v>2015</v>
      </c>
    </row>
    <row r="885" spans="1:2" x14ac:dyDescent="0.2">
      <c r="A885" s="6" t="s">
        <v>18</v>
      </c>
      <c r="B885" s="16">
        <f>YEAR(Sales_data[[#This Row],[Order Date]])</f>
        <v>2015</v>
      </c>
    </row>
    <row r="886" spans="1:2" x14ac:dyDescent="0.2">
      <c r="A886" s="6" t="s">
        <v>14</v>
      </c>
      <c r="B886" s="16">
        <f>YEAR(Sales_data[[#This Row],[Order Date]])</f>
        <v>2015</v>
      </c>
    </row>
    <row r="887" spans="1:2" x14ac:dyDescent="0.2">
      <c r="A887" s="6" t="s">
        <v>20</v>
      </c>
      <c r="B887" s="16">
        <f>YEAR(Sales_data[[#This Row],[Order Date]])</f>
        <v>2015</v>
      </c>
    </row>
    <row r="888" spans="1:2" x14ac:dyDescent="0.2">
      <c r="A888" s="6" t="s">
        <v>16</v>
      </c>
      <c r="B888" s="16">
        <f>YEAR(Sales_data[[#This Row],[Order Date]])</f>
        <v>2015</v>
      </c>
    </row>
    <row r="889" spans="1:2" x14ac:dyDescent="0.2">
      <c r="A889" s="6" t="s">
        <v>9</v>
      </c>
      <c r="B889" s="16">
        <f>YEAR(Sales_data[[#This Row],[Order Date]])</f>
        <v>2015</v>
      </c>
    </row>
    <row r="890" spans="1:2" x14ac:dyDescent="0.2">
      <c r="A890" s="6" t="s">
        <v>20</v>
      </c>
      <c r="B890" s="16">
        <f>YEAR(Sales_data[[#This Row],[Order Date]])</f>
        <v>2015</v>
      </c>
    </row>
    <row r="891" spans="1:2" x14ac:dyDescent="0.2">
      <c r="A891" s="6" t="s">
        <v>15</v>
      </c>
      <c r="B891" s="16">
        <f>YEAR(Sales_data[[#This Row],[Order Date]])</f>
        <v>2015</v>
      </c>
    </row>
    <row r="892" spans="1:2" x14ac:dyDescent="0.2">
      <c r="A892" s="6" t="s">
        <v>9</v>
      </c>
      <c r="B892" s="16">
        <f>YEAR(Sales_data[[#This Row],[Order Date]])</f>
        <v>2015</v>
      </c>
    </row>
    <row r="893" spans="1:2" x14ac:dyDescent="0.2">
      <c r="A893" s="6" t="s">
        <v>21</v>
      </c>
      <c r="B893" s="16">
        <f>YEAR(Sales_data[[#This Row],[Order Date]])</f>
        <v>2015</v>
      </c>
    </row>
    <row r="894" spans="1:2" x14ac:dyDescent="0.2">
      <c r="A894" s="6" t="s">
        <v>17</v>
      </c>
      <c r="B894" s="16">
        <f>YEAR(Sales_data[[#This Row],[Order Date]])</f>
        <v>2015</v>
      </c>
    </row>
    <row r="895" spans="1:2" x14ac:dyDescent="0.2">
      <c r="A895" s="6" t="s">
        <v>9</v>
      </c>
      <c r="B895" s="16">
        <f>YEAR(Sales_data[[#This Row],[Order Date]])</f>
        <v>2015</v>
      </c>
    </row>
    <row r="896" spans="1:2" x14ac:dyDescent="0.2">
      <c r="A896" s="6" t="s">
        <v>11</v>
      </c>
      <c r="B896" s="16">
        <f>YEAR(Sales_data[[#This Row],[Order Date]])</f>
        <v>2015</v>
      </c>
    </row>
    <row r="897" spans="1:2" x14ac:dyDescent="0.2">
      <c r="A897" s="6" t="s">
        <v>14</v>
      </c>
      <c r="B897" s="16">
        <f>YEAR(Sales_data[[#This Row],[Order Date]])</f>
        <v>2015</v>
      </c>
    </row>
    <row r="898" spans="1:2" x14ac:dyDescent="0.2">
      <c r="A898" s="6" t="s">
        <v>10</v>
      </c>
      <c r="B898" s="16">
        <f>YEAR(Sales_data[[#This Row],[Order Date]])</f>
        <v>2015</v>
      </c>
    </row>
    <row r="899" spans="1:2" x14ac:dyDescent="0.2">
      <c r="A899" s="6" t="s">
        <v>16</v>
      </c>
      <c r="B899" s="16">
        <f>YEAR(Sales_data[[#This Row],[Order Date]])</f>
        <v>2015</v>
      </c>
    </row>
    <row r="900" spans="1:2" x14ac:dyDescent="0.2">
      <c r="A900" s="6" t="s">
        <v>11</v>
      </c>
      <c r="B900" s="16">
        <f>YEAR(Sales_data[[#This Row],[Order Date]])</f>
        <v>2015</v>
      </c>
    </row>
    <row r="901" spans="1:2" x14ac:dyDescent="0.2">
      <c r="A901" s="6" t="s">
        <v>18</v>
      </c>
      <c r="B901" s="16">
        <f>YEAR(Sales_data[[#This Row],[Order Date]])</f>
        <v>2015</v>
      </c>
    </row>
    <row r="902" spans="1:2" x14ac:dyDescent="0.2">
      <c r="A902" s="6" t="s">
        <v>10</v>
      </c>
      <c r="B902" s="16">
        <f>YEAR(Sales_data[[#This Row],[Order Date]])</f>
        <v>2015</v>
      </c>
    </row>
    <row r="903" spans="1:2" x14ac:dyDescent="0.2">
      <c r="A903" s="6" t="s">
        <v>18</v>
      </c>
      <c r="B903" s="16">
        <f>YEAR(Sales_data[[#This Row],[Order Date]])</f>
        <v>2015</v>
      </c>
    </row>
    <row r="904" spans="1:2" x14ac:dyDescent="0.2">
      <c r="A904" s="6" t="s">
        <v>17</v>
      </c>
      <c r="B904" s="16">
        <f>YEAR(Sales_data[[#This Row],[Order Date]])</f>
        <v>2015</v>
      </c>
    </row>
    <row r="905" spans="1:2" x14ac:dyDescent="0.2">
      <c r="A905" s="6" t="s">
        <v>17</v>
      </c>
      <c r="B905" s="16">
        <f>YEAR(Sales_data[[#This Row],[Order Date]])</f>
        <v>2015</v>
      </c>
    </row>
    <row r="906" spans="1:2" x14ac:dyDescent="0.2">
      <c r="A906" s="6" t="s">
        <v>18</v>
      </c>
      <c r="B906" s="16">
        <f>YEAR(Sales_data[[#This Row],[Order Date]])</f>
        <v>2015</v>
      </c>
    </row>
    <row r="907" spans="1:2" x14ac:dyDescent="0.2">
      <c r="A907" s="6" t="s">
        <v>12</v>
      </c>
      <c r="B907" s="16">
        <f>YEAR(Sales_data[[#This Row],[Order Date]])</f>
        <v>2015</v>
      </c>
    </row>
    <row r="908" spans="1:2" x14ac:dyDescent="0.2">
      <c r="A908" s="6" t="s">
        <v>14</v>
      </c>
      <c r="B908" s="16">
        <f>YEAR(Sales_data[[#This Row],[Order Date]])</f>
        <v>2015</v>
      </c>
    </row>
    <row r="909" spans="1:2" x14ac:dyDescent="0.2">
      <c r="A909" s="6" t="s">
        <v>15</v>
      </c>
      <c r="B909" s="16">
        <f>YEAR(Sales_data[[#This Row],[Order Date]])</f>
        <v>2015</v>
      </c>
    </row>
    <row r="910" spans="1:2" x14ac:dyDescent="0.2">
      <c r="A910" s="6" t="s">
        <v>11</v>
      </c>
      <c r="B910" s="16">
        <f>YEAR(Sales_data[[#This Row],[Order Date]])</f>
        <v>2015</v>
      </c>
    </row>
    <row r="911" spans="1:2" x14ac:dyDescent="0.2">
      <c r="A911" s="6" t="s">
        <v>10</v>
      </c>
      <c r="B911" s="16">
        <f>YEAR(Sales_data[[#This Row],[Order Date]])</f>
        <v>2015</v>
      </c>
    </row>
    <row r="912" spans="1:2" x14ac:dyDescent="0.2">
      <c r="A912" s="6" t="s">
        <v>19</v>
      </c>
      <c r="B912" s="16">
        <f>YEAR(Sales_data[[#This Row],[Order Date]])</f>
        <v>2015</v>
      </c>
    </row>
    <row r="913" spans="1:2" x14ac:dyDescent="0.2">
      <c r="A913" s="6" t="s">
        <v>15</v>
      </c>
      <c r="B913" s="16">
        <f>YEAR(Sales_data[[#This Row],[Order Date]])</f>
        <v>2015</v>
      </c>
    </row>
    <row r="914" spans="1:2" x14ac:dyDescent="0.2">
      <c r="A914" s="6" t="s">
        <v>13</v>
      </c>
      <c r="B914" s="16">
        <f>YEAR(Sales_data[[#This Row],[Order Date]])</f>
        <v>2015</v>
      </c>
    </row>
    <row r="915" spans="1:2" x14ac:dyDescent="0.2">
      <c r="A915" s="6" t="s">
        <v>21</v>
      </c>
      <c r="B915" s="16">
        <f>YEAR(Sales_data[[#This Row],[Order Date]])</f>
        <v>2015</v>
      </c>
    </row>
    <row r="916" spans="1:2" x14ac:dyDescent="0.2">
      <c r="A916" s="6" t="s">
        <v>21</v>
      </c>
      <c r="B916" s="16">
        <f>YEAR(Sales_data[[#This Row],[Order Date]])</f>
        <v>2015</v>
      </c>
    </row>
    <row r="917" spans="1:2" x14ac:dyDescent="0.2">
      <c r="A917" s="6" t="s">
        <v>15</v>
      </c>
      <c r="B917" s="16">
        <f>YEAR(Sales_data[[#This Row],[Order Date]])</f>
        <v>2015</v>
      </c>
    </row>
    <row r="918" spans="1:2" x14ac:dyDescent="0.2">
      <c r="A918" s="6" t="s">
        <v>15</v>
      </c>
      <c r="B918" s="16">
        <f>YEAR(Sales_data[[#This Row],[Order Date]])</f>
        <v>2015</v>
      </c>
    </row>
    <row r="919" spans="1:2" x14ac:dyDescent="0.2">
      <c r="A919" s="6" t="s">
        <v>11</v>
      </c>
      <c r="B919" s="16">
        <f>YEAR(Sales_data[[#This Row],[Order Date]])</f>
        <v>2015</v>
      </c>
    </row>
    <row r="920" spans="1:2" x14ac:dyDescent="0.2">
      <c r="A920" s="6" t="s">
        <v>9</v>
      </c>
      <c r="B920" s="16">
        <f>YEAR(Sales_data[[#This Row],[Order Date]])</f>
        <v>2015</v>
      </c>
    </row>
    <row r="921" spans="1:2" x14ac:dyDescent="0.2">
      <c r="A921" s="6" t="s">
        <v>14</v>
      </c>
      <c r="B921" s="16">
        <f>YEAR(Sales_data[[#This Row],[Order Date]])</f>
        <v>2015</v>
      </c>
    </row>
    <row r="922" spans="1:2" x14ac:dyDescent="0.2">
      <c r="A922" s="6" t="s">
        <v>14</v>
      </c>
      <c r="B922" s="16">
        <f>YEAR(Sales_data[[#This Row],[Order Date]])</f>
        <v>2015</v>
      </c>
    </row>
    <row r="923" spans="1:2" x14ac:dyDescent="0.2">
      <c r="A923" s="6" t="s">
        <v>21</v>
      </c>
      <c r="B923" s="16">
        <f>YEAR(Sales_data[[#This Row],[Order Date]])</f>
        <v>2015</v>
      </c>
    </row>
    <row r="924" spans="1:2" x14ac:dyDescent="0.2">
      <c r="A924" s="6" t="s">
        <v>19</v>
      </c>
      <c r="B924" s="16">
        <f>YEAR(Sales_data[[#This Row],[Order Date]])</f>
        <v>2015</v>
      </c>
    </row>
    <row r="925" spans="1:2" x14ac:dyDescent="0.2">
      <c r="A925" s="6" t="s">
        <v>18</v>
      </c>
      <c r="B925" s="16">
        <f>YEAR(Sales_data[[#This Row],[Order Date]])</f>
        <v>2015</v>
      </c>
    </row>
    <row r="926" spans="1:2" x14ac:dyDescent="0.2">
      <c r="A926" s="6" t="s">
        <v>9</v>
      </c>
      <c r="B926" s="16">
        <f>YEAR(Sales_data[[#This Row],[Order Date]])</f>
        <v>2015</v>
      </c>
    </row>
    <row r="927" spans="1:2" x14ac:dyDescent="0.2">
      <c r="A927" s="6" t="s">
        <v>20</v>
      </c>
      <c r="B927" s="16">
        <f>YEAR(Sales_data[[#This Row],[Order Date]])</f>
        <v>2015</v>
      </c>
    </row>
    <row r="928" spans="1:2" x14ac:dyDescent="0.2">
      <c r="A928" s="6" t="s">
        <v>18</v>
      </c>
      <c r="B928" s="16">
        <f>YEAR(Sales_data[[#This Row],[Order Date]])</f>
        <v>2015</v>
      </c>
    </row>
    <row r="929" spans="1:2" x14ac:dyDescent="0.2">
      <c r="A929" s="6" t="s">
        <v>17</v>
      </c>
      <c r="B929" s="16">
        <f>YEAR(Sales_data[[#This Row],[Order Date]])</f>
        <v>2015</v>
      </c>
    </row>
    <row r="930" spans="1:2" x14ac:dyDescent="0.2">
      <c r="A930" s="6" t="s">
        <v>16</v>
      </c>
      <c r="B930" s="16">
        <f>YEAR(Sales_data[[#This Row],[Order Date]])</f>
        <v>2015</v>
      </c>
    </row>
    <row r="931" spans="1:2" x14ac:dyDescent="0.2">
      <c r="A931" s="6" t="s">
        <v>18</v>
      </c>
      <c r="B931" s="16">
        <f>YEAR(Sales_data[[#This Row],[Order Date]])</f>
        <v>2015</v>
      </c>
    </row>
    <row r="932" spans="1:2" x14ac:dyDescent="0.2">
      <c r="A932" s="6" t="s">
        <v>18</v>
      </c>
      <c r="B932" s="16">
        <f>YEAR(Sales_data[[#This Row],[Order Date]])</f>
        <v>2015</v>
      </c>
    </row>
    <row r="933" spans="1:2" x14ac:dyDescent="0.2">
      <c r="A933" s="6" t="s">
        <v>11</v>
      </c>
      <c r="B933" s="16">
        <f>YEAR(Sales_data[[#This Row],[Order Date]])</f>
        <v>2015</v>
      </c>
    </row>
    <row r="934" spans="1:2" x14ac:dyDescent="0.2">
      <c r="A934" s="6" t="s">
        <v>16</v>
      </c>
      <c r="B934" s="16">
        <f>YEAR(Sales_data[[#This Row],[Order Date]])</f>
        <v>2015</v>
      </c>
    </row>
    <row r="935" spans="1:2" x14ac:dyDescent="0.2">
      <c r="A935" s="6" t="s">
        <v>11</v>
      </c>
      <c r="B935" s="16">
        <f>YEAR(Sales_data[[#This Row],[Order Date]])</f>
        <v>2015</v>
      </c>
    </row>
    <row r="936" spans="1:2" x14ac:dyDescent="0.2">
      <c r="A936" s="6" t="s">
        <v>13</v>
      </c>
      <c r="B936" s="16">
        <f>YEAR(Sales_data[[#This Row],[Order Date]])</f>
        <v>2015</v>
      </c>
    </row>
    <row r="937" spans="1:2" x14ac:dyDescent="0.2">
      <c r="A937" s="6" t="s">
        <v>17</v>
      </c>
      <c r="B937" s="16">
        <f>YEAR(Sales_data[[#This Row],[Order Date]])</f>
        <v>2015</v>
      </c>
    </row>
    <row r="938" spans="1:2" x14ac:dyDescent="0.2">
      <c r="A938" s="6" t="s">
        <v>18</v>
      </c>
      <c r="B938" s="16">
        <f>YEAR(Sales_data[[#This Row],[Order Date]])</f>
        <v>2015</v>
      </c>
    </row>
    <row r="939" spans="1:2" x14ac:dyDescent="0.2">
      <c r="A939" s="6" t="s">
        <v>11</v>
      </c>
      <c r="B939" s="16">
        <f>YEAR(Sales_data[[#This Row],[Order Date]])</f>
        <v>2015</v>
      </c>
    </row>
    <row r="940" spans="1:2" x14ac:dyDescent="0.2">
      <c r="A940" s="6" t="s">
        <v>16</v>
      </c>
      <c r="B940" s="16">
        <f>YEAR(Sales_data[[#This Row],[Order Date]])</f>
        <v>2015</v>
      </c>
    </row>
    <row r="941" spans="1:2" x14ac:dyDescent="0.2">
      <c r="A941" s="6" t="s">
        <v>13</v>
      </c>
      <c r="B941" s="16">
        <f>YEAR(Sales_data[[#This Row],[Order Date]])</f>
        <v>2015</v>
      </c>
    </row>
    <row r="942" spans="1:2" x14ac:dyDescent="0.2">
      <c r="A942" s="6" t="s">
        <v>19</v>
      </c>
      <c r="B942" s="16">
        <f>YEAR(Sales_data[[#This Row],[Order Date]])</f>
        <v>2015</v>
      </c>
    </row>
    <row r="943" spans="1:2" x14ac:dyDescent="0.2">
      <c r="A943" s="6" t="s">
        <v>19</v>
      </c>
      <c r="B943" s="16">
        <f>YEAR(Sales_data[[#This Row],[Order Date]])</f>
        <v>2015</v>
      </c>
    </row>
    <row r="944" spans="1:2" x14ac:dyDescent="0.2">
      <c r="A944" s="6" t="s">
        <v>9</v>
      </c>
      <c r="B944" s="16">
        <f>YEAR(Sales_data[[#This Row],[Order Date]])</f>
        <v>2015</v>
      </c>
    </row>
    <row r="945" spans="1:2" x14ac:dyDescent="0.2">
      <c r="A945" s="6" t="s">
        <v>13</v>
      </c>
      <c r="B945" s="16">
        <f>YEAR(Sales_data[[#This Row],[Order Date]])</f>
        <v>2015</v>
      </c>
    </row>
    <row r="946" spans="1:2" x14ac:dyDescent="0.2">
      <c r="A946" s="6" t="s">
        <v>16</v>
      </c>
      <c r="B946" s="16">
        <f>YEAR(Sales_data[[#This Row],[Order Date]])</f>
        <v>2015</v>
      </c>
    </row>
    <row r="947" spans="1:2" x14ac:dyDescent="0.2">
      <c r="A947" s="6" t="s">
        <v>19</v>
      </c>
      <c r="B947" s="16">
        <f>YEAR(Sales_data[[#This Row],[Order Date]])</f>
        <v>2015</v>
      </c>
    </row>
    <row r="948" spans="1:2" x14ac:dyDescent="0.2">
      <c r="A948" s="6" t="s">
        <v>13</v>
      </c>
      <c r="B948" s="16">
        <f>YEAR(Sales_data[[#This Row],[Order Date]])</f>
        <v>2015</v>
      </c>
    </row>
    <row r="949" spans="1:2" x14ac:dyDescent="0.2">
      <c r="A949" s="6" t="s">
        <v>16</v>
      </c>
      <c r="B949" s="16">
        <f>YEAR(Sales_data[[#This Row],[Order Date]])</f>
        <v>2015</v>
      </c>
    </row>
    <row r="950" spans="1:2" x14ac:dyDescent="0.2">
      <c r="A950" s="6" t="s">
        <v>11</v>
      </c>
      <c r="B950" s="16">
        <f>YEAR(Sales_data[[#This Row],[Order Date]])</f>
        <v>2015</v>
      </c>
    </row>
    <row r="951" spans="1:2" x14ac:dyDescent="0.2">
      <c r="A951" s="6" t="s">
        <v>21</v>
      </c>
      <c r="B951" s="16">
        <f>YEAR(Sales_data[[#This Row],[Order Date]])</f>
        <v>2015</v>
      </c>
    </row>
    <row r="952" spans="1:2" x14ac:dyDescent="0.2">
      <c r="A952" s="6" t="s">
        <v>14</v>
      </c>
      <c r="B952" s="16">
        <f>YEAR(Sales_data[[#This Row],[Order Date]])</f>
        <v>2015</v>
      </c>
    </row>
    <row r="953" spans="1:2" x14ac:dyDescent="0.2">
      <c r="A953" s="6" t="s">
        <v>11</v>
      </c>
      <c r="B953" s="16">
        <f>YEAR(Sales_data[[#This Row],[Order Date]])</f>
        <v>2015</v>
      </c>
    </row>
    <row r="954" spans="1:2" x14ac:dyDescent="0.2">
      <c r="A954" s="6" t="s">
        <v>21</v>
      </c>
      <c r="B954" s="16">
        <f>YEAR(Sales_data[[#This Row],[Order Date]])</f>
        <v>2015</v>
      </c>
    </row>
    <row r="955" spans="1:2" x14ac:dyDescent="0.2">
      <c r="A955" s="6" t="s">
        <v>19</v>
      </c>
      <c r="B955" s="16">
        <f>YEAR(Sales_data[[#This Row],[Order Date]])</f>
        <v>2015</v>
      </c>
    </row>
    <row r="956" spans="1:2" x14ac:dyDescent="0.2">
      <c r="A956" s="6" t="s">
        <v>20</v>
      </c>
      <c r="B956" s="16">
        <f>YEAR(Sales_data[[#This Row],[Order Date]])</f>
        <v>2015</v>
      </c>
    </row>
    <row r="957" spans="1:2" x14ac:dyDescent="0.2">
      <c r="A957" s="6" t="s">
        <v>14</v>
      </c>
      <c r="B957" s="16">
        <f>YEAR(Sales_data[[#This Row],[Order Date]])</f>
        <v>2015</v>
      </c>
    </row>
    <row r="958" spans="1:2" x14ac:dyDescent="0.2">
      <c r="A958" s="6" t="s">
        <v>11</v>
      </c>
      <c r="B958" s="16">
        <f>YEAR(Sales_data[[#This Row],[Order Date]])</f>
        <v>2015</v>
      </c>
    </row>
    <row r="959" spans="1:2" x14ac:dyDescent="0.2">
      <c r="A959" s="6" t="s">
        <v>21</v>
      </c>
      <c r="B959" s="16">
        <f>YEAR(Sales_data[[#This Row],[Order Date]])</f>
        <v>2015</v>
      </c>
    </row>
    <row r="960" spans="1:2" x14ac:dyDescent="0.2">
      <c r="A960" s="6" t="s">
        <v>11</v>
      </c>
      <c r="B960" s="16">
        <f>YEAR(Sales_data[[#This Row],[Order Date]])</f>
        <v>2015</v>
      </c>
    </row>
    <row r="961" spans="1:2" x14ac:dyDescent="0.2">
      <c r="A961" s="6" t="s">
        <v>17</v>
      </c>
      <c r="B961" s="16">
        <f>YEAR(Sales_data[[#This Row],[Order Date]])</f>
        <v>2015</v>
      </c>
    </row>
    <row r="962" spans="1:2" x14ac:dyDescent="0.2">
      <c r="A962" s="6" t="s">
        <v>13</v>
      </c>
      <c r="B962" s="16">
        <f>YEAR(Sales_data[[#This Row],[Order Date]])</f>
        <v>2015</v>
      </c>
    </row>
    <row r="963" spans="1:2" x14ac:dyDescent="0.2">
      <c r="A963" s="6" t="s">
        <v>10</v>
      </c>
      <c r="B963" s="16">
        <f>YEAR(Sales_data[[#This Row],[Order Date]])</f>
        <v>2015</v>
      </c>
    </row>
    <row r="964" spans="1:2" x14ac:dyDescent="0.2">
      <c r="A964" s="6" t="s">
        <v>15</v>
      </c>
      <c r="B964" s="16">
        <f>YEAR(Sales_data[[#This Row],[Order Date]])</f>
        <v>2015</v>
      </c>
    </row>
    <row r="965" spans="1:2" x14ac:dyDescent="0.2">
      <c r="A965" s="6" t="s">
        <v>13</v>
      </c>
      <c r="B965" s="16">
        <f>YEAR(Sales_data[[#This Row],[Order Date]])</f>
        <v>2015</v>
      </c>
    </row>
    <row r="966" spans="1:2" x14ac:dyDescent="0.2">
      <c r="A966" s="6" t="s">
        <v>16</v>
      </c>
      <c r="B966" s="16">
        <f>YEAR(Sales_data[[#This Row],[Order Date]])</f>
        <v>2015</v>
      </c>
    </row>
    <row r="967" spans="1:2" x14ac:dyDescent="0.2">
      <c r="A967" s="6" t="s">
        <v>16</v>
      </c>
      <c r="B967" s="16">
        <f>YEAR(Sales_data[[#This Row],[Order Date]])</f>
        <v>2015</v>
      </c>
    </row>
    <row r="968" spans="1:2" x14ac:dyDescent="0.2">
      <c r="A968" s="6" t="s">
        <v>21</v>
      </c>
      <c r="B968" s="16">
        <f>YEAR(Sales_data[[#This Row],[Order Date]])</f>
        <v>2015</v>
      </c>
    </row>
    <row r="969" spans="1:2" x14ac:dyDescent="0.2">
      <c r="A969" s="6" t="s">
        <v>19</v>
      </c>
      <c r="B969" s="16">
        <f>YEAR(Sales_data[[#This Row],[Order Date]])</f>
        <v>2015</v>
      </c>
    </row>
    <row r="970" spans="1:2" x14ac:dyDescent="0.2">
      <c r="A970" s="6" t="s">
        <v>10</v>
      </c>
      <c r="B970" s="16">
        <f>YEAR(Sales_data[[#This Row],[Order Date]])</f>
        <v>2015</v>
      </c>
    </row>
    <row r="971" spans="1:2" x14ac:dyDescent="0.2">
      <c r="A971" s="6" t="s">
        <v>12</v>
      </c>
      <c r="B971" s="16">
        <f>YEAR(Sales_data[[#This Row],[Order Date]])</f>
        <v>2015</v>
      </c>
    </row>
    <row r="972" spans="1:2" x14ac:dyDescent="0.2">
      <c r="A972" s="6" t="s">
        <v>20</v>
      </c>
      <c r="B972" s="16">
        <f>YEAR(Sales_data[[#This Row],[Order Date]])</f>
        <v>2015</v>
      </c>
    </row>
    <row r="973" spans="1:2" x14ac:dyDescent="0.2">
      <c r="A973" s="6" t="s">
        <v>11</v>
      </c>
      <c r="B973" s="16">
        <f>YEAR(Sales_data[[#This Row],[Order Date]])</f>
        <v>2015</v>
      </c>
    </row>
    <row r="974" spans="1:2" x14ac:dyDescent="0.2">
      <c r="A974" s="6" t="s">
        <v>13</v>
      </c>
      <c r="B974" s="16">
        <f>YEAR(Sales_data[[#This Row],[Order Date]])</f>
        <v>2015</v>
      </c>
    </row>
    <row r="975" spans="1:2" x14ac:dyDescent="0.2">
      <c r="A975" s="6" t="s">
        <v>16</v>
      </c>
      <c r="B975" s="16">
        <f>YEAR(Sales_data[[#This Row],[Order Date]])</f>
        <v>2015</v>
      </c>
    </row>
    <row r="976" spans="1:2" x14ac:dyDescent="0.2">
      <c r="A976" s="6" t="s">
        <v>16</v>
      </c>
      <c r="B976" s="16">
        <f>YEAR(Sales_data[[#This Row],[Order Date]])</f>
        <v>2015</v>
      </c>
    </row>
    <row r="977" spans="1:2" x14ac:dyDescent="0.2">
      <c r="A977" s="6" t="s">
        <v>16</v>
      </c>
      <c r="B977" s="16">
        <f>YEAR(Sales_data[[#This Row],[Order Date]])</f>
        <v>2015</v>
      </c>
    </row>
    <row r="978" spans="1:2" x14ac:dyDescent="0.2">
      <c r="A978" s="6" t="s">
        <v>21</v>
      </c>
      <c r="B978" s="16">
        <f>YEAR(Sales_data[[#This Row],[Order Date]])</f>
        <v>2015</v>
      </c>
    </row>
    <row r="979" spans="1:2" x14ac:dyDescent="0.2">
      <c r="A979" s="6" t="s">
        <v>9</v>
      </c>
      <c r="B979" s="16">
        <f>YEAR(Sales_data[[#This Row],[Order Date]])</f>
        <v>2015</v>
      </c>
    </row>
    <row r="980" spans="1:2" x14ac:dyDescent="0.2">
      <c r="A980" s="6" t="s">
        <v>11</v>
      </c>
      <c r="B980" s="16">
        <f>YEAR(Sales_data[[#This Row],[Order Date]])</f>
        <v>2015</v>
      </c>
    </row>
    <row r="981" spans="1:2" x14ac:dyDescent="0.2">
      <c r="A981" s="6" t="s">
        <v>9</v>
      </c>
      <c r="B981" s="16">
        <f>YEAR(Sales_data[[#This Row],[Order Date]])</f>
        <v>2015</v>
      </c>
    </row>
    <row r="982" spans="1:2" x14ac:dyDescent="0.2">
      <c r="A982" s="6" t="s">
        <v>17</v>
      </c>
      <c r="B982" s="16">
        <f>YEAR(Sales_data[[#This Row],[Order Date]])</f>
        <v>2015</v>
      </c>
    </row>
    <row r="983" spans="1:2" x14ac:dyDescent="0.2">
      <c r="A983" s="6" t="s">
        <v>17</v>
      </c>
      <c r="B983" s="16">
        <f>YEAR(Sales_data[[#This Row],[Order Date]])</f>
        <v>2015</v>
      </c>
    </row>
    <row r="984" spans="1:2" x14ac:dyDescent="0.2">
      <c r="A984" s="6" t="s">
        <v>11</v>
      </c>
      <c r="B984" s="16">
        <f>YEAR(Sales_data[[#This Row],[Order Date]])</f>
        <v>2015</v>
      </c>
    </row>
    <row r="985" spans="1:2" x14ac:dyDescent="0.2">
      <c r="A985" s="6" t="s">
        <v>15</v>
      </c>
      <c r="B985" s="16">
        <f>YEAR(Sales_data[[#This Row],[Order Date]])</f>
        <v>2015</v>
      </c>
    </row>
    <row r="986" spans="1:2" x14ac:dyDescent="0.2">
      <c r="A986" s="6" t="s">
        <v>14</v>
      </c>
      <c r="B986" s="16">
        <f>YEAR(Sales_data[[#This Row],[Order Date]])</f>
        <v>2015</v>
      </c>
    </row>
    <row r="987" spans="1:2" x14ac:dyDescent="0.2">
      <c r="A987" s="6" t="s">
        <v>21</v>
      </c>
      <c r="B987" s="16">
        <f>YEAR(Sales_data[[#This Row],[Order Date]])</f>
        <v>2015</v>
      </c>
    </row>
    <row r="988" spans="1:2" x14ac:dyDescent="0.2">
      <c r="A988" s="6" t="s">
        <v>15</v>
      </c>
      <c r="B988" s="16">
        <f>YEAR(Sales_data[[#This Row],[Order Date]])</f>
        <v>2015</v>
      </c>
    </row>
    <row r="989" spans="1:2" x14ac:dyDescent="0.2">
      <c r="A989" s="6" t="s">
        <v>12</v>
      </c>
      <c r="B989" s="16">
        <f>YEAR(Sales_data[[#This Row],[Order Date]])</f>
        <v>2015</v>
      </c>
    </row>
    <row r="990" spans="1:2" x14ac:dyDescent="0.2">
      <c r="A990" s="6" t="s">
        <v>21</v>
      </c>
      <c r="B990" s="16">
        <f>YEAR(Sales_data[[#This Row],[Order Date]])</f>
        <v>2015</v>
      </c>
    </row>
    <row r="991" spans="1:2" x14ac:dyDescent="0.2">
      <c r="A991" s="6" t="s">
        <v>9</v>
      </c>
      <c r="B991" s="16">
        <f>YEAR(Sales_data[[#This Row],[Order Date]])</f>
        <v>2015</v>
      </c>
    </row>
    <row r="992" spans="1:2" x14ac:dyDescent="0.2">
      <c r="A992" s="6" t="s">
        <v>19</v>
      </c>
      <c r="B992" s="16">
        <f>YEAR(Sales_data[[#This Row],[Order Date]])</f>
        <v>2015</v>
      </c>
    </row>
    <row r="993" spans="1:2" x14ac:dyDescent="0.2">
      <c r="A993" s="6" t="s">
        <v>15</v>
      </c>
      <c r="B993" s="16">
        <f>YEAR(Sales_data[[#This Row],[Order Date]])</f>
        <v>2015</v>
      </c>
    </row>
    <row r="994" spans="1:2" x14ac:dyDescent="0.2">
      <c r="A994" s="6" t="s">
        <v>17</v>
      </c>
      <c r="B994" s="16">
        <f>YEAR(Sales_data[[#This Row],[Order Date]])</f>
        <v>2015</v>
      </c>
    </row>
    <row r="995" spans="1:2" x14ac:dyDescent="0.2">
      <c r="A995" s="6" t="s">
        <v>20</v>
      </c>
      <c r="B995" s="16">
        <f>YEAR(Sales_data[[#This Row],[Order Date]])</f>
        <v>2015</v>
      </c>
    </row>
    <row r="996" spans="1:2" x14ac:dyDescent="0.2">
      <c r="A996" s="6" t="s">
        <v>19</v>
      </c>
      <c r="B996" s="16">
        <f>YEAR(Sales_data[[#This Row],[Order Date]])</f>
        <v>2015</v>
      </c>
    </row>
    <row r="997" spans="1:2" x14ac:dyDescent="0.2">
      <c r="A997" s="6" t="s">
        <v>12</v>
      </c>
      <c r="B997" s="16">
        <f>YEAR(Sales_data[[#This Row],[Order Date]])</f>
        <v>2015</v>
      </c>
    </row>
    <row r="998" spans="1:2" x14ac:dyDescent="0.2">
      <c r="A998" s="6" t="s">
        <v>19</v>
      </c>
      <c r="B998" s="16">
        <f>YEAR(Sales_data[[#This Row],[Order Date]])</f>
        <v>2015</v>
      </c>
    </row>
    <row r="999" spans="1:2" x14ac:dyDescent="0.2">
      <c r="A999" s="6" t="s">
        <v>15</v>
      </c>
      <c r="B999" s="16">
        <f>YEAR(Sales_data[[#This Row],[Order Date]])</f>
        <v>2015</v>
      </c>
    </row>
    <row r="1000" spans="1:2" x14ac:dyDescent="0.2">
      <c r="A1000" s="6" t="s">
        <v>11</v>
      </c>
      <c r="B1000" s="16">
        <f>YEAR(Sales_data[[#This Row],[Order Date]])</f>
        <v>2015</v>
      </c>
    </row>
    <row r="1001" spans="1:2" x14ac:dyDescent="0.2">
      <c r="A1001" s="6" t="s">
        <v>13</v>
      </c>
      <c r="B1001" s="16">
        <f>YEAR(Sales_data[[#This Row],[Order Date]])</f>
        <v>2015</v>
      </c>
    </row>
    <row r="1002" spans="1:2" x14ac:dyDescent="0.2">
      <c r="A1002" s="6" t="s">
        <v>18</v>
      </c>
      <c r="B1002" s="16">
        <f>YEAR(Sales_data[[#This Row],[Order Date]])</f>
        <v>2015</v>
      </c>
    </row>
    <row r="1003" spans="1:2" x14ac:dyDescent="0.2">
      <c r="A1003" s="6" t="s">
        <v>12</v>
      </c>
      <c r="B1003" s="16">
        <f>YEAR(Sales_data[[#This Row],[Order Date]])</f>
        <v>2015</v>
      </c>
    </row>
    <row r="1004" spans="1:2" x14ac:dyDescent="0.2">
      <c r="A1004" s="6" t="s">
        <v>20</v>
      </c>
      <c r="B1004" s="16">
        <f>YEAR(Sales_data[[#This Row],[Order Date]])</f>
        <v>2015</v>
      </c>
    </row>
    <row r="1005" spans="1:2" x14ac:dyDescent="0.2">
      <c r="A1005" s="6" t="s">
        <v>15</v>
      </c>
      <c r="B1005" s="16">
        <f>YEAR(Sales_data[[#This Row],[Order Date]])</f>
        <v>2015</v>
      </c>
    </row>
    <row r="1006" spans="1:2" x14ac:dyDescent="0.2">
      <c r="A1006" s="6" t="s">
        <v>21</v>
      </c>
      <c r="B1006" s="16">
        <f>YEAR(Sales_data[[#This Row],[Order Date]])</f>
        <v>2015</v>
      </c>
    </row>
    <row r="1007" spans="1:2" x14ac:dyDescent="0.2">
      <c r="A1007" s="6" t="s">
        <v>14</v>
      </c>
      <c r="B1007" s="16">
        <f>YEAR(Sales_data[[#This Row],[Order Date]])</f>
        <v>2015</v>
      </c>
    </row>
    <row r="1008" spans="1:2" x14ac:dyDescent="0.2">
      <c r="A1008" s="6" t="s">
        <v>21</v>
      </c>
      <c r="B1008" s="16">
        <f>YEAR(Sales_data[[#This Row],[Order Date]])</f>
        <v>2015</v>
      </c>
    </row>
    <row r="1009" spans="1:2" x14ac:dyDescent="0.2">
      <c r="A1009" s="6" t="s">
        <v>12</v>
      </c>
      <c r="B1009" s="16">
        <f>YEAR(Sales_data[[#This Row],[Order Date]])</f>
        <v>2015</v>
      </c>
    </row>
    <row r="1010" spans="1:2" x14ac:dyDescent="0.2">
      <c r="A1010" s="6" t="s">
        <v>11</v>
      </c>
      <c r="B1010" s="16">
        <f>YEAR(Sales_data[[#This Row],[Order Date]])</f>
        <v>2015</v>
      </c>
    </row>
    <row r="1011" spans="1:2" x14ac:dyDescent="0.2">
      <c r="A1011" s="6" t="s">
        <v>21</v>
      </c>
      <c r="B1011" s="16">
        <f>YEAR(Sales_data[[#This Row],[Order Date]])</f>
        <v>2015</v>
      </c>
    </row>
    <row r="1012" spans="1:2" x14ac:dyDescent="0.2">
      <c r="A1012" s="6" t="s">
        <v>21</v>
      </c>
      <c r="B1012" s="16">
        <f>YEAR(Sales_data[[#This Row],[Order Date]])</f>
        <v>2015</v>
      </c>
    </row>
    <row r="1013" spans="1:2" x14ac:dyDescent="0.2">
      <c r="A1013" s="6" t="s">
        <v>10</v>
      </c>
      <c r="B1013" s="16">
        <f>YEAR(Sales_data[[#This Row],[Order Date]])</f>
        <v>2015</v>
      </c>
    </row>
    <row r="1014" spans="1:2" x14ac:dyDescent="0.2">
      <c r="A1014" s="6" t="s">
        <v>15</v>
      </c>
      <c r="B1014" s="16">
        <f>YEAR(Sales_data[[#This Row],[Order Date]])</f>
        <v>2015</v>
      </c>
    </row>
    <row r="1015" spans="1:2" x14ac:dyDescent="0.2">
      <c r="A1015" s="6" t="s">
        <v>16</v>
      </c>
      <c r="B1015" s="16">
        <f>YEAR(Sales_data[[#This Row],[Order Date]])</f>
        <v>2015</v>
      </c>
    </row>
    <row r="1016" spans="1:2" x14ac:dyDescent="0.2">
      <c r="A1016" s="6" t="s">
        <v>14</v>
      </c>
      <c r="B1016" s="16">
        <f>YEAR(Sales_data[[#This Row],[Order Date]])</f>
        <v>2015</v>
      </c>
    </row>
    <row r="1017" spans="1:2" x14ac:dyDescent="0.2">
      <c r="A1017" s="6" t="s">
        <v>16</v>
      </c>
      <c r="B1017" s="16">
        <f>YEAR(Sales_data[[#This Row],[Order Date]])</f>
        <v>2015</v>
      </c>
    </row>
    <row r="1018" spans="1:2" x14ac:dyDescent="0.2">
      <c r="A1018" s="6" t="s">
        <v>18</v>
      </c>
      <c r="B1018" s="16">
        <f>YEAR(Sales_data[[#This Row],[Order Date]])</f>
        <v>2015</v>
      </c>
    </row>
    <row r="1019" spans="1:2" x14ac:dyDescent="0.2">
      <c r="A1019" s="6" t="s">
        <v>18</v>
      </c>
      <c r="B1019" s="16">
        <f>YEAR(Sales_data[[#This Row],[Order Date]])</f>
        <v>2015</v>
      </c>
    </row>
    <row r="1020" spans="1:2" x14ac:dyDescent="0.2">
      <c r="A1020" s="6" t="s">
        <v>18</v>
      </c>
      <c r="B1020" s="16">
        <f>YEAR(Sales_data[[#This Row],[Order Date]])</f>
        <v>2015</v>
      </c>
    </row>
    <row r="1021" spans="1:2" x14ac:dyDescent="0.2">
      <c r="A1021" s="6" t="s">
        <v>16</v>
      </c>
      <c r="B1021" s="16">
        <f>YEAR(Sales_data[[#This Row],[Order Date]])</f>
        <v>2015</v>
      </c>
    </row>
    <row r="1022" spans="1:2" x14ac:dyDescent="0.2">
      <c r="A1022" s="6" t="s">
        <v>20</v>
      </c>
      <c r="B1022" s="16">
        <f>YEAR(Sales_data[[#This Row],[Order Date]])</f>
        <v>2015</v>
      </c>
    </row>
    <row r="1023" spans="1:2" x14ac:dyDescent="0.2">
      <c r="A1023" s="6" t="s">
        <v>16</v>
      </c>
      <c r="B1023" s="16">
        <f>YEAR(Sales_data[[#This Row],[Order Date]])</f>
        <v>2015</v>
      </c>
    </row>
    <row r="1024" spans="1:2" x14ac:dyDescent="0.2">
      <c r="A1024" s="6" t="s">
        <v>10</v>
      </c>
      <c r="B1024" s="16">
        <f>YEAR(Sales_data[[#This Row],[Order Date]])</f>
        <v>2015</v>
      </c>
    </row>
    <row r="1025" spans="1:2" x14ac:dyDescent="0.2">
      <c r="A1025" s="6" t="s">
        <v>9</v>
      </c>
      <c r="B1025" s="16">
        <f>YEAR(Sales_data[[#This Row],[Order Date]])</f>
        <v>2015</v>
      </c>
    </row>
    <row r="1026" spans="1:2" x14ac:dyDescent="0.2">
      <c r="A1026" s="6" t="s">
        <v>16</v>
      </c>
      <c r="B1026" s="16">
        <f>YEAR(Sales_data[[#This Row],[Order Date]])</f>
        <v>2015</v>
      </c>
    </row>
    <row r="1027" spans="1:2" x14ac:dyDescent="0.2">
      <c r="A1027" s="6" t="s">
        <v>9</v>
      </c>
      <c r="B1027" s="16">
        <f>YEAR(Sales_data[[#This Row],[Order Date]])</f>
        <v>2015</v>
      </c>
    </row>
    <row r="1028" spans="1:2" x14ac:dyDescent="0.2">
      <c r="A1028" s="6" t="s">
        <v>21</v>
      </c>
      <c r="B1028" s="16">
        <f>YEAR(Sales_data[[#This Row],[Order Date]])</f>
        <v>2015</v>
      </c>
    </row>
    <row r="1029" spans="1:2" x14ac:dyDescent="0.2">
      <c r="A1029" s="6" t="s">
        <v>15</v>
      </c>
      <c r="B1029" s="16">
        <f>YEAR(Sales_data[[#This Row],[Order Date]])</f>
        <v>2015</v>
      </c>
    </row>
    <row r="1030" spans="1:2" x14ac:dyDescent="0.2">
      <c r="A1030" s="6" t="s">
        <v>20</v>
      </c>
      <c r="B1030" s="16">
        <f>YEAR(Sales_data[[#This Row],[Order Date]])</f>
        <v>2015</v>
      </c>
    </row>
    <row r="1031" spans="1:2" x14ac:dyDescent="0.2">
      <c r="A1031" s="6" t="s">
        <v>17</v>
      </c>
      <c r="B1031" s="16">
        <f>YEAR(Sales_data[[#This Row],[Order Date]])</f>
        <v>2015</v>
      </c>
    </row>
    <row r="1032" spans="1:2" x14ac:dyDescent="0.2">
      <c r="A1032" s="6" t="s">
        <v>17</v>
      </c>
      <c r="B1032" s="16">
        <f>YEAR(Sales_data[[#This Row],[Order Date]])</f>
        <v>2015</v>
      </c>
    </row>
    <row r="1033" spans="1:2" x14ac:dyDescent="0.2">
      <c r="A1033" s="6" t="s">
        <v>11</v>
      </c>
      <c r="B1033" s="16">
        <f>YEAR(Sales_data[[#This Row],[Order Date]])</f>
        <v>2015</v>
      </c>
    </row>
    <row r="1034" spans="1:2" x14ac:dyDescent="0.2">
      <c r="A1034" s="6" t="s">
        <v>18</v>
      </c>
      <c r="B1034" s="16">
        <f>YEAR(Sales_data[[#This Row],[Order Date]])</f>
        <v>2015</v>
      </c>
    </row>
    <row r="1035" spans="1:2" x14ac:dyDescent="0.2">
      <c r="A1035" s="6" t="s">
        <v>9</v>
      </c>
      <c r="B1035" s="16">
        <f>YEAR(Sales_data[[#This Row],[Order Date]])</f>
        <v>2015</v>
      </c>
    </row>
    <row r="1036" spans="1:2" x14ac:dyDescent="0.2">
      <c r="A1036" s="6" t="s">
        <v>18</v>
      </c>
      <c r="B1036" s="16">
        <f>YEAR(Sales_data[[#This Row],[Order Date]])</f>
        <v>2015</v>
      </c>
    </row>
    <row r="1037" spans="1:2" x14ac:dyDescent="0.2">
      <c r="A1037" s="6" t="s">
        <v>15</v>
      </c>
      <c r="B1037" s="16">
        <f>YEAR(Sales_data[[#This Row],[Order Date]])</f>
        <v>2015</v>
      </c>
    </row>
    <row r="1038" spans="1:2" x14ac:dyDescent="0.2">
      <c r="A1038" s="6" t="s">
        <v>15</v>
      </c>
      <c r="B1038" s="16">
        <f>YEAR(Sales_data[[#This Row],[Order Date]])</f>
        <v>2015</v>
      </c>
    </row>
    <row r="1039" spans="1:2" x14ac:dyDescent="0.2">
      <c r="A1039" s="6" t="s">
        <v>21</v>
      </c>
      <c r="B1039" s="16">
        <f>YEAR(Sales_data[[#This Row],[Order Date]])</f>
        <v>2015</v>
      </c>
    </row>
    <row r="1040" spans="1:2" x14ac:dyDescent="0.2">
      <c r="A1040" s="6" t="s">
        <v>17</v>
      </c>
      <c r="B1040" s="16">
        <f>YEAR(Sales_data[[#This Row],[Order Date]])</f>
        <v>2015</v>
      </c>
    </row>
    <row r="1041" spans="1:2" x14ac:dyDescent="0.2">
      <c r="A1041" s="6" t="s">
        <v>12</v>
      </c>
      <c r="B1041" s="16">
        <f>YEAR(Sales_data[[#This Row],[Order Date]])</f>
        <v>2015</v>
      </c>
    </row>
    <row r="1042" spans="1:2" x14ac:dyDescent="0.2">
      <c r="A1042" s="6" t="s">
        <v>14</v>
      </c>
      <c r="B1042" s="16">
        <f>YEAR(Sales_data[[#This Row],[Order Date]])</f>
        <v>2015</v>
      </c>
    </row>
    <row r="1043" spans="1:2" x14ac:dyDescent="0.2">
      <c r="A1043" s="6" t="s">
        <v>21</v>
      </c>
      <c r="B1043" s="16">
        <f>YEAR(Sales_data[[#This Row],[Order Date]])</f>
        <v>2015</v>
      </c>
    </row>
    <row r="1044" spans="1:2" x14ac:dyDescent="0.2">
      <c r="A1044" s="6" t="s">
        <v>10</v>
      </c>
      <c r="B1044" s="16">
        <f>YEAR(Sales_data[[#This Row],[Order Date]])</f>
        <v>2015</v>
      </c>
    </row>
    <row r="1045" spans="1:2" x14ac:dyDescent="0.2">
      <c r="A1045" s="6" t="s">
        <v>12</v>
      </c>
      <c r="B1045" s="16">
        <f>YEAR(Sales_data[[#This Row],[Order Date]])</f>
        <v>2015</v>
      </c>
    </row>
    <row r="1046" spans="1:2" x14ac:dyDescent="0.2">
      <c r="A1046" s="6" t="s">
        <v>12</v>
      </c>
      <c r="B1046" s="16">
        <f>YEAR(Sales_data[[#This Row],[Order Date]])</f>
        <v>2015</v>
      </c>
    </row>
    <row r="1047" spans="1:2" x14ac:dyDescent="0.2">
      <c r="A1047" s="6" t="s">
        <v>10</v>
      </c>
      <c r="B1047" s="16">
        <f>YEAR(Sales_data[[#This Row],[Order Date]])</f>
        <v>2015</v>
      </c>
    </row>
    <row r="1048" spans="1:2" x14ac:dyDescent="0.2">
      <c r="A1048" s="6" t="s">
        <v>13</v>
      </c>
      <c r="B1048" s="16">
        <f>YEAR(Sales_data[[#This Row],[Order Date]])</f>
        <v>2015</v>
      </c>
    </row>
    <row r="1049" spans="1:2" x14ac:dyDescent="0.2">
      <c r="A1049" s="6" t="s">
        <v>12</v>
      </c>
      <c r="B1049" s="16">
        <f>YEAR(Sales_data[[#This Row],[Order Date]])</f>
        <v>2015</v>
      </c>
    </row>
    <row r="1050" spans="1:2" x14ac:dyDescent="0.2">
      <c r="A1050" s="6" t="s">
        <v>13</v>
      </c>
      <c r="B1050" s="16">
        <f>YEAR(Sales_data[[#This Row],[Order Date]])</f>
        <v>2015</v>
      </c>
    </row>
    <row r="1051" spans="1:2" x14ac:dyDescent="0.2">
      <c r="A1051" s="6" t="s">
        <v>10</v>
      </c>
      <c r="B1051" s="16">
        <f>YEAR(Sales_data[[#This Row],[Order Date]])</f>
        <v>2015</v>
      </c>
    </row>
    <row r="1052" spans="1:2" x14ac:dyDescent="0.2">
      <c r="A1052" s="6" t="s">
        <v>18</v>
      </c>
      <c r="B1052" s="16">
        <f>YEAR(Sales_data[[#This Row],[Order Date]])</f>
        <v>2015</v>
      </c>
    </row>
    <row r="1053" spans="1:2" x14ac:dyDescent="0.2">
      <c r="A1053" s="6" t="s">
        <v>15</v>
      </c>
      <c r="B1053" s="16">
        <f>YEAR(Sales_data[[#This Row],[Order Date]])</f>
        <v>2015</v>
      </c>
    </row>
    <row r="1054" spans="1:2" x14ac:dyDescent="0.2">
      <c r="A1054" s="6" t="s">
        <v>10</v>
      </c>
      <c r="B1054" s="16">
        <f>YEAR(Sales_data[[#This Row],[Order Date]])</f>
        <v>2015</v>
      </c>
    </row>
    <row r="1055" spans="1:2" x14ac:dyDescent="0.2">
      <c r="A1055" s="6" t="s">
        <v>18</v>
      </c>
      <c r="B1055" s="16">
        <f>YEAR(Sales_data[[#This Row],[Order Date]])</f>
        <v>2015</v>
      </c>
    </row>
    <row r="1056" spans="1:2" x14ac:dyDescent="0.2">
      <c r="A1056" s="6" t="s">
        <v>10</v>
      </c>
      <c r="B1056" s="16">
        <f>YEAR(Sales_data[[#This Row],[Order Date]])</f>
        <v>2015</v>
      </c>
    </row>
    <row r="1057" spans="1:2" x14ac:dyDescent="0.2">
      <c r="A1057" s="6" t="s">
        <v>9</v>
      </c>
      <c r="B1057" s="16">
        <f>YEAR(Sales_data[[#This Row],[Order Date]])</f>
        <v>2015</v>
      </c>
    </row>
    <row r="1058" spans="1:2" x14ac:dyDescent="0.2">
      <c r="A1058" s="6" t="s">
        <v>19</v>
      </c>
      <c r="B1058" s="16">
        <f>YEAR(Sales_data[[#This Row],[Order Date]])</f>
        <v>2015</v>
      </c>
    </row>
    <row r="1059" spans="1:2" x14ac:dyDescent="0.2">
      <c r="A1059" s="6" t="s">
        <v>13</v>
      </c>
      <c r="B1059" s="16">
        <f>YEAR(Sales_data[[#This Row],[Order Date]])</f>
        <v>2015</v>
      </c>
    </row>
    <row r="1060" spans="1:2" x14ac:dyDescent="0.2">
      <c r="A1060" s="6" t="s">
        <v>19</v>
      </c>
      <c r="B1060" s="16">
        <f>YEAR(Sales_data[[#This Row],[Order Date]])</f>
        <v>2015</v>
      </c>
    </row>
    <row r="1061" spans="1:2" x14ac:dyDescent="0.2">
      <c r="A1061" s="6" t="s">
        <v>21</v>
      </c>
      <c r="B1061" s="16">
        <f>YEAR(Sales_data[[#This Row],[Order Date]])</f>
        <v>2015</v>
      </c>
    </row>
    <row r="1062" spans="1:2" x14ac:dyDescent="0.2">
      <c r="A1062" s="6" t="s">
        <v>14</v>
      </c>
      <c r="B1062" s="16">
        <f>YEAR(Sales_data[[#This Row],[Order Date]])</f>
        <v>2015</v>
      </c>
    </row>
    <row r="1063" spans="1:2" x14ac:dyDescent="0.2">
      <c r="A1063" s="6" t="s">
        <v>20</v>
      </c>
      <c r="B1063" s="16">
        <f>YEAR(Sales_data[[#This Row],[Order Date]])</f>
        <v>2015</v>
      </c>
    </row>
    <row r="1064" spans="1:2" x14ac:dyDescent="0.2">
      <c r="A1064" s="6" t="s">
        <v>14</v>
      </c>
      <c r="B1064" s="16">
        <f>YEAR(Sales_data[[#This Row],[Order Date]])</f>
        <v>2015</v>
      </c>
    </row>
    <row r="1065" spans="1:2" x14ac:dyDescent="0.2">
      <c r="A1065" s="6" t="s">
        <v>19</v>
      </c>
      <c r="B1065" s="16">
        <f>YEAR(Sales_data[[#This Row],[Order Date]])</f>
        <v>2015</v>
      </c>
    </row>
    <row r="1066" spans="1:2" x14ac:dyDescent="0.2">
      <c r="A1066" s="6" t="s">
        <v>14</v>
      </c>
      <c r="B1066" s="16">
        <f>YEAR(Sales_data[[#This Row],[Order Date]])</f>
        <v>2015</v>
      </c>
    </row>
    <row r="1067" spans="1:2" x14ac:dyDescent="0.2">
      <c r="A1067" s="6" t="s">
        <v>17</v>
      </c>
      <c r="B1067" s="16">
        <f>YEAR(Sales_data[[#This Row],[Order Date]])</f>
        <v>2015</v>
      </c>
    </row>
    <row r="1068" spans="1:2" x14ac:dyDescent="0.2">
      <c r="A1068" s="6" t="s">
        <v>15</v>
      </c>
      <c r="B1068" s="16">
        <f>YEAR(Sales_data[[#This Row],[Order Date]])</f>
        <v>2015</v>
      </c>
    </row>
    <row r="1069" spans="1:2" x14ac:dyDescent="0.2">
      <c r="A1069" s="6" t="s">
        <v>19</v>
      </c>
      <c r="B1069" s="16">
        <f>YEAR(Sales_data[[#This Row],[Order Date]])</f>
        <v>2015</v>
      </c>
    </row>
    <row r="1070" spans="1:2" x14ac:dyDescent="0.2">
      <c r="A1070" s="6" t="s">
        <v>18</v>
      </c>
      <c r="B1070" s="16">
        <f>YEAR(Sales_data[[#This Row],[Order Date]])</f>
        <v>2015</v>
      </c>
    </row>
    <row r="1071" spans="1:2" x14ac:dyDescent="0.2">
      <c r="A1071" s="6" t="s">
        <v>9</v>
      </c>
      <c r="B1071" s="16">
        <f>YEAR(Sales_data[[#This Row],[Order Date]])</f>
        <v>2015</v>
      </c>
    </row>
    <row r="1072" spans="1:2" x14ac:dyDescent="0.2">
      <c r="A1072" s="6" t="s">
        <v>11</v>
      </c>
      <c r="B1072" s="16">
        <f>YEAR(Sales_data[[#This Row],[Order Date]])</f>
        <v>2015</v>
      </c>
    </row>
    <row r="1073" spans="1:2" x14ac:dyDescent="0.2">
      <c r="A1073" s="6" t="s">
        <v>19</v>
      </c>
      <c r="B1073" s="16">
        <f>YEAR(Sales_data[[#This Row],[Order Date]])</f>
        <v>2015</v>
      </c>
    </row>
    <row r="1074" spans="1:2" x14ac:dyDescent="0.2">
      <c r="A1074" s="6" t="s">
        <v>15</v>
      </c>
      <c r="B1074" s="16">
        <f>YEAR(Sales_data[[#This Row],[Order Date]])</f>
        <v>2015</v>
      </c>
    </row>
    <row r="1075" spans="1:2" x14ac:dyDescent="0.2">
      <c r="A1075" s="6" t="s">
        <v>11</v>
      </c>
      <c r="B1075" s="16">
        <f>YEAR(Sales_data[[#This Row],[Order Date]])</f>
        <v>2015</v>
      </c>
    </row>
    <row r="1076" spans="1:2" x14ac:dyDescent="0.2">
      <c r="A1076" s="6" t="s">
        <v>9</v>
      </c>
      <c r="B1076" s="16">
        <f>YEAR(Sales_data[[#This Row],[Order Date]])</f>
        <v>2015</v>
      </c>
    </row>
    <row r="1077" spans="1:2" x14ac:dyDescent="0.2">
      <c r="A1077" s="6" t="s">
        <v>15</v>
      </c>
      <c r="B1077" s="16">
        <f>YEAR(Sales_data[[#This Row],[Order Date]])</f>
        <v>2015</v>
      </c>
    </row>
    <row r="1078" spans="1:2" x14ac:dyDescent="0.2">
      <c r="A1078" s="6" t="s">
        <v>14</v>
      </c>
      <c r="B1078" s="16">
        <f>YEAR(Sales_data[[#This Row],[Order Date]])</f>
        <v>2015</v>
      </c>
    </row>
    <row r="1079" spans="1:2" x14ac:dyDescent="0.2">
      <c r="A1079" s="6" t="s">
        <v>13</v>
      </c>
      <c r="B1079" s="16">
        <f>YEAR(Sales_data[[#This Row],[Order Date]])</f>
        <v>2015</v>
      </c>
    </row>
    <row r="1080" spans="1:2" x14ac:dyDescent="0.2">
      <c r="A1080" s="6" t="s">
        <v>17</v>
      </c>
      <c r="B1080" s="16">
        <f>YEAR(Sales_data[[#This Row],[Order Date]])</f>
        <v>2015</v>
      </c>
    </row>
    <row r="1081" spans="1:2" x14ac:dyDescent="0.2">
      <c r="A1081" s="6" t="s">
        <v>14</v>
      </c>
      <c r="B1081" s="16">
        <f>YEAR(Sales_data[[#This Row],[Order Date]])</f>
        <v>2015</v>
      </c>
    </row>
    <row r="1082" spans="1:2" x14ac:dyDescent="0.2">
      <c r="A1082" s="6" t="s">
        <v>9</v>
      </c>
      <c r="B1082" s="16">
        <f>YEAR(Sales_data[[#This Row],[Order Date]])</f>
        <v>2015</v>
      </c>
    </row>
    <row r="1083" spans="1:2" x14ac:dyDescent="0.2">
      <c r="A1083" s="6" t="s">
        <v>11</v>
      </c>
      <c r="B1083" s="16">
        <f>YEAR(Sales_data[[#This Row],[Order Date]])</f>
        <v>2015</v>
      </c>
    </row>
    <row r="1084" spans="1:2" x14ac:dyDescent="0.2">
      <c r="A1084" s="6" t="s">
        <v>21</v>
      </c>
      <c r="B1084" s="16">
        <f>YEAR(Sales_data[[#This Row],[Order Date]])</f>
        <v>2015</v>
      </c>
    </row>
    <row r="1085" spans="1:2" x14ac:dyDescent="0.2">
      <c r="A1085" s="6" t="s">
        <v>10</v>
      </c>
      <c r="B1085" s="16">
        <f>YEAR(Sales_data[[#This Row],[Order Date]])</f>
        <v>2015</v>
      </c>
    </row>
    <row r="1086" spans="1:2" x14ac:dyDescent="0.2">
      <c r="A1086" s="6" t="s">
        <v>18</v>
      </c>
      <c r="B1086" s="16">
        <f>YEAR(Sales_data[[#This Row],[Order Date]])</f>
        <v>2015</v>
      </c>
    </row>
    <row r="1087" spans="1:2" x14ac:dyDescent="0.2">
      <c r="A1087" s="6" t="s">
        <v>13</v>
      </c>
      <c r="B1087" s="16">
        <f>YEAR(Sales_data[[#This Row],[Order Date]])</f>
        <v>2015</v>
      </c>
    </row>
    <row r="1088" spans="1:2" x14ac:dyDescent="0.2">
      <c r="A1088" s="6" t="s">
        <v>9</v>
      </c>
      <c r="B1088" s="16">
        <f>YEAR(Sales_data[[#This Row],[Order Date]])</f>
        <v>2015</v>
      </c>
    </row>
    <row r="1089" spans="1:2" x14ac:dyDescent="0.2">
      <c r="A1089" s="6" t="s">
        <v>10</v>
      </c>
      <c r="B1089" s="16">
        <f>YEAR(Sales_data[[#This Row],[Order Date]])</f>
        <v>2015</v>
      </c>
    </row>
    <row r="1090" spans="1:2" x14ac:dyDescent="0.2">
      <c r="A1090" s="6" t="s">
        <v>11</v>
      </c>
      <c r="B1090" s="16">
        <f>YEAR(Sales_data[[#This Row],[Order Date]])</f>
        <v>2015</v>
      </c>
    </row>
    <row r="1091" spans="1:2" x14ac:dyDescent="0.2">
      <c r="A1091" s="6" t="s">
        <v>16</v>
      </c>
      <c r="B1091" s="16">
        <f>YEAR(Sales_data[[#This Row],[Order Date]])</f>
        <v>2015</v>
      </c>
    </row>
    <row r="1092" spans="1:2" x14ac:dyDescent="0.2">
      <c r="A1092" s="6" t="s">
        <v>12</v>
      </c>
      <c r="B1092" s="16">
        <f>YEAR(Sales_data[[#This Row],[Order Date]])</f>
        <v>2015</v>
      </c>
    </row>
    <row r="1093" spans="1:2" x14ac:dyDescent="0.2">
      <c r="A1093" s="6" t="s">
        <v>19</v>
      </c>
      <c r="B1093" s="16">
        <f>YEAR(Sales_data[[#This Row],[Order Date]])</f>
        <v>2015</v>
      </c>
    </row>
    <row r="1094" spans="1:2" x14ac:dyDescent="0.2">
      <c r="A1094" s="6" t="s">
        <v>21</v>
      </c>
      <c r="B1094" s="16">
        <f>YEAR(Sales_data[[#This Row],[Order Date]])</f>
        <v>2015</v>
      </c>
    </row>
    <row r="1095" spans="1:2" x14ac:dyDescent="0.2">
      <c r="A1095" s="6" t="s">
        <v>11</v>
      </c>
      <c r="B1095" s="16">
        <f>YEAR(Sales_data[[#This Row],[Order Date]])</f>
        <v>2015</v>
      </c>
    </row>
    <row r="1096" spans="1:2" x14ac:dyDescent="0.2">
      <c r="A1096" s="6" t="s">
        <v>19</v>
      </c>
      <c r="B1096" s="16">
        <f>YEAR(Sales_data[[#This Row],[Order Date]])</f>
        <v>2015</v>
      </c>
    </row>
    <row r="1097" spans="1:2" x14ac:dyDescent="0.2">
      <c r="A1097" s="6" t="s">
        <v>19</v>
      </c>
      <c r="B1097" s="16">
        <f>YEAR(Sales_data[[#This Row],[Order Date]])</f>
        <v>2015</v>
      </c>
    </row>
    <row r="1098" spans="1:2" x14ac:dyDescent="0.2">
      <c r="A1098" s="6" t="s">
        <v>12</v>
      </c>
      <c r="B1098" s="16">
        <f>YEAR(Sales_data[[#This Row],[Order Date]])</f>
        <v>2015</v>
      </c>
    </row>
    <row r="1099" spans="1:2" x14ac:dyDescent="0.2">
      <c r="A1099" s="6" t="s">
        <v>20</v>
      </c>
      <c r="B1099" s="16">
        <f>YEAR(Sales_data[[#This Row],[Order Date]])</f>
        <v>2015</v>
      </c>
    </row>
    <row r="1100" spans="1:2" x14ac:dyDescent="0.2">
      <c r="A1100" s="6" t="s">
        <v>14</v>
      </c>
      <c r="B1100" s="16">
        <f>YEAR(Sales_data[[#This Row],[Order Date]])</f>
        <v>2015</v>
      </c>
    </row>
    <row r="1101" spans="1:2" x14ac:dyDescent="0.2">
      <c r="A1101" s="6" t="s">
        <v>15</v>
      </c>
      <c r="B1101" s="16">
        <f>YEAR(Sales_data[[#This Row],[Order Date]])</f>
        <v>2015</v>
      </c>
    </row>
    <row r="1102" spans="1:2" x14ac:dyDescent="0.2">
      <c r="A1102" s="6" t="s">
        <v>17</v>
      </c>
      <c r="B1102" s="16">
        <f>YEAR(Sales_data[[#This Row],[Order Date]])</f>
        <v>2015</v>
      </c>
    </row>
    <row r="1103" spans="1:2" x14ac:dyDescent="0.2">
      <c r="A1103" s="6" t="s">
        <v>12</v>
      </c>
      <c r="B1103" s="16">
        <f>YEAR(Sales_data[[#This Row],[Order Date]])</f>
        <v>2015</v>
      </c>
    </row>
    <row r="1104" spans="1:2" x14ac:dyDescent="0.2">
      <c r="A1104" s="6" t="s">
        <v>18</v>
      </c>
      <c r="B1104" s="16">
        <f>YEAR(Sales_data[[#This Row],[Order Date]])</f>
        <v>2015</v>
      </c>
    </row>
    <row r="1105" spans="1:2" x14ac:dyDescent="0.2">
      <c r="A1105" s="6" t="s">
        <v>20</v>
      </c>
      <c r="B1105" s="16">
        <f>YEAR(Sales_data[[#This Row],[Order Date]])</f>
        <v>2015</v>
      </c>
    </row>
    <row r="1106" spans="1:2" x14ac:dyDescent="0.2">
      <c r="A1106" s="6" t="s">
        <v>9</v>
      </c>
      <c r="B1106" s="16">
        <f>YEAR(Sales_data[[#This Row],[Order Date]])</f>
        <v>2015</v>
      </c>
    </row>
    <row r="1107" spans="1:2" x14ac:dyDescent="0.2">
      <c r="A1107" s="6" t="s">
        <v>21</v>
      </c>
      <c r="B1107" s="16">
        <f>YEAR(Sales_data[[#This Row],[Order Date]])</f>
        <v>2015</v>
      </c>
    </row>
    <row r="1108" spans="1:2" x14ac:dyDescent="0.2">
      <c r="A1108" s="6" t="s">
        <v>15</v>
      </c>
      <c r="B1108" s="16">
        <f>YEAR(Sales_data[[#This Row],[Order Date]])</f>
        <v>2015</v>
      </c>
    </row>
    <row r="1109" spans="1:2" x14ac:dyDescent="0.2">
      <c r="A1109" s="6" t="s">
        <v>17</v>
      </c>
      <c r="B1109" s="16">
        <f>YEAR(Sales_data[[#This Row],[Order Date]])</f>
        <v>2015</v>
      </c>
    </row>
    <row r="1110" spans="1:2" x14ac:dyDescent="0.2">
      <c r="A1110" s="6" t="s">
        <v>14</v>
      </c>
      <c r="B1110" s="16">
        <f>YEAR(Sales_data[[#This Row],[Order Date]])</f>
        <v>2015</v>
      </c>
    </row>
    <row r="1111" spans="1:2" x14ac:dyDescent="0.2">
      <c r="A1111" s="6" t="s">
        <v>14</v>
      </c>
      <c r="B1111" s="16">
        <f>YEAR(Sales_data[[#This Row],[Order Date]])</f>
        <v>2015</v>
      </c>
    </row>
    <row r="1112" spans="1:2" x14ac:dyDescent="0.2">
      <c r="A1112" s="6" t="s">
        <v>17</v>
      </c>
      <c r="B1112" s="16">
        <f>YEAR(Sales_data[[#This Row],[Order Date]])</f>
        <v>2015</v>
      </c>
    </row>
    <row r="1113" spans="1:2" x14ac:dyDescent="0.2">
      <c r="A1113" s="6" t="s">
        <v>12</v>
      </c>
      <c r="B1113" s="16">
        <f>YEAR(Sales_data[[#This Row],[Order Date]])</f>
        <v>2015</v>
      </c>
    </row>
    <row r="1114" spans="1:2" x14ac:dyDescent="0.2">
      <c r="A1114" s="6" t="s">
        <v>9</v>
      </c>
      <c r="B1114" s="16">
        <f>YEAR(Sales_data[[#This Row],[Order Date]])</f>
        <v>2015</v>
      </c>
    </row>
    <row r="1115" spans="1:2" x14ac:dyDescent="0.2">
      <c r="A1115" s="6" t="s">
        <v>11</v>
      </c>
      <c r="B1115" s="16">
        <f>YEAR(Sales_data[[#This Row],[Order Date]])</f>
        <v>2015</v>
      </c>
    </row>
    <row r="1116" spans="1:2" x14ac:dyDescent="0.2">
      <c r="A1116" s="6" t="s">
        <v>19</v>
      </c>
      <c r="B1116" s="16">
        <f>YEAR(Sales_data[[#This Row],[Order Date]])</f>
        <v>2015</v>
      </c>
    </row>
    <row r="1117" spans="1:2" x14ac:dyDescent="0.2">
      <c r="A1117" s="6" t="s">
        <v>15</v>
      </c>
      <c r="B1117" s="16">
        <f>YEAR(Sales_data[[#This Row],[Order Date]])</f>
        <v>2015</v>
      </c>
    </row>
    <row r="1118" spans="1:2" x14ac:dyDescent="0.2">
      <c r="A1118" s="6" t="s">
        <v>16</v>
      </c>
      <c r="B1118" s="16">
        <f>YEAR(Sales_data[[#This Row],[Order Date]])</f>
        <v>2015</v>
      </c>
    </row>
    <row r="1119" spans="1:2" x14ac:dyDescent="0.2">
      <c r="A1119" s="6" t="s">
        <v>11</v>
      </c>
      <c r="B1119" s="16">
        <f>YEAR(Sales_data[[#This Row],[Order Date]])</f>
        <v>2015</v>
      </c>
    </row>
    <row r="1120" spans="1:2" x14ac:dyDescent="0.2">
      <c r="A1120" s="6" t="s">
        <v>16</v>
      </c>
      <c r="B1120" s="16">
        <f>YEAR(Sales_data[[#This Row],[Order Date]])</f>
        <v>2015</v>
      </c>
    </row>
    <row r="1121" spans="1:2" x14ac:dyDescent="0.2">
      <c r="A1121" s="6" t="s">
        <v>10</v>
      </c>
      <c r="B1121" s="16">
        <f>YEAR(Sales_data[[#This Row],[Order Date]])</f>
        <v>2015</v>
      </c>
    </row>
    <row r="1122" spans="1:2" x14ac:dyDescent="0.2">
      <c r="A1122" s="6" t="s">
        <v>19</v>
      </c>
      <c r="B1122" s="16">
        <f>YEAR(Sales_data[[#This Row],[Order Date]])</f>
        <v>2015</v>
      </c>
    </row>
    <row r="1123" spans="1:2" x14ac:dyDescent="0.2">
      <c r="A1123" s="6" t="s">
        <v>11</v>
      </c>
      <c r="B1123" s="16">
        <f>YEAR(Sales_data[[#This Row],[Order Date]])</f>
        <v>2015</v>
      </c>
    </row>
    <row r="1124" spans="1:2" x14ac:dyDescent="0.2">
      <c r="A1124" s="6" t="s">
        <v>13</v>
      </c>
      <c r="B1124" s="16">
        <f>YEAR(Sales_data[[#This Row],[Order Date]])</f>
        <v>2015</v>
      </c>
    </row>
    <row r="1125" spans="1:2" x14ac:dyDescent="0.2">
      <c r="A1125" s="6" t="s">
        <v>13</v>
      </c>
      <c r="B1125" s="16">
        <f>YEAR(Sales_data[[#This Row],[Order Date]])</f>
        <v>2015</v>
      </c>
    </row>
    <row r="1126" spans="1:2" x14ac:dyDescent="0.2">
      <c r="A1126" s="6" t="s">
        <v>18</v>
      </c>
      <c r="B1126" s="16">
        <f>YEAR(Sales_data[[#This Row],[Order Date]])</f>
        <v>2015</v>
      </c>
    </row>
    <row r="1127" spans="1:2" x14ac:dyDescent="0.2">
      <c r="A1127" s="6" t="s">
        <v>13</v>
      </c>
      <c r="B1127" s="16">
        <f>YEAR(Sales_data[[#This Row],[Order Date]])</f>
        <v>2015</v>
      </c>
    </row>
    <row r="1128" spans="1:2" x14ac:dyDescent="0.2">
      <c r="A1128" s="6" t="s">
        <v>20</v>
      </c>
      <c r="B1128" s="16">
        <f>YEAR(Sales_data[[#This Row],[Order Date]])</f>
        <v>2015</v>
      </c>
    </row>
    <row r="1129" spans="1:2" x14ac:dyDescent="0.2">
      <c r="A1129" s="6" t="s">
        <v>13</v>
      </c>
      <c r="B1129" s="16">
        <f>YEAR(Sales_data[[#This Row],[Order Date]])</f>
        <v>2015</v>
      </c>
    </row>
    <row r="1130" spans="1:2" x14ac:dyDescent="0.2">
      <c r="A1130" s="6" t="s">
        <v>11</v>
      </c>
      <c r="B1130" s="16">
        <f>YEAR(Sales_data[[#This Row],[Order Date]])</f>
        <v>2015</v>
      </c>
    </row>
    <row r="1131" spans="1:2" x14ac:dyDescent="0.2">
      <c r="A1131" s="6" t="s">
        <v>21</v>
      </c>
      <c r="B1131" s="16">
        <f>YEAR(Sales_data[[#This Row],[Order Date]])</f>
        <v>2015</v>
      </c>
    </row>
    <row r="1132" spans="1:2" x14ac:dyDescent="0.2">
      <c r="A1132" s="6" t="s">
        <v>14</v>
      </c>
      <c r="B1132" s="16">
        <f>YEAR(Sales_data[[#This Row],[Order Date]])</f>
        <v>2015</v>
      </c>
    </row>
    <row r="1133" spans="1:2" x14ac:dyDescent="0.2">
      <c r="A1133" s="6" t="s">
        <v>15</v>
      </c>
      <c r="B1133" s="16">
        <f>YEAR(Sales_data[[#This Row],[Order Date]])</f>
        <v>2015</v>
      </c>
    </row>
    <row r="1134" spans="1:2" x14ac:dyDescent="0.2">
      <c r="A1134" s="6" t="s">
        <v>21</v>
      </c>
      <c r="B1134" s="16">
        <f>YEAR(Sales_data[[#This Row],[Order Date]])</f>
        <v>2015</v>
      </c>
    </row>
    <row r="1135" spans="1:2" x14ac:dyDescent="0.2">
      <c r="A1135" s="6" t="s">
        <v>14</v>
      </c>
      <c r="B1135" s="16">
        <f>YEAR(Sales_data[[#This Row],[Order Date]])</f>
        <v>2015</v>
      </c>
    </row>
    <row r="1136" spans="1:2" x14ac:dyDescent="0.2">
      <c r="A1136" s="6" t="s">
        <v>16</v>
      </c>
      <c r="B1136" s="16">
        <f>YEAR(Sales_data[[#This Row],[Order Date]])</f>
        <v>2015</v>
      </c>
    </row>
    <row r="1137" spans="1:2" x14ac:dyDescent="0.2">
      <c r="A1137" s="6" t="s">
        <v>12</v>
      </c>
      <c r="B1137" s="16">
        <f>YEAR(Sales_data[[#This Row],[Order Date]])</f>
        <v>2015</v>
      </c>
    </row>
    <row r="1138" spans="1:2" x14ac:dyDescent="0.2">
      <c r="A1138" s="6" t="s">
        <v>9</v>
      </c>
      <c r="B1138" s="16">
        <f>YEAR(Sales_data[[#This Row],[Order Date]])</f>
        <v>2015</v>
      </c>
    </row>
    <row r="1139" spans="1:2" x14ac:dyDescent="0.2">
      <c r="A1139" s="6" t="s">
        <v>19</v>
      </c>
      <c r="B1139" s="16">
        <f>YEAR(Sales_data[[#This Row],[Order Date]])</f>
        <v>2015</v>
      </c>
    </row>
    <row r="1140" spans="1:2" x14ac:dyDescent="0.2">
      <c r="A1140" s="6" t="s">
        <v>21</v>
      </c>
      <c r="B1140" s="16">
        <f>YEAR(Sales_data[[#This Row],[Order Date]])</f>
        <v>2015</v>
      </c>
    </row>
    <row r="1141" spans="1:2" x14ac:dyDescent="0.2">
      <c r="A1141" s="6" t="s">
        <v>15</v>
      </c>
      <c r="B1141" s="16">
        <f>YEAR(Sales_data[[#This Row],[Order Date]])</f>
        <v>2015</v>
      </c>
    </row>
    <row r="1142" spans="1:2" x14ac:dyDescent="0.2">
      <c r="A1142" s="6" t="s">
        <v>21</v>
      </c>
      <c r="B1142" s="16">
        <f>YEAR(Sales_data[[#This Row],[Order Date]])</f>
        <v>2015</v>
      </c>
    </row>
    <row r="1143" spans="1:2" x14ac:dyDescent="0.2">
      <c r="A1143" s="6" t="s">
        <v>20</v>
      </c>
      <c r="B1143" s="16">
        <f>YEAR(Sales_data[[#This Row],[Order Date]])</f>
        <v>2015</v>
      </c>
    </row>
    <row r="1144" spans="1:2" x14ac:dyDescent="0.2">
      <c r="A1144" s="6" t="s">
        <v>14</v>
      </c>
      <c r="B1144" s="16">
        <f>YEAR(Sales_data[[#This Row],[Order Date]])</f>
        <v>2015</v>
      </c>
    </row>
    <row r="1145" spans="1:2" x14ac:dyDescent="0.2">
      <c r="A1145" s="6" t="s">
        <v>20</v>
      </c>
      <c r="B1145" s="16">
        <f>YEAR(Sales_data[[#This Row],[Order Date]])</f>
        <v>2015</v>
      </c>
    </row>
    <row r="1146" spans="1:2" x14ac:dyDescent="0.2">
      <c r="A1146" s="6" t="s">
        <v>18</v>
      </c>
      <c r="B1146" s="16">
        <f>YEAR(Sales_data[[#This Row],[Order Date]])</f>
        <v>2015</v>
      </c>
    </row>
    <row r="1147" spans="1:2" x14ac:dyDescent="0.2">
      <c r="A1147" s="6" t="s">
        <v>21</v>
      </c>
      <c r="B1147" s="16">
        <f>YEAR(Sales_data[[#This Row],[Order Date]])</f>
        <v>2015</v>
      </c>
    </row>
    <row r="1148" spans="1:2" x14ac:dyDescent="0.2">
      <c r="A1148" s="6" t="s">
        <v>14</v>
      </c>
      <c r="B1148" s="16">
        <f>YEAR(Sales_data[[#This Row],[Order Date]])</f>
        <v>2015</v>
      </c>
    </row>
    <row r="1149" spans="1:2" x14ac:dyDescent="0.2">
      <c r="A1149" s="6" t="s">
        <v>15</v>
      </c>
      <c r="B1149" s="16">
        <f>YEAR(Sales_data[[#This Row],[Order Date]])</f>
        <v>2015</v>
      </c>
    </row>
    <row r="1150" spans="1:2" x14ac:dyDescent="0.2">
      <c r="A1150" s="6" t="s">
        <v>18</v>
      </c>
      <c r="B1150" s="16">
        <f>YEAR(Sales_data[[#This Row],[Order Date]])</f>
        <v>2015</v>
      </c>
    </row>
    <row r="1151" spans="1:2" x14ac:dyDescent="0.2">
      <c r="A1151" s="6" t="s">
        <v>10</v>
      </c>
      <c r="B1151" s="16">
        <f>YEAR(Sales_data[[#This Row],[Order Date]])</f>
        <v>2015</v>
      </c>
    </row>
    <row r="1152" spans="1:2" x14ac:dyDescent="0.2">
      <c r="A1152" s="6" t="s">
        <v>10</v>
      </c>
      <c r="B1152" s="16">
        <f>YEAR(Sales_data[[#This Row],[Order Date]])</f>
        <v>2015</v>
      </c>
    </row>
    <row r="1153" spans="1:2" x14ac:dyDescent="0.2">
      <c r="A1153" s="6" t="s">
        <v>14</v>
      </c>
      <c r="B1153" s="16">
        <f>YEAR(Sales_data[[#This Row],[Order Date]])</f>
        <v>2015</v>
      </c>
    </row>
    <row r="1154" spans="1:2" x14ac:dyDescent="0.2">
      <c r="A1154" s="6" t="s">
        <v>9</v>
      </c>
      <c r="B1154" s="16">
        <f>YEAR(Sales_data[[#This Row],[Order Date]])</f>
        <v>2015</v>
      </c>
    </row>
    <row r="1155" spans="1:2" x14ac:dyDescent="0.2">
      <c r="A1155" s="6" t="s">
        <v>18</v>
      </c>
      <c r="B1155" s="16">
        <f>YEAR(Sales_data[[#This Row],[Order Date]])</f>
        <v>2015</v>
      </c>
    </row>
    <row r="1156" spans="1:2" x14ac:dyDescent="0.2">
      <c r="A1156" s="6" t="s">
        <v>15</v>
      </c>
      <c r="B1156" s="16">
        <f>YEAR(Sales_data[[#This Row],[Order Date]])</f>
        <v>2015</v>
      </c>
    </row>
    <row r="1157" spans="1:2" x14ac:dyDescent="0.2">
      <c r="A1157" s="6" t="s">
        <v>12</v>
      </c>
      <c r="B1157" s="16">
        <f>YEAR(Sales_data[[#This Row],[Order Date]])</f>
        <v>2015</v>
      </c>
    </row>
    <row r="1158" spans="1:2" x14ac:dyDescent="0.2">
      <c r="A1158" s="6" t="s">
        <v>21</v>
      </c>
      <c r="B1158" s="16">
        <f>YEAR(Sales_data[[#This Row],[Order Date]])</f>
        <v>2015</v>
      </c>
    </row>
    <row r="1159" spans="1:2" x14ac:dyDescent="0.2">
      <c r="A1159" s="6" t="s">
        <v>21</v>
      </c>
      <c r="B1159" s="16">
        <f>YEAR(Sales_data[[#This Row],[Order Date]])</f>
        <v>2015</v>
      </c>
    </row>
    <row r="1160" spans="1:2" x14ac:dyDescent="0.2">
      <c r="A1160" s="6" t="s">
        <v>11</v>
      </c>
      <c r="B1160" s="16">
        <f>YEAR(Sales_data[[#This Row],[Order Date]])</f>
        <v>2015</v>
      </c>
    </row>
    <row r="1161" spans="1:2" x14ac:dyDescent="0.2">
      <c r="A1161" s="6" t="s">
        <v>14</v>
      </c>
      <c r="B1161" s="16">
        <f>YEAR(Sales_data[[#This Row],[Order Date]])</f>
        <v>2015</v>
      </c>
    </row>
    <row r="1162" spans="1:2" x14ac:dyDescent="0.2">
      <c r="A1162" s="6" t="s">
        <v>17</v>
      </c>
      <c r="B1162" s="16">
        <f>YEAR(Sales_data[[#This Row],[Order Date]])</f>
        <v>2015</v>
      </c>
    </row>
    <row r="1163" spans="1:2" x14ac:dyDescent="0.2">
      <c r="A1163" s="6" t="s">
        <v>15</v>
      </c>
      <c r="B1163" s="16">
        <f>YEAR(Sales_data[[#This Row],[Order Date]])</f>
        <v>2015</v>
      </c>
    </row>
    <row r="1164" spans="1:2" x14ac:dyDescent="0.2">
      <c r="A1164" s="6" t="s">
        <v>17</v>
      </c>
      <c r="B1164" s="16">
        <f>YEAR(Sales_data[[#This Row],[Order Date]])</f>
        <v>2015</v>
      </c>
    </row>
    <row r="1165" spans="1:2" x14ac:dyDescent="0.2">
      <c r="A1165" s="6" t="s">
        <v>14</v>
      </c>
      <c r="B1165" s="16">
        <f>YEAR(Sales_data[[#This Row],[Order Date]])</f>
        <v>2015</v>
      </c>
    </row>
    <row r="1166" spans="1:2" x14ac:dyDescent="0.2">
      <c r="A1166" s="6" t="s">
        <v>13</v>
      </c>
      <c r="B1166" s="16">
        <f>YEAR(Sales_data[[#This Row],[Order Date]])</f>
        <v>2015</v>
      </c>
    </row>
    <row r="1167" spans="1:2" x14ac:dyDescent="0.2">
      <c r="A1167" s="6" t="s">
        <v>11</v>
      </c>
      <c r="B1167" s="16">
        <f>YEAR(Sales_data[[#This Row],[Order Date]])</f>
        <v>2015</v>
      </c>
    </row>
    <row r="1168" spans="1:2" x14ac:dyDescent="0.2">
      <c r="A1168" s="6" t="s">
        <v>15</v>
      </c>
      <c r="B1168" s="16">
        <f>YEAR(Sales_data[[#This Row],[Order Date]])</f>
        <v>2015</v>
      </c>
    </row>
    <row r="1169" spans="1:2" x14ac:dyDescent="0.2">
      <c r="A1169" s="6" t="s">
        <v>14</v>
      </c>
      <c r="B1169" s="16">
        <f>YEAR(Sales_data[[#This Row],[Order Date]])</f>
        <v>2015</v>
      </c>
    </row>
    <row r="1170" spans="1:2" x14ac:dyDescent="0.2">
      <c r="A1170" s="6" t="s">
        <v>21</v>
      </c>
      <c r="B1170" s="16">
        <f>YEAR(Sales_data[[#This Row],[Order Date]])</f>
        <v>2015</v>
      </c>
    </row>
    <row r="1171" spans="1:2" x14ac:dyDescent="0.2">
      <c r="A1171" s="6" t="s">
        <v>9</v>
      </c>
      <c r="B1171" s="16">
        <f>YEAR(Sales_data[[#This Row],[Order Date]])</f>
        <v>2015</v>
      </c>
    </row>
    <row r="1172" spans="1:2" x14ac:dyDescent="0.2">
      <c r="A1172" s="6" t="s">
        <v>13</v>
      </c>
      <c r="B1172" s="16">
        <f>YEAR(Sales_data[[#This Row],[Order Date]])</f>
        <v>2015</v>
      </c>
    </row>
    <row r="1173" spans="1:2" x14ac:dyDescent="0.2">
      <c r="A1173" s="6" t="s">
        <v>13</v>
      </c>
      <c r="B1173" s="16">
        <f>YEAR(Sales_data[[#This Row],[Order Date]])</f>
        <v>2015</v>
      </c>
    </row>
    <row r="1174" spans="1:2" x14ac:dyDescent="0.2">
      <c r="A1174" s="6" t="s">
        <v>12</v>
      </c>
      <c r="B1174" s="16">
        <f>YEAR(Sales_data[[#This Row],[Order Date]])</f>
        <v>2015</v>
      </c>
    </row>
    <row r="1175" spans="1:2" x14ac:dyDescent="0.2">
      <c r="A1175" s="6" t="s">
        <v>21</v>
      </c>
      <c r="B1175" s="16">
        <f>YEAR(Sales_data[[#This Row],[Order Date]])</f>
        <v>2015</v>
      </c>
    </row>
    <row r="1176" spans="1:2" x14ac:dyDescent="0.2">
      <c r="A1176" s="6" t="s">
        <v>21</v>
      </c>
      <c r="B1176" s="16">
        <f>YEAR(Sales_data[[#This Row],[Order Date]])</f>
        <v>2015</v>
      </c>
    </row>
    <row r="1177" spans="1:2" x14ac:dyDescent="0.2">
      <c r="A1177" s="6" t="s">
        <v>20</v>
      </c>
      <c r="B1177" s="16">
        <f>YEAR(Sales_data[[#This Row],[Order Date]])</f>
        <v>2015</v>
      </c>
    </row>
    <row r="1178" spans="1:2" x14ac:dyDescent="0.2">
      <c r="A1178" s="6" t="s">
        <v>18</v>
      </c>
      <c r="B1178" s="16">
        <f>YEAR(Sales_data[[#This Row],[Order Date]])</f>
        <v>2015</v>
      </c>
    </row>
    <row r="1179" spans="1:2" x14ac:dyDescent="0.2">
      <c r="A1179" s="6" t="s">
        <v>13</v>
      </c>
      <c r="B1179" s="16">
        <f>YEAR(Sales_data[[#This Row],[Order Date]])</f>
        <v>2015</v>
      </c>
    </row>
    <row r="1180" spans="1:2" x14ac:dyDescent="0.2">
      <c r="A1180" s="6" t="s">
        <v>10</v>
      </c>
      <c r="B1180" s="16">
        <f>YEAR(Sales_data[[#This Row],[Order Date]])</f>
        <v>2015</v>
      </c>
    </row>
    <row r="1181" spans="1:2" x14ac:dyDescent="0.2">
      <c r="A1181" s="6" t="s">
        <v>9</v>
      </c>
      <c r="B1181" s="16">
        <f>YEAR(Sales_data[[#This Row],[Order Date]])</f>
        <v>2015</v>
      </c>
    </row>
    <row r="1182" spans="1:2" x14ac:dyDescent="0.2">
      <c r="A1182" s="6" t="s">
        <v>9</v>
      </c>
      <c r="B1182" s="16">
        <f>YEAR(Sales_data[[#This Row],[Order Date]])</f>
        <v>2015</v>
      </c>
    </row>
    <row r="1183" spans="1:2" x14ac:dyDescent="0.2">
      <c r="A1183" s="6" t="s">
        <v>11</v>
      </c>
      <c r="B1183" s="16">
        <f>YEAR(Sales_data[[#This Row],[Order Date]])</f>
        <v>2015</v>
      </c>
    </row>
    <row r="1184" spans="1:2" x14ac:dyDescent="0.2">
      <c r="A1184" s="6" t="s">
        <v>15</v>
      </c>
      <c r="B1184" s="16">
        <f>YEAR(Sales_data[[#This Row],[Order Date]])</f>
        <v>2015</v>
      </c>
    </row>
    <row r="1185" spans="1:2" x14ac:dyDescent="0.2">
      <c r="A1185" s="6" t="s">
        <v>12</v>
      </c>
      <c r="B1185" s="16">
        <f>YEAR(Sales_data[[#This Row],[Order Date]])</f>
        <v>2015</v>
      </c>
    </row>
    <row r="1186" spans="1:2" x14ac:dyDescent="0.2">
      <c r="A1186" s="6" t="s">
        <v>17</v>
      </c>
      <c r="B1186" s="16">
        <f>YEAR(Sales_data[[#This Row],[Order Date]])</f>
        <v>2015</v>
      </c>
    </row>
    <row r="1187" spans="1:2" x14ac:dyDescent="0.2">
      <c r="A1187" s="6" t="s">
        <v>14</v>
      </c>
      <c r="B1187" s="16">
        <f>YEAR(Sales_data[[#This Row],[Order Date]])</f>
        <v>2015</v>
      </c>
    </row>
    <row r="1188" spans="1:2" x14ac:dyDescent="0.2">
      <c r="A1188" s="6" t="s">
        <v>18</v>
      </c>
      <c r="B1188" s="16">
        <f>YEAR(Sales_data[[#This Row],[Order Date]])</f>
        <v>2015</v>
      </c>
    </row>
    <row r="1189" spans="1:2" x14ac:dyDescent="0.2">
      <c r="A1189" s="6" t="s">
        <v>13</v>
      </c>
      <c r="B1189" s="16">
        <f>YEAR(Sales_data[[#This Row],[Order Date]])</f>
        <v>2015</v>
      </c>
    </row>
    <row r="1190" spans="1:2" x14ac:dyDescent="0.2">
      <c r="A1190" s="6" t="s">
        <v>13</v>
      </c>
      <c r="B1190" s="16">
        <f>YEAR(Sales_data[[#This Row],[Order Date]])</f>
        <v>2016</v>
      </c>
    </row>
    <row r="1191" spans="1:2" x14ac:dyDescent="0.2">
      <c r="A1191" s="6" t="s">
        <v>19</v>
      </c>
      <c r="B1191" s="16">
        <f>YEAR(Sales_data[[#This Row],[Order Date]])</f>
        <v>2016</v>
      </c>
    </row>
    <row r="1192" spans="1:2" x14ac:dyDescent="0.2">
      <c r="A1192" s="6" t="s">
        <v>14</v>
      </c>
      <c r="B1192" s="16">
        <f>YEAR(Sales_data[[#This Row],[Order Date]])</f>
        <v>2016</v>
      </c>
    </row>
    <row r="1193" spans="1:2" x14ac:dyDescent="0.2">
      <c r="A1193" s="6" t="s">
        <v>20</v>
      </c>
      <c r="B1193" s="16">
        <f>YEAR(Sales_data[[#This Row],[Order Date]])</f>
        <v>2016</v>
      </c>
    </row>
    <row r="1194" spans="1:2" x14ac:dyDescent="0.2">
      <c r="A1194" s="6" t="s">
        <v>16</v>
      </c>
      <c r="B1194" s="16">
        <f>YEAR(Sales_data[[#This Row],[Order Date]])</f>
        <v>2016</v>
      </c>
    </row>
    <row r="1195" spans="1:2" x14ac:dyDescent="0.2">
      <c r="A1195" s="6" t="s">
        <v>21</v>
      </c>
      <c r="B1195" s="16">
        <f>YEAR(Sales_data[[#This Row],[Order Date]])</f>
        <v>2016</v>
      </c>
    </row>
    <row r="1196" spans="1:2" x14ac:dyDescent="0.2">
      <c r="A1196" s="6" t="s">
        <v>16</v>
      </c>
      <c r="B1196" s="16">
        <f>YEAR(Sales_data[[#This Row],[Order Date]])</f>
        <v>2016</v>
      </c>
    </row>
    <row r="1197" spans="1:2" x14ac:dyDescent="0.2">
      <c r="A1197" s="6" t="s">
        <v>18</v>
      </c>
      <c r="B1197" s="16">
        <f>YEAR(Sales_data[[#This Row],[Order Date]])</f>
        <v>2016</v>
      </c>
    </row>
    <row r="1198" spans="1:2" x14ac:dyDescent="0.2">
      <c r="A1198" s="6" t="s">
        <v>12</v>
      </c>
      <c r="B1198" s="16">
        <f>YEAR(Sales_data[[#This Row],[Order Date]])</f>
        <v>2016</v>
      </c>
    </row>
    <row r="1199" spans="1:2" x14ac:dyDescent="0.2">
      <c r="A1199" s="6" t="s">
        <v>9</v>
      </c>
      <c r="B1199" s="16">
        <f>YEAR(Sales_data[[#This Row],[Order Date]])</f>
        <v>2016</v>
      </c>
    </row>
    <row r="1200" spans="1:2" x14ac:dyDescent="0.2">
      <c r="A1200" s="6" t="s">
        <v>10</v>
      </c>
      <c r="B1200" s="16">
        <f>YEAR(Sales_data[[#This Row],[Order Date]])</f>
        <v>2016</v>
      </c>
    </row>
    <row r="1201" spans="1:2" x14ac:dyDescent="0.2">
      <c r="A1201" s="6" t="s">
        <v>11</v>
      </c>
      <c r="B1201" s="16">
        <f>YEAR(Sales_data[[#This Row],[Order Date]])</f>
        <v>2016</v>
      </c>
    </row>
    <row r="1202" spans="1:2" x14ac:dyDescent="0.2">
      <c r="A1202" s="6" t="s">
        <v>18</v>
      </c>
      <c r="B1202" s="16">
        <f>YEAR(Sales_data[[#This Row],[Order Date]])</f>
        <v>2016</v>
      </c>
    </row>
    <row r="1203" spans="1:2" x14ac:dyDescent="0.2">
      <c r="A1203" s="6" t="s">
        <v>13</v>
      </c>
      <c r="B1203" s="16">
        <f>YEAR(Sales_data[[#This Row],[Order Date]])</f>
        <v>2016</v>
      </c>
    </row>
    <row r="1204" spans="1:2" x14ac:dyDescent="0.2">
      <c r="A1204" s="6" t="s">
        <v>20</v>
      </c>
      <c r="B1204" s="16">
        <f>YEAR(Sales_data[[#This Row],[Order Date]])</f>
        <v>2016</v>
      </c>
    </row>
    <row r="1205" spans="1:2" x14ac:dyDescent="0.2">
      <c r="A1205" s="6" t="s">
        <v>9</v>
      </c>
      <c r="B1205" s="16">
        <f>YEAR(Sales_data[[#This Row],[Order Date]])</f>
        <v>2016</v>
      </c>
    </row>
    <row r="1206" spans="1:2" x14ac:dyDescent="0.2">
      <c r="A1206" s="6" t="s">
        <v>16</v>
      </c>
      <c r="B1206" s="16">
        <f>YEAR(Sales_data[[#This Row],[Order Date]])</f>
        <v>2016</v>
      </c>
    </row>
    <row r="1207" spans="1:2" x14ac:dyDescent="0.2">
      <c r="A1207" s="6" t="s">
        <v>17</v>
      </c>
      <c r="B1207" s="16">
        <f>YEAR(Sales_data[[#This Row],[Order Date]])</f>
        <v>2016</v>
      </c>
    </row>
    <row r="1208" spans="1:2" x14ac:dyDescent="0.2">
      <c r="A1208" s="6" t="s">
        <v>19</v>
      </c>
      <c r="B1208" s="16">
        <f>YEAR(Sales_data[[#This Row],[Order Date]])</f>
        <v>2016</v>
      </c>
    </row>
    <row r="1209" spans="1:2" x14ac:dyDescent="0.2">
      <c r="A1209" s="6" t="s">
        <v>10</v>
      </c>
      <c r="B1209" s="16">
        <f>YEAR(Sales_data[[#This Row],[Order Date]])</f>
        <v>2016</v>
      </c>
    </row>
    <row r="1210" spans="1:2" x14ac:dyDescent="0.2">
      <c r="A1210" s="6" t="s">
        <v>18</v>
      </c>
      <c r="B1210" s="16">
        <f>YEAR(Sales_data[[#This Row],[Order Date]])</f>
        <v>2016</v>
      </c>
    </row>
    <row r="1211" spans="1:2" x14ac:dyDescent="0.2">
      <c r="A1211" s="6" t="s">
        <v>17</v>
      </c>
      <c r="B1211" s="16">
        <f>YEAR(Sales_data[[#This Row],[Order Date]])</f>
        <v>2016</v>
      </c>
    </row>
    <row r="1212" spans="1:2" x14ac:dyDescent="0.2">
      <c r="A1212" s="6" t="s">
        <v>12</v>
      </c>
      <c r="B1212" s="16">
        <f>YEAR(Sales_data[[#This Row],[Order Date]])</f>
        <v>2016</v>
      </c>
    </row>
    <row r="1213" spans="1:2" x14ac:dyDescent="0.2">
      <c r="A1213" s="6" t="s">
        <v>15</v>
      </c>
      <c r="B1213" s="16">
        <f>YEAR(Sales_data[[#This Row],[Order Date]])</f>
        <v>2016</v>
      </c>
    </row>
    <row r="1214" spans="1:2" x14ac:dyDescent="0.2">
      <c r="A1214" s="6" t="s">
        <v>14</v>
      </c>
      <c r="B1214" s="16">
        <f>YEAR(Sales_data[[#This Row],[Order Date]])</f>
        <v>2016</v>
      </c>
    </row>
    <row r="1215" spans="1:2" x14ac:dyDescent="0.2">
      <c r="A1215" s="6" t="s">
        <v>17</v>
      </c>
      <c r="B1215" s="16">
        <f>YEAR(Sales_data[[#This Row],[Order Date]])</f>
        <v>2016</v>
      </c>
    </row>
    <row r="1216" spans="1:2" x14ac:dyDescent="0.2">
      <c r="A1216" s="6" t="s">
        <v>17</v>
      </c>
      <c r="B1216" s="16">
        <f>YEAR(Sales_data[[#This Row],[Order Date]])</f>
        <v>2016</v>
      </c>
    </row>
    <row r="1217" spans="1:2" x14ac:dyDescent="0.2">
      <c r="A1217" s="6" t="s">
        <v>11</v>
      </c>
      <c r="B1217" s="16">
        <f>YEAR(Sales_data[[#This Row],[Order Date]])</f>
        <v>2016</v>
      </c>
    </row>
    <row r="1218" spans="1:2" x14ac:dyDescent="0.2">
      <c r="A1218" s="6" t="s">
        <v>21</v>
      </c>
      <c r="B1218" s="16">
        <f>YEAR(Sales_data[[#This Row],[Order Date]])</f>
        <v>2016</v>
      </c>
    </row>
    <row r="1219" spans="1:2" x14ac:dyDescent="0.2">
      <c r="A1219" s="6" t="s">
        <v>15</v>
      </c>
      <c r="B1219" s="16">
        <f>YEAR(Sales_data[[#This Row],[Order Date]])</f>
        <v>2016</v>
      </c>
    </row>
    <row r="1220" spans="1:2" x14ac:dyDescent="0.2">
      <c r="A1220" s="6" t="s">
        <v>17</v>
      </c>
      <c r="B1220" s="16">
        <f>YEAR(Sales_data[[#This Row],[Order Date]])</f>
        <v>2016</v>
      </c>
    </row>
    <row r="1221" spans="1:2" x14ac:dyDescent="0.2">
      <c r="A1221" s="6" t="s">
        <v>16</v>
      </c>
      <c r="B1221" s="16">
        <f>YEAR(Sales_data[[#This Row],[Order Date]])</f>
        <v>2016</v>
      </c>
    </row>
    <row r="1222" spans="1:2" x14ac:dyDescent="0.2">
      <c r="A1222" s="6" t="s">
        <v>14</v>
      </c>
      <c r="B1222" s="16">
        <f>YEAR(Sales_data[[#This Row],[Order Date]])</f>
        <v>2016</v>
      </c>
    </row>
    <row r="1223" spans="1:2" x14ac:dyDescent="0.2">
      <c r="A1223" s="6" t="s">
        <v>17</v>
      </c>
      <c r="B1223" s="16">
        <f>YEAR(Sales_data[[#This Row],[Order Date]])</f>
        <v>2016</v>
      </c>
    </row>
    <row r="1224" spans="1:2" x14ac:dyDescent="0.2">
      <c r="A1224" s="6" t="s">
        <v>9</v>
      </c>
      <c r="B1224" s="16">
        <f>YEAR(Sales_data[[#This Row],[Order Date]])</f>
        <v>2016</v>
      </c>
    </row>
    <row r="1225" spans="1:2" x14ac:dyDescent="0.2">
      <c r="A1225" s="6" t="s">
        <v>12</v>
      </c>
      <c r="B1225" s="16">
        <f>YEAR(Sales_data[[#This Row],[Order Date]])</f>
        <v>2016</v>
      </c>
    </row>
    <row r="1226" spans="1:2" x14ac:dyDescent="0.2">
      <c r="A1226" s="6" t="s">
        <v>11</v>
      </c>
      <c r="B1226" s="16">
        <f>YEAR(Sales_data[[#This Row],[Order Date]])</f>
        <v>2016</v>
      </c>
    </row>
    <row r="1227" spans="1:2" x14ac:dyDescent="0.2">
      <c r="A1227" s="6" t="s">
        <v>19</v>
      </c>
      <c r="B1227" s="16">
        <f>YEAR(Sales_data[[#This Row],[Order Date]])</f>
        <v>2016</v>
      </c>
    </row>
    <row r="1228" spans="1:2" x14ac:dyDescent="0.2">
      <c r="A1228" s="6" t="s">
        <v>18</v>
      </c>
      <c r="B1228" s="16">
        <f>YEAR(Sales_data[[#This Row],[Order Date]])</f>
        <v>2016</v>
      </c>
    </row>
    <row r="1229" spans="1:2" x14ac:dyDescent="0.2">
      <c r="A1229" s="6" t="s">
        <v>16</v>
      </c>
      <c r="B1229" s="16">
        <f>YEAR(Sales_data[[#This Row],[Order Date]])</f>
        <v>2016</v>
      </c>
    </row>
    <row r="1230" spans="1:2" x14ac:dyDescent="0.2">
      <c r="A1230" s="6" t="s">
        <v>14</v>
      </c>
      <c r="B1230" s="16">
        <f>YEAR(Sales_data[[#This Row],[Order Date]])</f>
        <v>2016</v>
      </c>
    </row>
    <row r="1231" spans="1:2" x14ac:dyDescent="0.2">
      <c r="A1231" s="6" t="s">
        <v>12</v>
      </c>
      <c r="B1231" s="16">
        <f>YEAR(Sales_data[[#This Row],[Order Date]])</f>
        <v>2016</v>
      </c>
    </row>
    <row r="1232" spans="1:2" x14ac:dyDescent="0.2">
      <c r="A1232" s="6" t="s">
        <v>17</v>
      </c>
      <c r="B1232" s="16">
        <f>YEAR(Sales_data[[#This Row],[Order Date]])</f>
        <v>2016</v>
      </c>
    </row>
    <row r="1233" spans="1:2" x14ac:dyDescent="0.2">
      <c r="A1233" s="6" t="s">
        <v>21</v>
      </c>
      <c r="B1233" s="16">
        <f>YEAR(Sales_data[[#This Row],[Order Date]])</f>
        <v>2016</v>
      </c>
    </row>
    <row r="1234" spans="1:2" x14ac:dyDescent="0.2">
      <c r="A1234" s="6" t="s">
        <v>13</v>
      </c>
      <c r="B1234" s="16">
        <f>YEAR(Sales_data[[#This Row],[Order Date]])</f>
        <v>2016</v>
      </c>
    </row>
    <row r="1235" spans="1:2" x14ac:dyDescent="0.2">
      <c r="A1235" s="6" t="s">
        <v>13</v>
      </c>
      <c r="B1235" s="16">
        <f>YEAR(Sales_data[[#This Row],[Order Date]])</f>
        <v>2016</v>
      </c>
    </row>
    <row r="1236" spans="1:2" x14ac:dyDescent="0.2">
      <c r="A1236" s="6" t="s">
        <v>15</v>
      </c>
      <c r="B1236" s="16">
        <f>YEAR(Sales_data[[#This Row],[Order Date]])</f>
        <v>2016</v>
      </c>
    </row>
    <row r="1237" spans="1:2" x14ac:dyDescent="0.2">
      <c r="A1237" s="6" t="s">
        <v>18</v>
      </c>
      <c r="B1237" s="16">
        <f>YEAR(Sales_data[[#This Row],[Order Date]])</f>
        <v>2016</v>
      </c>
    </row>
    <row r="1238" spans="1:2" x14ac:dyDescent="0.2">
      <c r="A1238" s="6" t="s">
        <v>18</v>
      </c>
      <c r="B1238" s="16">
        <f>YEAR(Sales_data[[#This Row],[Order Date]])</f>
        <v>2016</v>
      </c>
    </row>
    <row r="1239" spans="1:2" x14ac:dyDescent="0.2">
      <c r="A1239" s="6" t="s">
        <v>21</v>
      </c>
      <c r="B1239" s="16">
        <f>YEAR(Sales_data[[#This Row],[Order Date]])</f>
        <v>2016</v>
      </c>
    </row>
    <row r="1240" spans="1:2" x14ac:dyDescent="0.2">
      <c r="A1240" s="6" t="s">
        <v>11</v>
      </c>
      <c r="B1240" s="16">
        <f>YEAR(Sales_data[[#This Row],[Order Date]])</f>
        <v>2016</v>
      </c>
    </row>
    <row r="1241" spans="1:2" x14ac:dyDescent="0.2">
      <c r="A1241" s="6" t="s">
        <v>12</v>
      </c>
      <c r="B1241" s="16">
        <f>YEAR(Sales_data[[#This Row],[Order Date]])</f>
        <v>2016</v>
      </c>
    </row>
    <row r="1242" spans="1:2" x14ac:dyDescent="0.2">
      <c r="A1242" s="6" t="s">
        <v>17</v>
      </c>
      <c r="B1242" s="16">
        <f>YEAR(Sales_data[[#This Row],[Order Date]])</f>
        <v>2016</v>
      </c>
    </row>
    <row r="1243" spans="1:2" x14ac:dyDescent="0.2">
      <c r="A1243" s="6" t="s">
        <v>15</v>
      </c>
      <c r="B1243" s="16">
        <f>YEAR(Sales_data[[#This Row],[Order Date]])</f>
        <v>2016</v>
      </c>
    </row>
    <row r="1244" spans="1:2" x14ac:dyDescent="0.2">
      <c r="A1244" s="6" t="s">
        <v>11</v>
      </c>
      <c r="B1244" s="16">
        <f>YEAR(Sales_data[[#This Row],[Order Date]])</f>
        <v>2016</v>
      </c>
    </row>
    <row r="1245" spans="1:2" x14ac:dyDescent="0.2">
      <c r="A1245" s="6" t="s">
        <v>10</v>
      </c>
      <c r="B1245" s="16">
        <f>YEAR(Sales_data[[#This Row],[Order Date]])</f>
        <v>2016</v>
      </c>
    </row>
    <row r="1246" spans="1:2" x14ac:dyDescent="0.2">
      <c r="A1246" s="6" t="s">
        <v>18</v>
      </c>
      <c r="B1246" s="16">
        <f>YEAR(Sales_data[[#This Row],[Order Date]])</f>
        <v>2016</v>
      </c>
    </row>
    <row r="1247" spans="1:2" x14ac:dyDescent="0.2">
      <c r="A1247" s="6" t="s">
        <v>11</v>
      </c>
      <c r="B1247" s="16">
        <f>YEAR(Sales_data[[#This Row],[Order Date]])</f>
        <v>2016</v>
      </c>
    </row>
    <row r="1248" spans="1:2" x14ac:dyDescent="0.2">
      <c r="A1248" s="6" t="s">
        <v>17</v>
      </c>
      <c r="B1248" s="16">
        <f>YEAR(Sales_data[[#This Row],[Order Date]])</f>
        <v>2016</v>
      </c>
    </row>
    <row r="1249" spans="1:2" x14ac:dyDescent="0.2">
      <c r="A1249" s="6" t="s">
        <v>14</v>
      </c>
      <c r="B1249" s="16">
        <f>YEAR(Sales_data[[#This Row],[Order Date]])</f>
        <v>2016</v>
      </c>
    </row>
    <row r="1250" spans="1:2" x14ac:dyDescent="0.2">
      <c r="A1250" s="6" t="s">
        <v>13</v>
      </c>
      <c r="B1250" s="16">
        <f>YEAR(Sales_data[[#This Row],[Order Date]])</f>
        <v>2016</v>
      </c>
    </row>
    <row r="1251" spans="1:2" x14ac:dyDescent="0.2">
      <c r="A1251" s="6" t="s">
        <v>19</v>
      </c>
      <c r="B1251" s="16">
        <f>YEAR(Sales_data[[#This Row],[Order Date]])</f>
        <v>2016</v>
      </c>
    </row>
    <row r="1252" spans="1:2" x14ac:dyDescent="0.2">
      <c r="A1252" s="6" t="s">
        <v>20</v>
      </c>
      <c r="B1252" s="16">
        <f>YEAR(Sales_data[[#This Row],[Order Date]])</f>
        <v>2016</v>
      </c>
    </row>
    <row r="1253" spans="1:2" x14ac:dyDescent="0.2">
      <c r="A1253" s="6" t="s">
        <v>12</v>
      </c>
      <c r="B1253" s="16">
        <f>YEAR(Sales_data[[#This Row],[Order Date]])</f>
        <v>2016</v>
      </c>
    </row>
    <row r="1254" spans="1:2" x14ac:dyDescent="0.2">
      <c r="A1254" s="6" t="s">
        <v>17</v>
      </c>
      <c r="B1254" s="16">
        <f>YEAR(Sales_data[[#This Row],[Order Date]])</f>
        <v>2016</v>
      </c>
    </row>
    <row r="1255" spans="1:2" x14ac:dyDescent="0.2">
      <c r="A1255" s="6" t="s">
        <v>13</v>
      </c>
      <c r="B1255" s="16">
        <f>YEAR(Sales_data[[#This Row],[Order Date]])</f>
        <v>2016</v>
      </c>
    </row>
    <row r="1256" spans="1:2" x14ac:dyDescent="0.2">
      <c r="A1256" s="6" t="s">
        <v>17</v>
      </c>
      <c r="B1256" s="16">
        <f>YEAR(Sales_data[[#This Row],[Order Date]])</f>
        <v>2016</v>
      </c>
    </row>
    <row r="1257" spans="1:2" x14ac:dyDescent="0.2">
      <c r="A1257" s="6" t="s">
        <v>17</v>
      </c>
      <c r="B1257" s="16">
        <f>YEAR(Sales_data[[#This Row],[Order Date]])</f>
        <v>2016</v>
      </c>
    </row>
    <row r="1258" spans="1:2" x14ac:dyDescent="0.2">
      <c r="A1258" s="6" t="s">
        <v>13</v>
      </c>
      <c r="B1258" s="16">
        <f>YEAR(Sales_data[[#This Row],[Order Date]])</f>
        <v>2016</v>
      </c>
    </row>
    <row r="1259" spans="1:2" x14ac:dyDescent="0.2">
      <c r="A1259" s="6" t="s">
        <v>21</v>
      </c>
      <c r="B1259" s="16">
        <f>YEAR(Sales_data[[#This Row],[Order Date]])</f>
        <v>2016</v>
      </c>
    </row>
    <row r="1260" spans="1:2" x14ac:dyDescent="0.2">
      <c r="A1260" s="6" t="s">
        <v>14</v>
      </c>
      <c r="B1260" s="16">
        <f>YEAR(Sales_data[[#This Row],[Order Date]])</f>
        <v>2016</v>
      </c>
    </row>
    <row r="1261" spans="1:2" x14ac:dyDescent="0.2">
      <c r="A1261" s="6" t="s">
        <v>9</v>
      </c>
      <c r="B1261" s="16">
        <f>YEAR(Sales_data[[#This Row],[Order Date]])</f>
        <v>2016</v>
      </c>
    </row>
    <row r="1262" spans="1:2" x14ac:dyDescent="0.2">
      <c r="A1262" s="6" t="s">
        <v>17</v>
      </c>
      <c r="B1262" s="16">
        <f>YEAR(Sales_data[[#This Row],[Order Date]])</f>
        <v>2016</v>
      </c>
    </row>
    <row r="1263" spans="1:2" x14ac:dyDescent="0.2">
      <c r="A1263" s="6" t="s">
        <v>20</v>
      </c>
      <c r="B1263" s="16">
        <f>YEAR(Sales_data[[#This Row],[Order Date]])</f>
        <v>2016</v>
      </c>
    </row>
    <row r="1264" spans="1:2" x14ac:dyDescent="0.2">
      <c r="A1264" s="6" t="s">
        <v>16</v>
      </c>
      <c r="B1264" s="16">
        <f>YEAR(Sales_data[[#This Row],[Order Date]])</f>
        <v>2016</v>
      </c>
    </row>
    <row r="1265" spans="1:2" x14ac:dyDescent="0.2">
      <c r="A1265" s="6" t="s">
        <v>17</v>
      </c>
      <c r="B1265" s="16">
        <f>YEAR(Sales_data[[#This Row],[Order Date]])</f>
        <v>2016</v>
      </c>
    </row>
    <row r="1266" spans="1:2" x14ac:dyDescent="0.2">
      <c r="A1266" s="6" t="s">
        <v>12</v>
      </c>
      <c r="B1266" s="16">
        <f>YEAR(Sales_data[[#This Row],[Order Date]])</f>
        <v>2016</v>
      </c>
    </row>
    <row r="1267" spans="1:2" x14ac:dyDescent="0.2">
      <c r="A1267" s="6" t="s">
        <v>16</v>
      </c>
      <c r="B1267" s="16">
        <f>YEAR(Sales_data[[#This Row],[Order Date]])</f>
        <v>2016</v>
      </c>
    </row>
    <row r="1268" spans="1:2" x14ac:dyDescent="0.2">
      <c r="A1268" s="6" t="s">
        <v>15</v>
      </c>
      <c r="B1268" s="16">
        <f>YEAR(Sales_data[[#This Row],[Order Date]])</f>
        <v>2016</v>
      </c>
    </row>
    <row r="1269" spans="1:2" x14ac:dyDescent="0.2">
      <c r="A1269" s="6" t="s">
        <v>19</v>
      </c>
      <c r="B1269" s="16">
        <f>YEAR(Sales_data[[#This Row],[Order Date]])</f>
        <v>2016</v>
      </c>
    </row>
    <row r="1270" spans="1:2" x14ac:dyDescent="0.2">
      <c r="A1270" s="6" t="s">
        <v>18</v>
      </c>
      <c r="B1270" s="16">
        <f>YEAR(Sales_data[[#This Row],[Order Date]])</f>
        <v>2016</v>
      </c>
    </row>
    <row r="1271" spans="1:2" x14ac:dyDescent="0.2">
      <c r="A1271" s="6" t="s">
        <v>15</v>
      </c>
      <c r="B1271" s="16">
        <f>YEAR(Sales_data[[#This Row],[Order Date]])</f>
        <v>2016</v>
      </c>
    </row>
    <row r="1272" spans="1:2" x14ac:dyDescent="0.2">
      <c r="A1272" s="6" t="s">
        <v>9</v>
      </c>
      <c r="B1272" s="16">
        <f>YEAR(Sales_data[[#This Row],[Order Date]])</f>
        <v>2016</v>
      </c>
    </row>
    <row r="1273" spans="1:2" x14ac:dyDescent="0.2">
      <c r="A1273" s="6" t="s">
        <v>9</v>
      </c>
      <c r="B1273" s="16">
        <f>YEAR(Sales_data[[#This Row],[Order Date]])</f>
        <v>2016</v>
      </c>
    </row>
    <row r="1274" spans="1:2" x14ac:dyDescent="0.2">
      <c r="A1274" s="6" t="s">
        <v>13</v>
      </c>
      <c r="B1274" s="16">
        <f>YEAR(Sales_data[[#This Row],[Order Date]])</f>
        <v>2016</v>
      </c>
    </row>
    <row r="1275" spans="1:2" x14ac:dyDescent="0.2">
      <c r="A1275" s="6" t="s">
        <v>13</v>
      </c>
      <c r="B1275" s="16">
        <f>YEAR(Sales_data[[#This Row],[Order Date]])</f>
        <v>2016</v>
      </c>
    </row>
    <row r="1276" spans="1:2" x14ac:dyDescent="0.2">
      <c r="A1276" s="6" t="s">
        <v>17</v>
      </c>
      <c r="B1276" s="16">
        <f>YEAR(Sales_data[[#This Row],[Order Date]])</f>
        <v>2016</v>
      </c>
    </row>
    <row r="1277" spans="1:2" x14ac:dyDescent="0.2">
      <c r="A1277" s="6" t="s">
        <v>17</v>
      </c>
      <c r="B1277" s="16">
        <f>YEAR(Sales_data[[#This Row],[Order Date]])</f>
        <v>2016</v>
      </c>
    </row>
    <row r="1278" spans="1:2" x14ac:dyDescent="0.2">
      <c r="A1278" s="6" t="s">
        <v>13</v>
      </c>
      <c r="B1278" s="16">
        <f>YEAR(Sales_data[[#This Row],[Order Date]])</f>
        <v>2016</v>
      </c>
    </row>
    <row r="1279" spans="1:2" x14ac:dyDescent="0.2">
      <c r="A1279" s="6" t="s">
        <v>19</v>
      </c>
      <c r="B1279" s="16">
        <f>YEAR(Sales_data[[#This Row],[Order Date]])</f>
        <v>2016</v>
      </c>
    </row>
    <row r="1280" spans="1:2" x14ac:dyDescent="0.2">
      <c r="A1280" s="6" t="s">
        <v>17</v>
      </c>
      <c r="B1280" s="16">
        <f>YEAR(Sales_data[[#This Row],[Order Date]])</f>
        <v>2016</v>
      </c>
    </row>
    <row r="1281" spans="1:2" x14ac:dyDescent="0.2">
      <c r="A1281" s="6" t="s">
        <v>13</v>
      </c>
      <c r="B1281" s="16">
        <f>YEAR(Sales_data[[#This Row],[Order Date]])</f>
        <v>2016</v>
      </c>
    </row>
    <row r="1282" spans="1:2" x14ac:dyDescent="0.2">
      <c r="A1282" s="6" t="s">
        <v>12</v>
      </c>
      <c r="B1282" s="16">
        <f>YEAR(Sales_data[[#This Row],[Order Date]])</f>
        <v>2016</v>
      </c>
    </row>
    <row r="1283" spans="1:2" x14ac:dyDescent="0.2">
      <c r="A1283" s="6" t="s">
        <v>15</v>
      </c>
      <c r="B1283" s="16">
        <f>YEAR(Sales_data[[#This Row],[Order Date]])</f>
        <v>2016</v>
      </c>
    </row>
    <row r="1284" spans="1:2" x14ac:dyDescent="0.2">
      <c r="A1284" s="6" t="s">
        <v>19</v>
      </c>
      <c r="B1284" s="16">
        <f>YEAR(Sales_data[[#This Row],[Order Date]])</f>
        <v>2016</v>
      </c>
    </row>
    <row r="1285" spans="1:2" x14ac:dyDescent="0.2">
      <c r="A1285" s="6" t="s">
        <v>9</v>
      </c>
      <c r="B1285" s="16">
        <f>YEAR(Sales_data[[#This Row],[Order Date]])</f>
        <v>2016</v>
      </c>
    </row>
    <row r="1286" spans="1:2" x14ac:dyDescent="0.2">
      <c r="A1286" s="6" t="s">
        <v>17</v>
      </c>
      <c r="B1286" s="16">
        <f>YEAR(Sales_data[[#This Row],[Order Date]])</f>
        <v>2016</v>
      </c>
    </row>
    <row r="1287" spans="1:2" x14ac:dyDescent="0.2">
      <c r="A1287" s="6" t="s">
        <v>13</v>
      </c>
      <c r="B1287" s="16">
        <f>YEAR(Sales_data[[#This Row],[Order Date]])</f>
        <v>2016</v>
      </c>
    </row>
    <row r="1288" spans="1:2" x14ac:dyDescent="0.2">
      <c r="A1288" s="6" t="s">
        <v>19</v>
      </c>
      <c r="B1288" s="16">
        <f>YEAR(Sales_data[[#This Row],[Order Date]])</f>
        <v>2016</v>
      </c>
    </row>
    <row r="1289" spans="1:2" x14ac:dyDescent="0.2">
      <c r="A1289" s="6" t="s">
        <v>10</v>
      </c>
      <c r="B1289" s="16">
        <f>YEAR(Sales_data[[#This Row],[Order Date]])</f>
        <v>2016</v>
      </c>
    </row>
    <row r="1290" spans="1:2" x14ac:dyDescent="0.2">
      <c r="A1290" s="6" t="s">
        <v>19</v>
      </c>
      <c r="B1290" s="16">
        <f>YEAR(Sales_data[[#This Row],[Order Date]])</f>
        <v>2016</v>
      </c>
    </row>
    <row r="1291" spans="1:2" x14ac:dyDescent="0.2">
      <c r="A1291" s="6" t="s">
        <v>17</v>
      </c>
      <c r="B1291" s="16">
        <f>YEAR(Sales_data[[#This Row],[Order Date]])</f>
        <v>2016</v>
      </c>
    </row>
    <row r="1292" spans="1:2" x14ac:dyDescent="0.2">
      <c r="A1292" s="6" t="s">
        <v>15</v>
      </c>
      <c r="B1292" s="16">
        <f>YEAR(Sales_data[[#This Row],[Order Date]])</f>
        <v>2016</v>
      </c>
    </row>
    <row r="1293" spans="1:2" x14ac:dyDescent="0.2">
      <c r="A1293" s="6" t="s">
        <v>20</v>
      </c>
      <c r="B1293" s="16">
        <f>YEAR(Sales_data[[#This Row],[Order Date]])</f>
        <v>2016</v>
      </c>
    </row>
    <row r="1294" spans="1:2" x14ac:dyDescent="0.2">
      <c r="A1294" s="6" t="s">
        <v>11</v>
      </c>
      <c r="B1294" s="16">
        <f>YEAR(Sales_data[[#This Row],[Order Date]])</f>
        <v>2016</v>
      </c>
    </row>
    <row r="1295" spans="1:2" x14ac:dyDescent="0.2">
      <c r="A1295" s="6" t="s">
        <v>18</v>
      </c>
      <c r="B1295" s="16">
        <f>YEAR(Sales_data[[#This Row],[Order Date]])</f>
        <v>2016</v>
      </c>
    </row>
    <row r="1296" spans="1:2" x14ac:dyDescent="0.2">
      <c r="A1296" s="6" t="s">
        <v>17</v>
      </c>
      <c r="B1296" s="16">
        <f>YEAR(Sales_data[[#This Row],[Order Date]])</f>
        <v>2016</v>
      </c>
    </row>
    <row r="1297" spans="1:2" x14ac:dyDescent="0.2">
      <c r="A1297" s="6" t="s">
        <v>16</v>
      </c>
      <c r="B1297" s="16">
        <f>YEAR(Sales_data[[#This Row],[Order Date]])</f>
        <v>2016</v>
      </c>
    </row>
    <row r="1298" spans="1:2" x14ac:dyDescent="0.2">
      <c r="A1298" s="6" t="s">
        <v>13</v>
      </c>
      <c r="B1298" s="16">
        <f>YEAR(Sales_data[[#This Row],[Order Date]])</f>
        <v>2016</v>
      </c>
    </row>
    <row r="1299" spans="1:2" x14ac:dyDescent="0.2">
      <c r="A1299" s="6" t="s">
        <v>20</v>
      </c>
      <c r="B1299" s="16">
        <f>YEAR(Sales_data[[#This Row],[Order Date]])</f>
        <v>2016</v>
      </c>
    </row>
    <row r="1300" spans="1:2" x14ac:dyDescent="0.2">
      <c r="A1300" s="6" t="s">
        <v>17</v>
      </c>
      <c r="B1300" s="16">
        <f>YEAR(Sales_data[[#This Row],[Order Date]])</f>
        <v>2016</v>
      </c>
    </row>
    <row r="1301" spans="1:2" x14ac:dyDescent="0.2">
      <c r="A1301" s="6" t="s">
        <v>17</v>
      </c>
      <c r="B1301" s="16">
        <f>YEAR(Sales_data[[#This Row],[Order Date]])</f>
        <v>2016</v>
      </c>
    </row>
    <row r="1302" spans="1:2" x14ac:dyDescent="0.2">
      <c r="A1302" s="6" t="s">
        <v>13</v>
      </c>
      <c r="B1302" s="16">
        <f>YEAR(Sales_data[[#This Row],[Order Date]])</f>
        <v>2016</v>
      </c>
    </row>
    <row r="1303" spans="1:2" x14ac:dyDescent="0.2">
      <c r="A1303" s="6" t="s">
        <v>21</v>
      </c>
      <c r="B1303" s="16">
        <f>YEAR(Sales_data[[#This Row],[Order Date]])</f>
        <v>2016</v>
      </c>
    </row>
    <row r="1304" spans="1:2" x14ac:dyDescent="0.2">
      <c r="A1304" s="6" t="s">
        <v>21</v>
      </c>
      <c r="B1304" s="16">
        <f>YEAR(Sales_data[[#This Row],[Order Date]])</f>
        <v>2016</v>
      </c>
    </row>
    <row r="1305" spans="1:2" x14ac:dyDescent="0.2">
      <c r="A1305" s="6" t="s">
        <v>11</v>
      </c>
      <c r="B1305" s="16">
        <f>YEAR(Sales_data[[#This Row],[Order Date]])</f>
        <v>2016</v>
      </c>
    </row>
    <row r="1306" spans="1:2" x14ac:dyDescent="0.2">
      <c r="A1306" s="6" t="s">
        <v>20</v>
      </c>
      <c r="B1306" s="16">
        <f>YEAR(Sales_data[[#This Row],[Order Date]])</f>
        <v>2016</v>
      </c>
    </row>
    <row r="1307" spans="1:2" x14ac:dyDescent="0.2">
      <c r="A1307" s="6" t="s">
        <v>18</v>
      </c>
      <c r="B1307" s="16">
        <f>YEAR(Sales_data[[#This Row],[Order Date]])</f>
        <v>2016</v>
      </c>
    </row>
    <row r="1308" spans="1:2" x14ac:dyDescent="0.2">
      <c r="A1308" s="6" t="s">
        <v>20</v>
      </c>
      <c r="B1308" s="16">
        <f>YEAR(Sales_data[[#This Row],[Order Date]])</f>
        <v>2016</v>
      </c>
    </row>
    <row r="1309" spans="1:2" x14ac:dyDescent="0.2">
      <c r="A1309" s="6" t="s">
        <v>14</v>
      </c>
      <c r="B1309" s="16">
        <f>YEAR(Sales_data[[#This Row],[Order Date]])</f>
        <v>2016</v>
      </c>
    </row>
    <row r="1310" spans="1:2" x14ac:dyDescent="0.2">
      <c r="A1310" s="6" t="s">
        <v>13</v>
      </c>
      <c r="B1310" s="16">
        <f>YEAR(Sales_data[[#This Row],[Order Date]])</f>
        <v>2016</v>
      </c>
    </row>
    <row r="1311" spans="1:2" x14ac:dyDescent="0.2">
      <c r="A1311" s="6" t="s">
        <v>14</v>
      </c>
      <c r="B1311" s="16">
        <f>YEAR(Sales_data[[#This Row],[Order Date]])</f>
        <v>2016</v>
      </c>
    </row>
    <row r="1312" spans="1:2" x14ac:dyDescent="0.2">
      <c r="A1312" s="6" t="s">
        <v>9</v>
      </c>
      <c r="B1312" s="16">
        <f>YEAR(Sales_data[[#This Row],[Order Date]])</f>
        <v>2016</v>
      </c>
    </row>
    <row r="1313" spans="1:2" x14ac:dyDescent="0.2">
      <c r="A1313" s="6" t="s">
        <v>9</v>
      </c>
      <c r="B1313" s="16">
        <f>YEAR(Sales_data[[#This Row],[Order Date]])</f>
        <v>2016</v>
      </c>
    </row>
    <row r="1314" spans="1:2" x14ac:dyDescent="0.2">
      <c r="A1314" s="6" t="s">
        <v>14</v>
      </c>
      <c r="B1314" s="16">
        <f>YEAR(Sales_data[[#This Row],[Order Date]])</f>
        <v>2016</v>
      </c>
    </row>
    <row r="1315" spans="1:2" x14ac:dyDescent="0.2">
      <c r="A1315" s="6" t="s">
        <v>17</v>
      </c>
      <c r="B1315" s="16">
        <f>YEAR(Sales_data[[#This Row],[Order Date]])</f>
        <v>2016</v>
      </c>
    </row>
    <row r="1316" spans="1:2" x14ac:dyDescent="0.2">
      <c r="A1316" s="6" t="s">
        <v>15</v>
      </c>
      <c r="B1316" s="16">
        <f>YEAR(Sales_data[[#This Row],[Order Date]])</f>
        <v>2016</v>
      </c>
    </row>
    <row r="1317" spans="1:2" x14ac:dyDescent="0.2">
      <c r="A1317" s="6" t="s">
        <v>16</v>
      </c>
      <c r="B1317" s="16">
        <f>YEAR(Sales_data[[#This Row],[Order Date]])</f>
        <v>2016</v>
      </c>
    </row>
    <row r="1318" spans="1:2" x14ac:dyDescent="0.2">
      <c r="A1318" s="6" t="s">
        <v>19</v>
      </c>
      <c r="B1318" s="16">
        <f>YEAR(Sales_data[[#This Row],[Order Date]])</f>
        <v>2016</v>
      </c>
    </row>
    <row r="1319" spans="1:2" x14ac:dyDescent="0.2">
      <c r="A1319" s="6" t="s">
        <v>18</v>
      </c>
      <c r="B1319" s="16">
        <f>YEAR(Sales_data[[#This Row],[Order Date]])</f>
        <v>2016</v>
      </c>
    </row>
    <row r="1320" spans="1:2" x14ac:dyDescent="0.2">
      <c r="A1320" s="6" t="s">
        <v>10</v>
      </c>
      <c r="B1320" s="16">
        <f>YEAR(Sales_data[[#This Row],[Order Date]])</f>
        <v>2016</v>
      </c>
    </row>
    <row r="1321" spans="1:2" x14ac:dyDescent="0.2">
      <c r="A1321" s="6" t="s">
        <v>11</v>
      </c>
      <c r="B1321" s="16">
        <f>YEAR(Sales_data[[#This Row],[Order Date]])</f>
        <v>2016</v>
      </c>
    </row>
    <row r="1322" spans="1:2" x14ac:dyDescent="0.2">
      <c r="A1322" s="6" t="s">
        <v>19</v>
      </c>
      <c r="B1322" s="16">
        <f>YEAR(Sales_data[[#This Row],[Order Date]])</f>
        <v>2016</v>
      </c>
    </row>
    <row r="1323" spans="1:2" x14ac:dyDescent="0.2">
      <c r="A1323" s="6" t="s">
        <v>20</v>
      </c>
      <c r="B1323" s="16">
        <f>YEAR(Sales_data[[#This Row],[Order Date]])</f>
        <v>2016</v>
      </c>
    </row>
    <row r="1324" spans="1:2" x14ac:dyDescent="0.2">
      <c r="A1324" s="6" t="s">
        <v>19</v>
      </c>
      <c r="B1324" s="16">
        <f>YEAR(Sales_data[[#This Row],[Order Date]])</f>
        <v>2016</v>
      </c>
    </row>
    <row r="1325" spans="1:2" x14ac:dyDescent="0.2">
      <c r="A1325" s="6" t="s">
        <v>10</v>
      </c>
      <c r="B1325" s="16">
        <f>YEAR(Sales_data[[#This Row],[Order Date]])</f>
        <v>2016</v>
      </c>
    </row>
    <row r="1326" spans="1:2" x14ac:dyDescent="0.2">
      <c r="A1326" s="6" t="s">
        <v>15</v>
      </c>
      <c r="B1326" s="16">
        <f>YEAR(Sales_data[[#This Row],[Order Date]])</f>
        <v>2016</v>
      </c>
    </row>
    <row r="1327" spans="1:2" x14ac:dyDescent="0.2">
      <c r="A1327" s="6" t="s">
        <v>11</v>
      </c>
      <c r="B1327" s="16">
        <f>YEAR(Sales_data[[#This Row],[Order Date]])</f>
        <v>2016</v>
      </c>
    </row>
    <row r="1328" spans="1:2" x14ac:dyDescent="0.2">
      <c r="A1328" s="6" t="s">
        <v>21</v>
      </c>
      <c r="B1328" s="16">
        <f>YEAR(Sales_data[[#This Row],[Order Date]])</f>
        <v>2016</v>
      </c>
    </row>
    <row r="1329" spans="1:2" x14ac:dyDescent="0.2">
      <c r="A1329" s="6" t="s">
        <v>21</v>
      </c>
      <c r="B1329" s="16">
        <f>YEAR(Sales_data[[#This Row],[Order Date]])</f>
        <v>2016</v>
      </c>
    </row>
    <row r="1330" spans="1:2" x14ac:dyDescent="0.2">
      <c r="A1330" s="6" t="s">
        <v>16</v>
      </c>
      <c r="B1330" s="16">
        <f>YEAR(Sales_data[[#This Row],[Order Date]])</f>
        <v>2016</v>
      </c>
    </row>
    <row r="1331" spans="1:2" x14ac:dyDescent="0.2">
      <c r="A1331" s="6" t="s">
        <v>21</v>
      </c>
      <c r="B1331" s="16">
        <f>YEAR(Sales_data[[#This Row],[Order Date]])</f>
        <v>2016</v>
      </c>
    </row>
    <row r="1332" spans="1:2" x14ac:dyDescent="0.2">
      <c r="A1332" s="6" t="s">
        <v>19</v>
      </c>
      <c r="B1332" s="16">
        <f>YEAR(Sales_data[[#This Row],[Order Date]])</f>
        <v>2016</v>
      </c>
    </row>
    <row r="1333" spans="1:2" x14ac:dyDescent="0.2">
      <c r="A1333" s="6" t="s">
        <v>19</v>
      </c>
      <c r="B1333" s="16">
        <f>YEAR(Sales_data[[#This Row],[Order Date]])</f>
        <v>2016</v>
      </c>
    </row>
    <row r="1334" spans="1:2" x14ac:dyDescent="0.2">
      <c r="A1334" s="6" t="s">
        <v>13</v>
      </c>
      <c r="B1334" s="16">
        <f>YEAR(Sales_data[[#This Row],[Order Date]])</f>
        <v>2016</v>
      </c>
    </row>
    <row r="1335" spans="1:2" x14ac:dyDescent="0.2">
      <c r="A1335" s="6" t="s">
        <v>12</v>
      </c>
      <c r="B1335" s="16">
        <f>YEAR(Sales_data[[#This Row],[Order Date]])</f>
        <v>2016</v>
      </c>
    </row>
    <row r="1336" spans="1:2" x14ac:dyDescent="0.2">
      <c r="A1336" s="6" t="s">
        <v>13</v>
      </c>
      <c r="B1336" s="16">
        <f>YEAR(Sales_data[[#This Row],[Order Date]])</f>
        <v>2016</v>
      </c>
    </row>
    <row r="1337" spans="1:2" x14ac:dyDescent="0.2">
      <c r="A1337" s="6" t="s">
        <v>10</v>
      </c>
      <c r="B1337" s="16">
        <f>YEAR(Sales_data[[#This Row],[Order Date]])</f>
        <v>2016</v>
      </c>
    </row>
    <row r="1338" spans="1:2" x14ac:dyDescent="0.2">
      <c r="A1338" s="6" t="s">
        <v>18</v>
      </c>
      <c r="B1338" s="16">
        <f>YEAR(Sales_data[[#This Row],[Order Date]])</f>
        <v>2016</v>
      </c>
    </row>
    <row r="1339" spans="1:2" x14ac:dyDescent="0.2">
      <c r="A1339" s="6" t="s">
        <v>10</v>
      </c>
      <c r="B1339" s="16">
        <f>YEAR(Sales_data[[#This Row],[Order Date]])</f>
        <v>2016</v>
      </c>
    </row>
    <row r="1340" spans="1:2" x14ac:dyDescent="0.2">
      <c r="A1340" s="6" t="s">
        <v>16</v>
      </c>
      <c r="B1340" s="16">
        <f>YEAR(Sales_data[[#This Row],[Order Date]])</f>
        <v>2016</v>
      </c>
    </row>
    <row r="1341" spans="1:2" x14ac:dyDescent="0.2">
      <c r="A1341" s="6" t="s">
        <v>21</v>
      </c>
      <c r="B1341" s="16">
        <f>YEAR(Sales_data[[#This Row],[Order Date]])</f>
        <v>2016</v>
      </c>
    </row>
    <row r="1342" spans="1:2" x14ac:dyDescent="0.2">
      <c r="A1342" s="6" t="s">
        <v>18</v>
      </c>
      <c r="B1342" s="16">
        <f>YEAR(Sales_data[[#This Row],[Order Date]])</f>
        <v>2016</v>
      </c>
    </row>
    <row r="1343" spans="1:2" x14ac:dyDescent="0.2">
      <c r="A1343" s="6" t="s">
        <v>21</v>
      </c>
      <c r="B1343" s="16">
        <f>YEAR(Sales_data[[#This Row],[Order Date]])</f>
        <v>2016</v>
      </c>
    </row>
    <row r="1344" spans="1:2" x14ac:dyDescent="0.2">
      <c r="A1344" s="6" t="s">
        <v>17</v>
      </c>
      <c r="B1344" s="16">
        <f>YEAR(Sales_data[[#This Row],[Order Date]])</f>
        <v>2016</v>
      </c>
    </row>
    <row r="1345" spans="1:2" x14ac:dyDescent="0.2">
      <c r="A1345" s="6" t="s">
        <v>16</v>
      </c>
      <c r="B1345" s="16">
        <f>YEAR(Sales_data[[#This Row],[Order Date]])</f>
        <v>2016</v>
      </c>
    </row>
    <row r="1346" spans="1:2" x14ac:dyDescent="0.2">
      <c r="A1346" s="6" t="s">
        <v>15</v>
      </c>
      <c r="B1346" s="16">
        <f>YEAR(Sales_data[[#This Row],[Order Date]])</f>
        <v>2016</v>
      </c>
    </row>
    <row r="1347" spans="1:2" x14ac:dyDescent="0.2">
      <c r="A1347" s="6" t="s">
        <v>20</v>
      </c>
      <c r="B1347" s="16">
        <f>YEAR(Sales_data[[#This Row],[Order Date]])</f>
        <v>2016</v>
      </c>
    </row>
    <row r="1348" spans="1:2" x14ac:dyDescent="0.2">
      <c r="A1348" s="6" t="s">
        <v>10</v>
      </c>
      <c r="B1348" s="16">
        <f>YEAR(Sales_data[[#This Row],[Order Date]])</f>
        <v>2016</v>
      </c>
    </row>
    <row r="1349" spans="1:2" x14ac:dyDescent="0.2">
      <c r="A1349" s="6" t="s">
        <v>10</v>
      </c>
      <c r="B1349" s="16">
        <f>YEAR(Sales_data[[#This Row],[Order Date]])</f>
        <v>2016</v>
      </c>
    </row>
    <row r="1350" spans="1:2" x14ac:dyDescent="0.2">
      <c r="A1350" s="6" t="s">
        <v>11</v>
      </c>
      <c r="B1350" s="16">
        <f>YEAR(Sales_data[[#This Row],[Order Date]])</f>
        <v>2016</v>
      </c>
    </row>
    <row r="1351" spans="1:2" x14ac:dyDescent="0.2">
      <c r="A1351" s="6" t="s">
        <v>12</v>
      </c>
      <c r="B1351" s="16">
        <f>YEAR(Sales_data[[#This Row],[Order Date]])</f>
        <v>2016</v>
      </c>
    </row>
    <row r="1352" spans="1:2" x14ac:dyDescent="0.2">
      <c r="A1352" s="6" t="s">
        <v>18</v>
      </c>
      <c r="B1352" s="16">
        <f>YEAR(Sales_data[[#This Row],[Order Date]])</f>
        <v>2016</v>
      </c>
    </row>
    <row r="1353" spans="1:2" x14ac:dyDescent="0.2">
      <c r="A1353" s="6" t="s">
        <v>11</v>
      </c>
      <c r="B1353" s="16">
        <f>YEAR(Sales_data[[#This Row],[Order Date]])</f>
        <v>2016</v>
      </c>
    </row>
    <row r="1354" spans="1:2" x14ac:dyDescent="0.2">
      <c r="A1354" s="6" t="s">
        <v>10</v>
      </c>
      <c r="B1354" s="16">
        <f>YEAR(Sales_data[[#This Row],[Order Date]])</f>
        <v>2016</v>
      </c>
    </row>
    <row r="1355" spans="1:2" x14ac:dyDescent="0.2">
      <c r="A1355" s="6" t="s">
        <v>20</v>
      </c>
      <c r="B1355" s="16">
        <f>YEAR(Sales_data[[#This Row],[Order Date]])</f>
        <v>2016</v>
      </c>
    </row>
    <row r="1356" spans="1:2" x14ac:dyDescent="0.2">
      <c r="A1356" s="6" t="s">
        <v>13</v>
      </c>
      <c r="B1356" s="16">
        <f>YEAR(Sales_data[[#This Row],[Order Date]])</f>
        <v>2016</v>
      </c>
    </row>
    <row r="1357" spans="1:2" x14ac:dyDescent="0.2">
      <c r="A1357" s="6" t="s">
        <v>19</v>
      </c>
      <c r="B1357" s="16">
        <f>YEAR(Sales_data[[#This Row],[Order Date]])</f>
        <v>2016</v>
      </c>
    </row>
    <row r="1358" spans="1:2" x14ac:dyDescent="0.2">
      <c r="A1358" s="6" t="s">
        <v>10</v>
      </c>
      <c r="B1358" s="16">
        <f>YEAR(Sales_data[[#This Row],[Order Date]])</f>
        <v>2016</v>
      </c>
    </row>
    <row r="1359" spans="1:2" x14ac:dyDescent="0.2">
      <c r="A1359" s="6" t="s">
        <v>14</v>
      </c>
      <c r="B1359" s="16">
        <f>YEAR(Sales_data[[#This Row],[Order Date]])</f>
        <v>2016</v>
      </c>
    </row>
    <row r="1360" spans="1:2" x14ac:dyDescent="0.2">
      <c r="A1360" s="6" t="s">
        <v>19</v>
      </c>
      <c r="B1360" s="16">
        <f>YEAR(Sales_data[[#This Row],[Order Date]])</f>
        <v>2016</v>
      </c>
    </row>
    <row r="1361" spans="1:2" x14ac:dyDescent="0.2">
      <c r="A1361" s="6" t="s">
        <v>21</v>
      </c>
      <c r="B1361" s="16">
        <f>YEAR(Sales_data[[#This Row],[Order Date]])</f>
        <v>2016</v>
      </c>
    </row>
    <row r="1362" spans="1:2" x14ac:dyDescent="0.2">
      <c r="A1362" s="6" t="s">
        <v>11</v>
      </c>
      <c r="B1362" s="16">
        <f>YEAR(Sales_data[[#This Row],[Order Date]])</f>
        <v>2016</v>
      </c>
    </row>
    <row r="1363" spans="1:2" x14ac:dyDescent="0.2">
      <c r="A1363" s="6" t="s">
        <v>14</v>
      </c>
      <c r="B1363" s="16">
        <f>YEAR(Sales_data[[#This Row],[Order Date]])</f>
        <v>2016</v>
      </c>
    </row>
    <row r="1364" spans="1:2" x14ac:dyDescent="0.2">
      <c r="A1364" s="6" t="s">
        <v>16</v>
      </c>
      <c r="B1364" s="16">
        <f>YEAR(Sales_data[[#This Row],[Order Date]])</f>
        <v>2016</v>
      </c>
    </row>
    <row r="1365" spans="1:2" x14ac:dyDescent="0.2">
      <c r="A1365" s="6" t="s">
        <v>13</v>
      </c>
      <c r="B1365" s="16">
        <f>YEAR(Sales_data[[#This Row],[Order Date]])</f>
        <v>2016</v>
      </c>
    </row>
    <row r="1366" spans="1:2" x14ac:dyDescent="0.2">
      <c r="A1366" s="6" t="s">
        <v>11</v>
      </c>
      <c r="B1366" s="16">
        <f>YEAR(Sales_data[[#This Row],[Order Date]])</f>
        <v>2016</v>
      </c>
    </row>
    <row r="1367" spans="1:2" x14ac:dyDescent="0.2">
      <c r="A1367" s="6" t="s">
        <v>9</v>
      </c>
      <c r="B1367" s="16">
        <f>YEAR(Sales_data[[#This Row],[Order Date]])</f>
        <v>2016</v>
      </c>
    </row>
    <row r="1368" spans="1:2" x14ac:dyDescent="0.2">
      <c r="A1368" s="6" t="s">
        <v>9</v>
      </c>
      <c r="B1368" s="16">
        <f>YEAR(Sales_data[[#This Row],[Order Date]])</f>
        <v>2016</v>
      </c>
    </row>
    <row r="1369" spans="1:2" x14ac:dyDescent="0.2">
      <c r="A1369" s="6" t="s">
        <v>15</v>
      </c>
      <c r="B1369" s="16">
        <f>YEAR(Sales_data[[#This Row],[Order Date]])</f>
        <v>2016</v>
      </c>
    </row>
    <row r="1370" spans="1:2" x14ac:dyDescent="0.2">
      <c r="A1370" s="6" t="s">
        <v>19</v>
      </c>
      <c r="B1370" s="16">
        <f>YEAR(Sales_data[[#This Row],[Order Date]])</f>
        <v>2016</v>
      </c>
    </row>
    <row r="1371" spans="1:2" x14ac:dyDescent="0.2">
      <c r="A1371" s="6" t="s">
        <v>14</v>
      </c>
      <c r="B1371" s="16">
        <f>YEAR(Sales_data[[#This Row],[Order Date]])</f>
        <v>2016</v>
      </c>
    </row>
    <row r="1372" spans="1:2" x14ac:dyDescent="0.2">
      <c r="A1372" s="6" t="s">
        <v>9</v>
      </c>
      <c r="B1372" s="16">
        <f>YEAR(Sales_data[[#This Row],[Order Date]])</f>
        <v>2016</v>
      </c>
    </row>
    <row r="1373" spans="1:2" x14ac:dyDescent="0.2">
      <c r="A1373" s="6" t="s">
        <v>15</v>
      </c>
      <c r="B1373" s="16">
        <f>YEAR(Sales_data[[#This Row],[Order Date]])</f>
        <v>2016</v>
      </c>
    </row>
    <row r="1374" spans="1:2" x14ac:dyDescent="0.2">
      <c r="A1374" s="6" t="s">
        <v>16</v>
      </c>
      <c r="B1374" s="16">
        <f>YEAR(Sales_data[[#This Row],[Order Date]])</f>
        <v>2016</v>
      </c>
    </row>
    <row r="1375" spans="1:2" x14ac:dyDescent="0.2">
      <c r="A1375" s="6" t="s">
        <v>20</v>
      </c>
      <c r="B1375" s="16">
        <f>YEAR(Sales_data[[#This Row],[Order Date]])</f>
        <v>2016</v>
      </c>
    </row>
    <row r="1376" spans="1:2" x14ac:dyDescent="0.2">
      <c r="A1376" s="6" t="s">
        <v>17</v>
      </c>
      <c r="B1376" s="16">
        <f>YEAR(Sales_data[[#This Row],[Order Date]])</f>
        <v>2016</v>
      </c>
    </row>
    <row r="1377" spans="1:2" x14ac:dyDescent="0.2">
      <c r="A1377" s="6" t="s">
        <v>15</v>
      </c>
      <c r="B1377" s="16">
        <f>YEAR(Sales_data[[#This Row],[Order Date]])</f>
        <v>2016</v>
      </c>
    </row>
    <row r="1378" spans="1:2" x14ac:dyDescent="0.2">
      <c r="A1378" s="6" t="s">
        <v>21</v>
      </c>
      <c r="B1378" s="16">
        <f>YEAR(Sales_data[[#This Row],[Order Date]])</f>
        <v>2016</v>
      </c>
    </row>
    <row r="1379" spans="1:2" x14ac:dyDescent="0.2">
      <c r="A1379" s="6" t="s">
        <v>15</v>
      </c>
      <c r="B1379" s="16">
        <f>YEAR(Sales_data[[#This Row],[Order Date]])</f>
        <v>2016</v>
      </c>
    </row>
    <row r="1380" spans="1:2" x14ac:dyDescent="0.2">
      <c r="A1380" s="6" t="s">
        <v>17</v>
      </c>
      <c r="B1380" s="16">
        <f>YEAR(Sales_data[[#This Row],[Order Date]])</f>
        <v>2016</v>
      </c>
    </row>
    <row r="1381" spans="1:2" x14ac:dyDescent="0.2">
      <c r="A1381" s="6" t="s">
        <v>13</v>
      </c>
      <c r="B1381" s="16">
        <f>YEAR(Sales_data[[#This Row],[Order Date]])</f>
        <v>2016</v>
      </c>
    </row>
    <row r="1382" spans="1:2" x14ac:dyDescent="0.2">
      <c r="A1382" s="6" t="s">
        <v>10</v>
      </c>
      <c r="B1382" s="16">
        <f>YEAR(Sales_data[[#This Row],[Order Date]])</f>
        <v>2016</v>
      </c>
    </row>
    <row r="1383" spans="1:2" x14ac:dyDescent="0.2">
      <c r="A1383" s="6" t="s">
        <v>18</v>
      </c>
      <c r="B1383" s="16">
        <f>YEAR(Sales_data[[#This Row],[Order Date]])</f>
        <v>2016</v>
      </c>
    </row>
    <row r="1384" spans="1:2" x14ac:dyDescent="0.2">
      <c r="A1384" s="6" t="s">
        <v>10</v>
      </c>
      <c r="B1384" s="16">
        <f>YEAR(Sales_data[[#This Row],[Order Date]])</f>
        <v>2016</v>
      </c>
    </row>
    <row r="1385" spans="1:2" x14ac:dyDescent="0.2">
      <c r="A1385" s="6" t="s">
        <v>17</v>
      </c>
      <c r="B1385" s="16">
        <f>YEAR(Sales_data[[#This Row],[Order Date]])</f>
        <v>2016</v>
      </c>
    </row>
    <row r="1386" spans="1:2" x14ac:dyDescent="0.2">
      <c r="A1386" s="6" t="s">
        <v>19</v>
      </c>
      <c r="B1386" s="16">
        <f>YEAR(Sales_data[[#This Row],[Order Date]])</f>
        <v>2016</v>
      </c>
    </row>
    <row r="1387" spans="1:2" x14ac:dyDescent="0.2">
      <c r="A1387" s="6" t="s">
        <v>14</v>
      </c>
      <c r="B1387" s="16">
        <f>YEAR(Sales_data[[#This Row],[Order Date]])</f>
        <v>2016</v>
      </c>
    </row>
    <row r="1388" spans="1:2" x14ac:dyDescent="0.2">
      <c r="A1388" s="6" t="s">
        <v>12</v>
      </c>
      <c r="B1388" s="16">
        <f>YEAR(Sales_data[[#This Row],[Order Date]])</f>
        <v>2016</v>
      </c>
    </row>
    <row r="1389" spans="1:2" x14ac:dyDescent="0.2">
      <c r="A1389" s="6" t="s">
        <v>17</v>
      </c>
      <c r="B1389" s="16">
        <f>YEAR(Sales_data[[#This Row],[Order Date]])</f>
        <v>2016</v>
      </c>
    </row>
    <row r="1390" spans="1:2" x14ac:dyDescent="0.2">
      <c r="A1390" s="6" t="s">
        <v>13</v>
      </c>
      <c r="B1390" s="16">
        <f>YEAR(Sales_data[[#This Row],[Order Date]])</f>
        <v>2016</v>
      </c>
    </row>
    <row r="1391" spans="1:2" x14ac:dyDescent="0.2">
      <c r="A1391" s="6" t="s">
        <v>19</v>
      </c>
      <c r="B1391" s="16">
        <f>YEAR(Sales_data[[#This Row],[Order Date]])</f>
        <v>2016</v>
      </c>
    </row>
    <row r="1392" spans="1:2" x14ac:dyDescent="0.2">
      <c r="A1392" s="6" t="s">
        <v>15</v>
      </c>
      <c r="B1392" s="16">
        <f>YEAR(Sales_data[[#This Row],[Order Date]])</f>
        <v>2016</v>
      </c>
    </row>
    <row r="1393" spans="1:2" x14ac:dyDescent="0.2">
      <c r="A1393" s="6" t="s">
        <v>16</v>
      </c>
      <c r="B1393" s="16">
        <f>YEAR(Sales_data[[#This Row],[Order Date]])</f>
        <v>2016</v>
      </c>
    </row>
    <row r="1394" spans="1:2" x14ac:dyDescent="0.2">
      <c r="A1394" s="6" t="s">
        <v>14</v>
      </c>
      <c r="B1394" s="16">
        <f>YEAR(Sales_data[[#This Row],[Order Date]])</f>
        <v>2016</v>
      </c>
    </row>
    <row r="1395" spans="1:2" x14ac:dyDescent="0.2">
      <c r="A1395" s="6" t="s">
        <v>13</v>
      </c>
      <c r="B1395" s="16">
        <f>YEAR(Sales_data[[#This Row],[Order Date]])</f>
        <v>2016</v>
      </c>
    </row>
    <row r="1396" spans="1:2" x14ac:dyDescent="0.2">
      <c r="A1396" s="6" t="s">
        <v>11</v>
      </c>
      <c r="B1396" s="16">
        <f>YEAR(Sales_data[[#This Row],[Order Date]])</f>
        <v>2016</v>
      </c>
    </row>
    <row r="1397" spans="1:2" x14ac:dyDescent="0.2">
      <c r="A1397" s="6" t="s">
        <v>17</v>
      </c>
      <c r="B1397" s="16">
        <f>YEAR(Sales_data[[#This Row],[Order Date]])</f>
        <v>2016</v>
      </c>
    </row>
    <row r="1398" spans="1:2" x14ac:dyDescent="0.2">
      <c r="A1398" s="6" t="s">
        <v>12</v>
      </c>
      <c r="B1398" s="16">
        <f>YEAR(Sales_data[[#This Row],[Order Date]])</f>
        <v>2016</v>
      </c>
    </row>
    <row r="1399" spans="1:2" x14ac:dyDescent="0.2">
      <c r="A1399" s="6" t="s">
        <v>13</v>
      </c>
      <c r="B1399" s="16">
        <f>YEAR(Sales_data[[#This Row],[Order Date]])</f>
        <v>2016</v>
      </c>
    </row>
    <row r="1400" spans="1:2" x14ac:dyDescent="0.2">
      <c r="A1400" s="6" t="s">
        <v>10</v>
      </c>
      <c r="B1400" s="16">
        <f>YEAR(Sales_data[[#This Row],[Order Date]])</f>
        <v>2016</v>
      </c>
    </row>
    <row r="1401" spans="1:2" x14ac:dyDescent="0.2">
      <c r="A1401" s="6" t="s">
        <v>18</v>
      </c>
      <c r="B1401" s="16">
        <f>YEAR(Sales_data[[#This Row],[Order Date]])</f>
        <v>2016</v>
      </c>
    </row>
    <row r="1402" spans="1:2" x14ac:dyDescent="0.2">
      <c r="A1402" s="6" t="s">
        <v>19</v>
      </c>
      <c r="B1402" s="16">
        <f>YEAR(Sales_data[[#This Row],[Order Date]])</f>
        <v>2016</v>
      </c>
    </row>
    <row r="1403" spans="1:2" x14ac:dyDescent="0.2">
      <c r="A1403" s="6" t="s">
        <v>16</v>
      </c>
      <c r="B1403" s="16">
        <f>YEAR(Sales_data[[#This Row],[Order Date]])</f>
        <v>2016</v>
      </c>
    </row>
    <row r="1404" spans="1:2" x14ac:dyDescent="0.2">
      <c r="A1404" s="6" t="s">
        <v>21</v>
      </c>
      <c r="B1404" s="16">
        <f>YEAR(Sales_data[[#This Row],[Order Date]])</f>
        <v>2016</v>
      </c>
    </row>
    <row r="1405" spans="1:2" x14ac:dyDescent="0.2">
      <c r="A1405" s="6" t="s">
        <v>19</v>
      </c>
      <c r="B1405" s="16">
        <f>YEAR(Sales_data[[#This Row],[Order Date]])</f>
        <v>2016</v>
      </c>
    </row>
    <row r="1406" spans="1:2" x14ac:dyDescent="0.2">
      <c r="A1406" s="6" t="s">
        <v>9</v>
      </c>
      <c r="B1406" s="16">
        <f>YEAR(Sales_data[[#This Row],[Order Date]])</f>
        <v>2016</v>
      </c>
    </row>
    <row r="1407" spans="1:2" x14ac:dyDescent="0.2">
      <c r="A1407" s="6" t="s">
        <v>11</v>
      </c>
      <c r="B1407" s="16">
        <f>YEAR(Sales_data[[#This Row],[Order Date]])</f>
        <v>2016</v>
      </c>
    </row>
    <row r="1408" spans="1:2" x14ac:dyDescent="0.2">
      <c r="A1408" s="6" t="s">
        <v>20</v>
      </c>
      <c r="B1408" s="16">
        <f>YEAR(Sales_data[[#This Row],[Order Date]])</f>
        <v>2016</v>
      </c>
    </row>
    <row r="1409" spans="1:2" x14ac:dyDescent="0.2">
      <c r="A1409" s="6" t="s">
        <v>20</v>
      </c>
      <c r="B1409" s="16">
        <f>YEAR(Sales_data[[#This Row],[Order Date]])</f>
        <v>2016</v>
      </c>
    </row>
    <row r="1410" spans="1:2" x14ac:dyDescent="0.2">
      <c r="A1410" s="6" t="s">
        <v>14</v>
      </c>
      <c r="B1410" s="16">
        <f>YEAR(Sales_data[[#This Row],[Order Date]])</f>
        <v>2016</v>
      </c>
    </row>
    <row r="1411" spans="1:2" x14ac:dyDescent="0.2">
      <c r="A1411" s="6" t="s">
        <v>15</v>
      </c>
      <c r="B1411" s="16">
        <f>YEAR(Sales_data[[#This Row],[Order Date]])</f>
        <v>2016</v>
      </c>
    </row>
    <row r="1412" spans="1:2" x14ac:dyDescent="0.2">
      <c r="A1412" s="6" t="s">
        <v>18</v>
      </c>
      <c r="B1412" s="16">
        <f>YEAR(Sales_data[[#This Row],[Order Date]])</f>
        <v>2016</v>
      </c>
    </row>
    <row r="1413" spans="1:2" x14ac:dyDescent="0.2">
      <c r="A1413" s="6" t="s">
        <v>15</v>
      </c>
      <c r="B1413" s="16">
        <f>YEAR(Sales_data[[#This Row],[Order Date]])</f>
        <v>2016</v>
      </c>
    </row>
    <row r="1414" spans="1:2" x14ac:dyDescent="0.2">
      <c r="A1414" s="6" t="s">
        <v>13</v>
      </c>
      <c r="B1414" s="16">
        <f>YEAR(Sales_data[[#This Row],[Order Date]])</f>
        <v>2016</v>
      </c>
    </row>
    <row r="1415" spans="1:2" x14ac:dyDescent="0.2">
      <c r="A1415" s="6" t="s">
        <v>18</v>
      </c>
      <c r="B1415" s="16">
        <f>YEAR(Sales_data[[#This Row],[Order Date]])</f>
        <v>2016</v>
      </c>
    </row>
    <row r="1416" spans="1:2" x14ac:dyDescent="0.2">
      <c r="A1416" s="6" t="s">
        <v>15</v>
      </c>
      <c r="B1416" s="16">
        <f>YEAR(Sales_data[[#This Row],[Order Date]])</f>
        <v>2016</v>
      </c>
    </row>
    <row r="1417" spans="1:2" x14ac:dyDescent="0.2">
      <c r="A1417" s="6" t="s">
        <v>12</v>
      </c>
      <c r="B1417" s="16">
        <f>YEAR(Sales_data[[#This Row],[Order Date]])</f>
        <v>2016</v>
      </c>
    </row>
    <row r="1418" spans="1:2" x14ac:dyDescent="0.2">
      <c r="A1418" s="6" t="s">
        <v>14</v>
      </c>
      <c r="B1418" s="16">
        <f>YEAR(Sales_data[[#This Row],[Order Date]])</f>
        <v>2016</v>
      </c>
    </row>
    <row r="1419" spans="1:2" x14ac:dyDescent="0.2">
      <c r="A1419" s="6" t="s">
        <v>16</v>
      </c>
      <c r="B1419" s="16">
        <f>YEAR(Sales_data[[#This Row],[Order Date]])</f>
        <v>2016</v>
      </c>
    </row>
    <row r="1420" spans="1:2" x14ac:dyDescent="0.2">
      <c r="A1420" s="6" t="s">
        <v>19</v>
      </c>
      <c r="B1420" s="16">
        <f>YEAR(Sales_data[[#This Row],[Order Date]])</f>
        <v>2016</v>
      </c>
    </row>
    <row r="1421" spans="1:2" x14ac:dyDescent="0.2">
      <c r="A1421" s="6" t="s">
        <v>12</v>
      </c>
      <c r="B1421" s="16">
        <f>YEAR(Sales_data[[#This Row],[Order Date]])</f>
        <v>2016</v>
      </c>
    </row>
    <row r="1422" spans="1:2" x14ac:dyDescent="0.2">
      <c r="A1422" s="6" t="s">
        <v>12</v>
      </c>
      <c r="B1422" s="16">
        <f>YEAR(Sales_data[[#This Row],[Order Date]])</f>
        <v>2016</v>
      </c>
    </row>
    <row r="1423" spans="1:2" x14ac:dyDescent="0.2">
      <c r="A1423" s="6" t="s">
        <v>20</v>
      </c>
      <c r="B1423" s="16">
        <f>YEAR(Sales_data[[#This Row],[Order Date]])</f>
        <v>2016</v>
      </c>
    </row>
    <row r="1424" spans="1:2" x14ac:dyDescent="0.2">
      <c r="A1424" s="6" t="s">
        <v>10</v>
      </c>
      <c r="B1424" s="16">
        <f>YEAR(Sales_data[[#This Row],[Order Date]])</f>
        <v>2016</v>
      </c>
    </row>
    <row r="1425" spans="1:2" x14ac:dyDescent="0.2">
      <c r="A1425" s="6" t="s">
        <v>12</v>
      </c>
      <c r="B1425" s="16">
        <f>YEAR(Sales_data[[#This Row],[Order Date]])</f>
        <v>2016</v>
      </c>
    </row>
    <row r="1426" spans="1:2" x14ac:dyDescent="0.2">
      <c r="A1426" s="6" t="s">
        <v>10</v>
      </c>
      <c r="B1426" s="16">
        <f>YEAR(Sales_data[[#This Row],[Order Date]])</f>
        <v>2016</v>
      </c>
    </row>
    <row r="1427" spans="1:2" x14ac:dyDescent="0.2">
      <c r="A1427" s="6" t="s">
        <v>20</v>
      </c>
      <c r="B1427" s="16">
        <f>YEAR(Sales_data[[#This Row],[Order Date]])</f>
        <v>2016</v>
      </c>
    </row>
    <row r="1428" spans="1:2" x14ac:dyDescent="0.2">
      <c r="A1428" s="6" t="s">
        <v>19</v>
      </c>
      <c r="B1428" s="16">
        <f>YEAR(Sales_data[[#This Row],[Order Date]])</f>
        <v>2016</v>
      </c>
    </row>
    <row r="1429" spans="1:2" x14ac:dyDescent="0.2">
      <c r="A1429" s="6" t="s">
        <v>9</v>
      </c>
      <c r="B1429" s="16">
        <f>YEAR(Sales_data[[#This Row],[Order Date]])</f>
        <v>2016</v>
      </c>
    </row>
    <row r="1430" spans="1:2" x14ac:dyDescent="0.2">
      <c r="A1430" s="6" t="s">
        <v>13</v>
      </c>
      <c r="B1430" s="16">
        <f>YEAR(Sales_data[[#This Row],[Order Date]])</f>
        <v>2016</v>
      </c>
    </row>
    <row r="1431" spans="1:2" x14ac:dyDescent="0.2">
      <c r="A1431" s="6" t="s">
        <v>15</v>
      </c>
      <c r="B1431" s="16">
        <f>YEAR(Sales_data[[#This Row],[Order Date]])</f>
        <v>2016</v>
      </c>
    </row>
    <row r="1432" spans="1:2" x14ac:dyDescent="0.2">
      <c r="A1432" s="6" t="s">
        <v>9</v>
      </c>
      <c r="B1432" s="16">
        <f>YEAR(Sales_data[[#This Row],[Order Date]])</f>
        <v>2016</v>
      </c>
    </row>
    <row r="1433" spans="1:2" x14ac:dyDescent="0.2">
      <c r="A1433" s="6" t="s">
        <v>15</v>
      </c>
      <c r="B1433" s="16">
        <f>YEAR(Sales_data[[#This Row],[Order Date]])</f>
        <v>2016</v>
      </c>
    </row>
    <row r="1434" spans="1:2" x14ac:dyDescent="0.2">
      <c r="A1434" s="6" t="s">
        <v>19</v>
      </c>
      <c r="B1434" s="16">
        <f>YEAR(Sales_data[[#This Row],[Order Date]])</f>
        <v>2016</v>
      </c>
    </row>
    <row r="1435" spans="1:2" x14ac:dyDescent="0.2">
      <c r="A1435" s="6" t="s">
        <v>11</v>
      </c>
      <c r="B1435" s="16">
        <f>YEAR(Sales_data[[#This Row],[Order Date]])</f>
        <v>2016</v>
      </c>
    </row>
    <row r="1436" spans="1:2" x14ac:dyDescent="0.2">
      <c r="A1436" s="6" t="s">
        <v>20</v>
      </c>
      <c r="B1436" s="16">
        <f>YEAR(Sales_data[[#This Row],[Order Date]])</f>
        <v>2016</v>
      </c>
    </row>
    <row r="1437" spans="1:2" x14ac:dyDescent="0.2">
      <c r="A1437" s="6" t="s">
        <v>17</v>
      </c>
      <c r="B1437" s="16">
        <f>YEAR(Sales_data[[#This Row],[Order Date]])</f>
        <v>2016</v>
      </c>
    </row>
    <row r="1438" spans="1:2" x14ac:dyDescent="0.2">
      <c r="A1438" s="6" t="s">
        <v>20</v>
      </c>
      <c r="B1438" s="16">
        <f>YEAR(Sales_data[[#This Row],[Order Date]])</f>
        <v>2016</v>
      </c>
    </row>
    <row r="1439" spans="1:2" x14ac:dyDescent="0.2">
      <c r="A1439" s="6" t="s">
        <v>18</v>
      </c>
      <c r="B1439" s="16">
        <f>YEAR(Sales_data[[#This Row],[Order Date]])</f>
        <v>2016</v>
      </c>
    </row>
    <row r="1440" spans="1:2" x14ac:dyDescent="0.2">
      <c r="A1440" s="6" t="s">
        <v>15</v>
      </c>
      <c r="B1440" s="16">
        <f>YEAR(Sales_data[[#This Row],[Order Date]])</f>
        <v>2016</v>
      </c>
    </row>
    <row r="1441" spans="1:2" x14ac:dyDescent="0.2">
      <c r="A1441" s="6" t="s">
        <v>19</v>
      </c>
      <c r="B1441" s="16">
        <f>YEAR(Sales_data[[#This Row],[Order Date]])</f>
        <v>2016</v>
      </c>
    </row>
    <row r="1442" spans="1:2" x14ac:dyDescent="0.2">
      <c r="A1442" s="6" t="s">
        <v>11</v>
      </c>
      <c r="B1442" s="16">
        <f>YEAR(Sales_data[[#This Row],[Order Date]])</f>
        <v>2016</v>
      </c>
    </row>
    <row r="1443" spans="1:2" x14ac:dyDescent="0.2">
      <c r="A1443" s="6" t="s">
        <v>17</v>
      </c>
      <c r="B1443" s="16">
        <f>YEAR(Sales_data[[#This Row],[Order Date]])</f>
        <v>2016</v>
      </c>
    </row>
    <row r="1444" spans="1:2" x14ac:dyDescent="0.2">
      <c r="A1444" s="6" t="s">
        <v>18</v>
      </c>
      <c r="B1444" s="16">
        <f>YEAR(Sales_data[[#This Row],[Order Date]])</f>
        <v>2016</v>
      </c>
    </row>
    <row r="1445" spans="1:2" x14ac:dyDescent="0.2">
      <c r="A1445" s="6" t="s">
        <v>14</v>
      </c>
      <c r="B1445" s="16">
        <f>YEAR(Sales_data[[#This Row],[Order Date]])</f>
        <v>2016</v>
      </c>
    </row>
    <row r="1446" spans="1:2" x14ac:dyDescent="0.2">
      <c r="A1446" s="6" t="s">
        <v>9</v>
      </c>
      <c r="B1446" s="16">
        <f>YEAR(Sales_data[[#This Row],[Order Date]])</f>
        <v>2016</v>
      </c>
    </row>
    <row r="1447" spans="1:2" x14ac:dyDescent="0.2">
      <c r="A1447" s="6" t="s">
        <v>20</v>
      </c>
      <c r="B1447" s="16">
        <f>YEAR(Sales_data[[#This Row],[Order Date]])</f>
        <v>2016</v>
      </c>
    </row>
    <row r="1448" spans="1:2" x14ac:dyDescent="0.2">
      <c r="A1448" s="6" t="s">
        <v>19</v>
      </c>
      <c r="B1448" s="16">
        <f>YEAR(Sales_data[[#This Row],[Order Date]])</f>
        <v>2016</v>
      </c>
    </row>
    <row r="1449" spans="1:2" x14ac:dyDescent="0.2">
      <c r="A1449" s="6" t="s">
        <v>19</v>
      </c>
      <c r="B1449" s="16">
        <f>YEAR(Sales_data[[#This Row],[Order Date]])</f>
        <v>2016</v>
      </c>
    </row>
    <row r="1450" spans="1:2" x14ac:dyDescent="0.2">
      <c r="A1450" s="6" t="s">
        <v>13</v>
      </c>
      <c r="B1450" s="16">
        <f>YEAR(Sales_data[[#This Row],[Order Date]])</f>
        <v>2016</v>
      </c>
    </row>
    <row r="1451" spans="1:2" x14ac:dyDescent="0.2">
      <c r="A1451" s="6" t="s">
        <v>14</v>
      </c>
      <c r="B1451" s="16">
        <f>YEAR(Sales_data[[#This Row],[Order Date]])</f>
        <v>2016</v>
      </c>
    </row>
    <row r="1452" spans="1:2" x14ac:dyDescent="0.2">
      <c r="A1452" s="6" t="s">
        <v>9</v>
      </c>
      <c r="B1452" s="16">
        <f>YEAR(Sales_data[[#This Row],[Order Date]])</f>
        <v>2016</v>
      </c>
    </row>
    <row r="1453" spans="1:2" x14ac:dyDescent="0.2">
      <c r="A1453" s="6" t="s">
        <v>19</v>
      </c>
      <c r="B1453" s="16">
        <f>YEAR(Sales_data[[#This Row],[Order Date]])</f>
        <v>2016</v>
      </c>
    </row>
    <row r="1454" spans="1:2" x14ac:dyDescent="0.2">
      <c r="A1454" s="6" t="s">
        <v>9</v>
      </c>
      <c r="B1454" s="16">
        <f>YEAR(Sales_data[[#This Row],[Order Date]])</f>
        <v>2016</v>
      </c>
    </row>
    <row r="1455" spans="1:2" x14ac:dyDescent="0.2">
      <c r="A1455" s="6" t="s">
        <v>9</v>
      </c>
      <c r="B1455" s="16">
        <f>YEAR(Sales_data[[#This Row],[Order Date]])</f>
        <v>2016</v>
      </c>
    </row>
    <row r="1456" spans="1:2" x14ac:dyDescent="0.2">
      <c r="A1456" s="6" t="s">
        <v>20</v>
      </c>
      <c r="B1456" s="16">
        <f>YEAR(Sales_data[[#This Row],[Order Date]])</f>
        <v>2016</v>
      </c>
    </row>
    <row r="1457" spans="1:2" x14ac:dyDescent="0.2">
      <c r="A1457" s="6" t="s">
        <v>16</v>
      </c>
      <c r="B1457" s="16">
        <f>YEAR(Sales_data[[#This Row],[Order Date]])</f>
        <v>2016</v>
      </c>
    </row>
    <row r="1458" spans="1:2" x14ac:dyDescent="0.2">
      <c r="A1458" s="6" t="s">
        <v>20</v>
      </c>
      <c r="B1458" s="16">
        <f>YEAR(Sales_data[[#This Row],[Order Date]])</f>
        <v>2016</v>
      </c>
    </row>
    <row r="1459" spans="1:2" x14ac:dyDescent="0.2">
      <c r="A1459" s="6" t="s">
        <v>15</v>
      </c>
      <c r="B1459" s="16">
        <f>YEAR(Sales_data[[#This Row],[Order Date]])</f>
        <v>2016</v>
      </c>
    </row>
    <row r="1460" spans="1:2" x14ac:dyDescent="0.2">
      <c r="A1460" s="6" t="s">
        <v>17</v>
      </c>
      <c r="B1460" s="16">
        <f>YEAR(Sales_data[[#This Row],[Order Date]])</f>
        <v>2016</v>
      </c>
    </row>
    <row r="1461" spans="1:2" x14ac:dyDescent="0.2">
      <c r="A1461" s="6" t="s">
        <v>17</v>
      </c>
      <c r="B1461" s="16">
        <f>YEAR(Sales_data[[#This Row],[Order Date]])</f>
        <v>2016</v>
      </c>
    </row>
    <row r="1462" spans="1:2" x14ac:dyDescent="0.2">
      <c r="A1462" s="6" t="s">
        <v>15</v>
      </c>
      <c r="B1462" s="16">
        <f>YEAR(Sales_data[[#This Row],[Order Date]])</f>
        <v>2016</v>
      </c>
    </row>
    <row r="1463" spans="1:2" x14ac:dyDescent="0.2">
      <c r="A1463" s="6" t="s">
        <v>9</v>
      </c>
      <c r="B1463" s="16">
        <f>YEAR(Sales_data[[#This Row],[Order Date]])</f>
        <v>2016</v>
      </c>
    </row>
    <row r="1464" spans="1:2" x14ac:dyDescent="0.2">
      <c r="A1464" s="6" t="s">
        <v>10</v>
      </c>
      <c r="B1464" s="16">
        <f>YEAR(Sales_data[[#This Row],[Order Date]])</f>
        <v>2016</v>
      </c>
    </row>
    <row r="1465" spans="1:2" x14ac:dyDescent="0.2">
      <c r="A1465" s="6" t="s">
        <v>13</v>
      </c>
      <c r="B1465" s="16">
        <f>YEAR(Sales_data[[#This Row],[Order Date]])</f>
        <v>2016</v>
      </c>
    </row>
    <row r="1466" spans="1:2" x14ac:dyDescent="0.2">
      <c r="A1466" s="6" t="s">
        <v>9</v>
      </c>
      <c r="B1466" s="16">
        <f>YEAR(Sales_data[[#This Row],[Order Date]])</f>
        <v>2016</v>
      </c>
    </row>
    <row r="1467" spans="1:2" x14ac:dyDescent="0.2">
      <c r="A1467" s="6" t="s">
        <v>15</v>
      </c>
      <c r="B1467" s="16">
        <f>YEAR(Sales_data[[#This Row],[Order Date]])</f>
        <v>2016</v>
      </c>
    </row>
    <row r="1468" spans="1:2" x14ac:dyDescent="0.2">
      <c r="A1468" s="6" t="s">
        <v>13</v>
      </c>
      <c r="B1468" s="16">
        <f>YEAR(Sales_data[[#This Row],[Order Date]])</f>
        <v>2016</v>
      </c>
    </row>
    <row r="1469" spans="1:2" x14ac:dyDescent="0.2">
      <c r="A1469" s="6" t="s">
        <v>18</v>
      </c>
      <c r="B1469" s="16">
        <f>YEAR(Sales_data[[#This Row],[Order Date]])</f>
        <v>2016</v>
      </c>
    </row>
    <row r="1470" spans="1:2" x14ac:dyDescent="0.2">
      <c r="A1470" s="6" t="s">
        <v>21</v>
      </c>
      <c r="B1470" s="16">
        <f>YEAR(Sales_data[[#This Row],[Order Date]])</f>
        <v>2016</v>
      </c>
    </row>
    <row r="1471" spans="1:2" x14ac:dyDescent="0.2">
      <c r="A1471" s="6" t="s">
        <v>16</v>
      </c>
      <c r="B1471" s="16">
        <f>YEAR(Sales_data[[#This Row],[Order Date]])</f>
        <v>2016</v>
      </c>
    </row>
    <row r="1472" spans="1:2" x14ac:dyDescent="0.2">
      <c r="A1472" s="6" t="s">
        <v>18</v>
      </c>
      <c r="B1472" s="16">
        <f>YEAR(Sales_data[[#This Row],[Order Date]])</f>
        <v>2016</v>
      </c>
    </row>
    <row r="1473" spans="1:2" x14ac:dyDescent="0.2">
      <c r="A1473" s="6" t="s">
        <v>21</v>
      </c>
      <c r="B1473" s="16">
        <f>YEAR(Sales_data[[#This Row],[Order Date]])</f>
        <v>2016</v>
      </c>
    </row>
    <row r="1474" spans="1:2" x14ac:dyDescent="0.2">
      <c r="A1474" s="6" t="s">
        <v>10</v>
      </c>
      <c r="B1474" s="16">
        <f>YEAR(Sales_data[[#This Row],[Order Date]])</f>
        <v>2016</v>
      </c>
    </row>
    <row r="1475" spans="1:2" x14ac:dyDescent="0.2">
      <c r="A1475" s="6" t="s">
        <v>10</v>
      </c>
      <c r="B1475" s="16">
        <f>YEAR(Sales_data[[#This Row],[Order Date]])</f>
        <v>2016</v>
      </c>
    </row>
    <row r="1476" spans="1:2" x14ac:dyDescent="0.2">
      <c r="A1476" s="6" t="s">
        <v>12</v>
      </c>
      <c r="B1476" s="16">
        <f>YEAR(Sales_data[[#This Row],[Order Date]])</f>
        <v>2016</v>
      </c>
    </row>
    <row r="1477" spans="1:2" x14ac:dyDescent="0.2">
      <c r="A1477" s="6" t="s">
        <v>20</v>
      </c>
      <c r="B1477" s="16">
        <f>YEAR(Sales_data[[#This Row],[Order Date]])</f>
        <v>2016</v>
      </c>
    </row>
    <row r="1478" spans="1:2" x14ac:dyDescent="0.2">
      <c r="A1478" s="6" t="s">
        <v>12</v>
      </c>
      <c r="B1478" s="16">
        <f>YEAR(Sales_data[[#This Row],[Order Date]])</f>
        <v>2016</v>
      </c>
    </row>
    <row r="1479" spans="1:2" x14ac:dyDescent="0.2">
      <c r="A1479" s="6" t="s">
        <v>12</v>
      </c>
      <c r="B1479" s="16">
        <f>YEAR(Sales_data[[#This Row],[Order Date]])</f>
        <v>2016</v>
      </c>
    </row>
    <row r="1480" spans="1:2" x14ac:dyDescent="0.2">
      <c r="A1480" s="6" t="s">
        <v>11</v>
      </c>
      <c r="B1480" s="16">
        <f>YEAR(Sales_data[[#This Row],[Order Date]])</f>
        <v>2016</v>
      </c>
    </row>
    <row r="1481" spans="1:2" x14ac:dyDescent="0.2">
      <c r="A1481" s="6" t="s">
        <v>10</v>
      </c>
      <c r="B1481" s="16">
        <f>YEAR(Sales_data[[#This Row],[Order Date]])</f>
        <v>2016</v>
      </c>
    </row>
    <row r="1482" spans="1:2" x14ac:dyDescent="0.2">
      <c r="A1482" s="6" t="s">
        <v>16</v>
      </c>
      <c r="B1482" s="16">
        <f>YEAR(Sales_data[[#This Row],[Order Date]])</f>
        <v>2016</v>
      </c>
    </row>
    <row r="1483" spans="1:2" x14ac:dyDescent="0.2">
      <c r="A1483" s="6" t="s">
        <v>15</v>
      </c>
      <c r="B1483" s="16">
        <f>YEAR(Sales_data[[#This Row],[Order Date]])</f>
        <v>2016</v>
      </c>
    </row>
    <row r="1484" spans="1:2" x14ac:dyDescent="0.2">
      <c r="A1484" s="6" t="s">
        <v>20</v>
      </c>
      <c r="B1484" s="16">
        <f>YEAR(Sales_data[[#This Row],[Order Date]])</f>
        <v>2016</v>
      </c>
    </row>
    <row r="1485" spans="1:2" x14ac:dyDescent="0.2">
      <c r="A1485" s="6" t="s">
        <v>16</v>
      </c>
      <c r="B1485" s="16">
        <f>YEAR(Sales_data[[#This Row],[Order Date]])</f>
        <v>2016</v>
      </c>
    </row>
    <row r="1486" spans="1:2" x14ac:dyDescent="0.2">
      <c r="A1486" s="6" t="s">
        <v>17</v>
      </c>
      <c r="B1486" s="16">
        <f>YEAR(Sales_data[[#This Row],[Order Date]])</f>
        <v>2016</v>
      </c>
    </row>
    <row r="1487" spans="1:2" x14ac:dyDescent="0.2">
      <c r="A1487" s="6" t="s">
        <v>10</v>
      </c>
      <c r="B1487" s="16">
        <f>YEAR(Sales_data[[#This Row],[Order Date]])</f>
        <v>2016</v>
      </c>
    </row>
    <row r="1488" spans="1:2" x14ac:dyDescent="0.2">
      <c r="A1488" s="6" t="s">
        <v>18</v>
      </c>
      <c r="B1488" s="16">
        <f>YEAR(Sales_data[[#This Row],[Order Date]])</f>
        <v>2016</v>
      </c>
    </row>
    <row r="1489" spans="1:2" x14ac:dyDescent="0.2">
      <c r="A1489" s="6" t="s">
        <v>18</v>
      </c>
      <c r="B1489" s="16">
        <f>YEAR(Sales_data[[#This Row],[Order Date]])</f>
        <v>2016</v>
      </c>
    </row>
    <row r="1490" spans="1:2" x14ac:dyDescent="0.2">
      <c r="A1490" s="6" t="s">
        <v>10</v>
      </c>
      <c r="B1490" s="16">
        <f>YEAR(Sales_data[[#This Row],[Order Date]])</f>
        <v>2016</v>
      </c>
    </row>
    <row r="1491" spans="1:2" x14ac:dyDescent="0.2">
      <c r="A1491" s="6" t="s">
        <v>21</v>
      </c>
      <c r="B1491" s="16">
        <f>YEAR(Sales_data[[#This Row],[Order Date]])</f>
        <v>2016</v>
      </c>
    </row>
    <row r="1492" spans="1:2" x14ac:dyDescent="0.2">
      <c r="A1492" s="6" t="s">
        <v>20</v>
      </c>
      <c r="B1492" s="16">
        <f>YEAR(Sales_data[[#This Row],[Order Date]])</f>
        <v>2016</v>
      </c>
    </row>
    <row r="1493" spans="1:2" x14ac:dyDescent="0.2">
      <c r="A1493" s="6" t="s">
        <v>11</v>
      </c>
      <c r="B1493" s="16">
        <f>YEAR(Sales_data[[#This Row],[Order Date]])</f>
        <v>2016</v>
      </c>
    </row>
    <row r="1494" spans="1:2" x14ac:dyDescent="0.2">
      <c r="A1494" s="6" t="s">
        <v>13</v>
      </c>
      <c r="B1494" s="16">
        <f>YEAR(Sales_data[[#This Row],[Order Date]])</f>
        <v>2016</v>
      </c>
    </row>
    <row r="1495" spans="1:2" x14ac:dyDescent="0.2">
      <c r="A1495" s="6" t="s">
        <v>18</v>
      </c>
      <c r="B1495" s="16">
        <f>YEAR(Sales_data[[#This Row],[Order Date]])</f>
        <v>2016</v>
      </c>
    </row>
    <row r="1496" spans="1:2" x14ac:dyDescent="0.2">
      <c r="A1496" s="6" t="s">
        <v>12</v>
      </c>
      <c r="B1496" s="16">
        <f>YEAR(Sales_data[[#This Row],[Order Date]])</f>
        <v>2016</v>
      </c>
    </row>
    <row r="1497" spans="1:2" x14ac:dyDescent="0.2">
      <c r="A1497" s="6" t="s">
        <v>14</v>
      </c>
      <c r="B1497" s="16">
        <f>YEAR(Sales_data[[#This Row],[Order Date]])</f>
        <v>2016</v>
      </c>
    </row>
    <row r="1498" spans="1:2" x14ac:dyDescent="0.2">
      <c r="A1498" s="6" t="s">
        <v>17</v>
      </c>
      <c r="B1498" s="16">
        <f>YEAR(Sales_data[[#This Row],[Order Date]])</f>
        <v>2016</v>
      </c>
    </row>
    <row r="1499" spans="1:2" x14ac:dyDescent="0.2">
      <c r="A1499" s="6" t="s">
        <v>11</v>
      </c>
      <c r="B1499" s="16">
        <f>YEAR(Sales_data[[#This Row],[Order Date]])</f>
        <v>2016</v>
      </c>
    </row>
    <row r="1500" spans="1:2" x14ac:dyDescent="0.2">
      <c r="A1500" s="6" t="s">
        <v>11</v>
      </c>
      <c r="B1500" s="16">
        <f>YEAR(Sales_data[[#This Row],[Order Date]])</f>
        <v>2016</v>
      </c>
    </row>
    <row r="1501" spans="1:2" x14ac:dyDescent="0.2">
      <c r="A1501" s="6" t="s">
        <v>17</v>
      </c>
      <c r="B1501" s="16">
        <f>YEAR(Sales_data[[#This Row],[Order Date]])</f>
        <v>2016</v>
      </c>
    </row>
    <row r="1502" spans="1:2" x14ac:dyDescent="0.2">
      <c r="A1502" s="6" t="s">
        <v>15</v>
      </c>
      <c r="B1502" s="16">
        <f>YEAR(Sales_data[[#This Row],[Order Date]])</f>
        <v>2016</v>
      </c>
    </row>
    <row r="1503" spans="1:2" x14ac:dyDescent="0.2">
      <c r="A1503" s="6" t="s">
        <v>14</v>
      </c>
      <c r="B1503" s="16">
        <f>YEAR(Sales_data[[#This Row],[Order Date]])</f>
        <v>2016</v>
      </c>
    </row>
    <row r="1504" spans="1:2" x14ac:dyDescent="0.2">
      <c r="A1504" s="6" t="s">
        <v>9</v>
      </c>
      <c r="B1504" s="16">
        <f>YEAR(Sales_data[[#This Row],[Order Date]])</f>
        <v>2016</v>
      </c>
    </row>
    <row r="1505" spans="1:2" x14ac:dyDescent="0.2">
      <c r="A1505" s="6" t="s">
        <v>14</v>
      </c>
      <c r="B1505" s="16">
        <f>YEAR(Sales_data[[#This Row],[Order Date]])</f>
        <v>2016</v>
      </c>
    </row>
    <row r="1506" spans="1:2" x14ac:dyDescent="0.2">
      <c r="A1506" s="6" t="s">
        <v>21</v>
      </c>
      <c r="B1506" s="16">
        <f>YEAR(Sales_data[[#This Row],[Order Date]])</f>
        <v>2016</v>
      </c>
    </row>
    <row r="1507" spans="1:2" x14ac:dyDescent="0.2">
      <c r="A1507" s="6" t="s">
        <v>20</v>
      </c>
      <c r="B1507" s="16">
        <f>YEAR(Sales_data[[#This Row],[Order Date]])</f>
        <v>2016</v>
      </c>
    </row>
    <row r="1508" spans="1:2" x14ac:dyDescent="0.2">
      <c r="A1508" s="6" t="s">
        <v>10</v>
      </c>
      <c r="B1508" s="16">
        <f>YEAR(Sales_data[[#This Row],[Order Date]])</f>
        <v>2016</v>
      </c>
    </row>
    <row r="1509" spans="1:2" x14ac:dyDescent="0.2">
      <c r="A1509" s="6" t="s">
        <v>13</v>
      </c>
      <c r="B1509" s="16">
        <f>YEAR(Sales_data[[#This Row],[Order Date]])</f>
        <v>2016</v>
      </c>
    </row>
    <row r="1510" spans="1:2" x14ac:dyDescent="0.2">
      <c r="A1510" s="6" t="s">
        <v>16</v>
      </c>
      <c r="B1510" s="16">
        <f>YEAR(Sales_data[[#This Row],[Order Date]])</f>
        <v>2016</v>
      </c>
    </row>
    <row r="1511" spans="1:2" x14ac:dyDescent="0.2">
      <c r="A1511" s="6" t="s">
        <v>15</v>
      </c>
      <c r="B1511" s="16">
        <f>YEAR(Sales_data[[#This Row],[Order Date]])</f>
        <v>2016</v>
      </c>
    </row>
    <row r="1512" spans="1:2" x14ac:dyDescent="0.2">
      <c r="A1512" s="6" t="s">
        <v>20</v>
      </c>
      <c r="B1512" s="16">
        <f>YEAR(Sales_data[[#This Row],[Order Date]])</f>
        <v>2016</v>
      </c>
    </row>
    <row r="1513" spans="1:2" x14ac:dyDescent="0.2">
      <c r="A1513" s="6" t="s">
        <v>11</v>
      </c>
      <c r="B1513" s="16">
        <f>YEAR(Sales_data[[#This Row],[Order Date]])</f>
        <v>2016</v>
      </c>
    </row>
    <row r="1514" spans="1:2" x14ac:dyDescent="0.2">
      <c r="A1514" s="6" t="s">
        <v>13</v>
      </c>
      <c r="B1514" s="16">
        <f>YEAR(Sales_data[[#This Row],[Order Date]])</f>
        <v>2016</v>
      </c>
    </row>
    <row r="1515" spans="1:2" x14ac:dyDescent="0.2">
      <c r="A1515" s="6" t="s">
        <v>10</v>
      </c>
      <c r="B1515" s="16">
        <f>YEAR(Sales_data[[#This Row],[Order Date]])</f>
        <v>2016</v>
      </c>
    </row>
    <row r="1516" spans="1:2" x14ac:dyDescent="0.2">
      <c r="A1516" s="6" t="s">
        <v>16</v>
      </c>
      <c r="B1516" s="16">
        <f>YEAR(Sales_data[[#This Row],[Order Date]])</f>
        <v>2016</v>
      </c>
    </row>
    <row r="1517" spans="1:2" x14ac:dyDescent="0.2">
      <c r="A1517" s="6" t="s">
        <v>17</v>
      </c>
      <c r="B1517" s="16">
        <f>YEAR(Sales_data[[#This Row],[Order Date]])</f>
        <v>2016</v>
      </c>
    </row>
    <row r="1518" spans="1:2" x14ac:dyDescent="0.2">
      <c r="A1518" s="6" t="s">
        <v>19</v>
      </c>
      <c r="B1518" s="16">
        <f>YEAR(Sales_data[[#This Row],[Order Date]])</f>
        <v>2016</v>
      </c>
    </row>
    <row r="1519" spans="1:2" x14ac:dyDescent="0.2">
      <c r="A1519" s="6" t="s">
        <v>13</v>
      </c>
      <c r="B1519" s="16">
        <f>YEAR(Sales_data[[#This Row],[Order Date]])</f>
        <v>2016</v>
      </c>
    </row>
    <row r="1520" spans="1:2" x14ac:dyDescent="0.2">
      <c r="A1520" s="6" t="s">
        <v>11</v>
      </c>
      <c r="B1520" s="16">
        <f>YEAR(Sales_data[[#This Row],[Order Date]])</f>
        <v>2016</v>
      </c>
    </row>
    <row r="1521" spans="1:2" x14ac:dyDescent="0.2">
      <c r="A1521" s="6" t="s">
        <v>9</v>
      </c>
      <c r="B1521" s="16">
        <f>YEAR(Sales_data[[#This Row],[Order Date]])</f>
        <v>2016</v>
      </c>
    </row>
    <row r="1522" spans="1:2" x14ac:dyDescent="0.2">
      <c r="A1522" s="6" t="s">
        <v>17</v>
      </c>
      <c r="B1522" s="16">
        <f>YEAR(Sales_data[[#This Row],[Order Date]])</f>
        <v>2016</v>
      </c>
    </row>
    <row r="1523" spans="1:2" x14ac:dyDescent="0.2">
      <c r="A1523" s="6" t="s">
        <v>10</v>
      </c>
      <c r="B1523" s="16">
        <f>YEAR(Sales_data[[#This Row],[Order Date]])</f>
        <v>2016</v>
      </c>
    </row>
    <row r="1524" spans="1:2" x14ac:dyDescent="0.2">
      <c r="A1524" s="6" t="s">
        <v>14</v>
      </c>
      <c r="B1524" s="16">
        <f>YEAR(Sales_data[[#This Row],[Order Date]])</f>
        <v>2016</v>
      </c>
    </row>
    <row r="1525" spans="1:2" x14ac:dyDescent="0.2">
      <c r="A1525" s="6" t="s">
        <v>11</v>
      </c>
      <c r="B1525" s="16">
        <f>YEAR(Sales_data[[#This Row],[Order Date]])</f>
        <v>2016</v>
      </c>
    </row>
    <row r="1526" spans="1:2" x14ac:dyDescent="0.2">
      <c r="A1526" s="6" t="s">
        <v>12</v>
      </c>
      <c r="B1526" s="16">
        <f>YEAR(Sales_data[[#This Row],[Order Date]])</f>
        <v>2016</v>
      </c>
    </row>
    <row r="1527" spans="1:2" x14ac:dyDescent="0.2">
      <c r="A1527" s="6" t="s">
        <v>13</v>
      </c>
      <c r="B1527" s="16">
        <f>YEAR(Sales_data[[#This Row],[Order Date]])</f>
        <v>2016</v>
      </c>
    </row>
    <row r="1528" spans="1:2" x14ac:dyDescent="0.2">
      <c r="A1528" s="6" t="s">
        <v>16</v>
      </c>
      <c r="B1528" s="16">
        <f>YEAR(Sales_data[[#This Row],[Order Date]])</f>
        <v>2016</v>
      </c>
    </row>
    <row r="1529" spans="1:2" x14ac:dyDescent="0.2">
      <c r="A1529" s="6" t="s">
        <v>21</v>
      </c>
      <c r="B1529" s="16">
        <f>YEAR(Sales_data[[#This Row],[Order Date]])</f>
        <v>2016</v>
      </c>
    </row>
    <row r="1530" spans="1:2" x14ac:dyDescent="0.2">
      <c r="A1530" s="6" t="s">
        <v>17</v>
      </c>
      <c r="B1530" s="16">
        <f>YEAR(Sales_data[[#This Row],[Order Date]])</f>
        <v>2016</v>
      </c>
    </row>
    <row r="1531" spans="1:2" x14ac:dyDescent="0.2">
      <c r="A1531" s="6" t="s">
        <v>9</v>
      </c>
      <c r="B1531" s="16">
        <f>YEAR(Sales_data[[#This Row],[Order Date]])</f>
        <v>2016</v>
      </c>
    </row>
    <row r="1532" spans="1:2" x14ac:dyDescent="0.2">
      <c r="A1532" s="6" t="s">
        <v>17</v>
      </c>
      <c r="B1532" s="16">
        <f>YEAR(Sales_data[[#This Row],[Order Date]])</f>
        <v>2016</v>
      </c>
    </row>
    <row r="1533" spans="1:2" x14ac:dyDescent="0.2">
      <c r="A1533" s="6" t="s">
        <v>11</v>
      </c>
      <c r="B1533" s="16">
        <f>YEAR(Sales_data[[#This Row],[Order Date]])</f>
        <v>2016</v>
      </c>
    </row>
    <row r="1534" spans="1:2" x14ac:dyDescent="0.2">
      <c r="A1534" s="6" t="s">
        <v>11</v>
      </c>
      <c r="B1534" s="16">
        <f>YEAR(Sales_data[[#This Row],[Order Date]])</f>
        <v>2016</v>
      </c>
    </row>
    <row r="1535" spans="1:2" x14ac:dyDescent="0.2">
      <c r="A1535" s="6" t="s">
        <v>13</v>
      </c>
      <c r="B1535" s="16">
        <f>YEAR(Sales_data[[#This Row],[Order Date]])</f>
        <v>2016</v>
      </c>
    </row>
    <row r="1536" spans="1:2" x14ac:dyDescent="0.2">
      <c r="A1536" s="6" t="s">
        <v>19</v>
      </c>
      <c r="B1536" s="16">
        <f>YEAR(Sales_data[[#This Row],[Order Date]])</f>
        <v>2016</v>
      </c>
    </row>
    <row r="1537" spans="1:2" x14ac:dyDescent="0.2">
      <c r="A1537" s="6" t="s">
        <v>14</v>
      </c>
      <c r="B1537" s="16">
        <f>YEAR(Sales_data[[#This Row],[Order Date]])</f>
        <v>2016</v>
      </c>
    </row>
    <row r="1538" spans="1:2" x14ac:dyDescent="0.2">
      <c r="A1538" s="6" t="s">
        <v>18</v>
      </c>
      <c r="B1538" s="16">
        <f>YEAR(Sales_data[[#This Row],[Order Date]])</f>
        <v>2016</v>
      </c>
    </row>
    <row r="1539" spans="1:2" x14ac:dyDescent="0.2">
      <c r="A1539" s="6" t="s">
        <v>16</v>
      </c>
      <c r="B1539" s="16">
        <f>YEAR(Sales_data[[#This Row],[Order Date]])</f>
        <v>2016</v>
      </c>
    </row>
    <row r="1540" spans="1:2" x14ac:dyDescent="0.2">
      <c r="A1540" s="6" t="s">
        <v>18</v>
      </c>
      <c r="B1540" s="16">
        <f>YEAR(Sales_data[[#This Row],[Order Date]])</f>
        <v>2016</v>
      </c>
    </row>
    <row r="1541" spans="1:2" x14ac:dyDescent="0.2">
      <c r="A1541" s="6" t="s">
        <v>10</v>
      </c>
      <c r="B1541" s="16">
        <f>YEAR(Sales_data[[#This Row],[Order Date]])</f>
        <v>2016</v>
      </c>
    </row>
    <row r="1542" spans="1:2" x14ac:dyDescent="0.2">
      <c r="A1542" s="6" t="s">
        <v>15</v>
      </c>
      <c r="B1542" s="16">
        <f>YEAR(Sales_data[[#This Row],[Order Date]])</f>
        <v>2016</v>
      </c>
    </row>
    <row r="1543" spans="1:2" x14ac:dyDescent="0.2">
      <c r="A1543" s="6" t="s">
        <v>9</v>
      </c>
      <c r="B1543" s="16">
        <f>YEAR(Sales_data[[#This Row],[Order Date]])</f>
        <v>2016</v>
      </c>
    </row>
    <row r="1544" spans="1:2" x14ac:dyDescent="0.2">
      <c r="A1544" s="6" t="s">
        <v>11</v>
      </c>
      <c r="B1544" s="16">
        <f>YEAR(Sales_data[[#This Row],[Order Date]])</f>
        <v>2016</v>
      </c>
    </row>
    <row r="1545" spans="1:2" x14ac:dyDescent="0.2">
      <c r="A1545" s="6" t="s">
        <v>21</v>
      </c>
      <c r="B1545" s="16">
        <f>YEAR(Sales_data[[#This Row],[Order Date]])</f>
        <v>2016</v>
      </c>
    </row>
    <row r="1546" spans="1:2" x14ac:dyDescent="0.2">
      <c r="A1546" s="6" t="s">
        <v>18</v>
      </c>
      <c r="B1546" s="16">
        <f>YEAR(Sales_data[[#This Row],[Order Date]])</f>
        <v>2016</v>
      </c>
    </row>
    <row r="1547" spans="1:2" x14ac:dyDescent="0.2">
      <c r="A1547" s="6" t="s">
        <v>9</v>
      </c>
      <c r="B1547" s="16">
        <f>YEAR(Sales_data[[#This Row],[Order Date]])</f>
        <v>2016</v>
      </c>
    </row>
    <row r="1548" spans="1:2" x14ac:dyDescent="0.2">
      <c r="A1548" s="6" t="s">
        <v>17</v>
      </c>
      <c r="B1548" s="16">
        <f>YEAR(Sales_data[[#This Row],[Order Date]])</f>
        <v>2016</v>
      </c>
    </row>
    <row r="1549" spans="1:2" x14ac:dyDescent="0.2">
      <c r="A1549" s="6" t="s">
        <v>21</v>
      </c>
      <c r="B1549" s="16">
        <f>YEAR(Sales_data[[#This Row],[Order Date]])</f>
        <v>2016</v>
      </c>
    </row>
    <row r="1550" spans="1:2" x14ac:dyDescent="0.2">
      <c r="A1550" s="6" t="s">
        <v>20</v>
      </c>
      <c r="B1550" s="16">
        <f>YEAR(Sales_data[[#This Row],[Order Date]])</f>
        <v>2016</v>
      </c>
    </row>
    <row r="1551" spans="1:2" x14ac:dyDescent="0.2">
      <c r="A1551" s="6" t="s">
        <v>17</v>
      </c>
      <c r="B1551" s="16">
        <f>YEAR(Sales_data[[#This Row],[Order Date]])</f>
        <v>2016</v>
      </c>
    </row>
    <row r="1552" spans="1:2" x14ac:dyDescent="0.2">
      <c r="A1552" s="6" t="s">
        <v>11</v>
      </c>
      <c r="B1552" s="16">
        <f>YEAR(Sales_data[[#This Row],[Order Date]])</f>
        <v>2016</v>
      </c>
    </row>
    <row r="1553" spans="1:2" x14ac:dyDescent="0.2">
      <c r="A1553" s="6" t="s">
        <v>21</v>
      </c>
      <c r="B1553" s="16">
        <f>YEAR(Sales_data[[#This Row],[Order Date]])</f>
        <v>2016</v>
      </c>
    </row>
    <row r="1554" spans="1:2" x14ac:dyDescent="0.2">
      <c r="A1554" s="6" t="s">
        <v>14</v>
      </c>
      <c r="B1554" s="16">
        <f>YEAR(Sales_data[[#This Row],[Order Date]])</f>
        <v>2016</v>
      </c>
    </row>
    <row r="1555" spans="1:2" x14ac:dyDescent="0.2">
      <c r="A1555" s="6" t="s">
        <v>20</v>
      </c>
      <c r="B1555" s="16">
        <f>YEAR(Sales_data[[#This Row],[Order Date]])</f>
        <v>2016</v>
      </c>
    </row>
    <row r="1556" spans="1:2" x14ac:dyDescent="0.2">
      <c r="A1556" s="6" t="s">
        <v>17</v>
      </c>
      <c r="B1556" s="16">
        <f>YEAR(Sales_data[[#This Row],[Order Date]])</f>
        <v>2016</v>
      </c>
    </row>
    <row r="1557" spans="1:2" x14ac:dyDescent="0.2">
      <c r="A1557" s="6" t="s">
        <v>11</v>
      </c>
      <c r="B1557" s="16">
        <f>YEAR(Sales_data[[#This Row],[Order Date]])</f>
        <v>2016</v>
      </c>
    </row>
    <row r="1558" spans="1:2" x14ac:dyDescent="0.2">
      <c r="A1558" s="6" t="s">
        <v>13</v>
      </c>
      <c r="B1558" s="16">
        <f>YEAR(Sales_data[[#This Row],[Order Date]])</f>
        <v>2016</v>
      </c>
    </row>
    <row r="1559" spans="1:2" x14ac:dyDescent="0.2">
      <c r="A1559" s="6" t="s">
        <v>18</v>
      </c>
      <c r="B1559" s="16">
        <f>YEAR(Sales_data[[#This Row],[Order Date]])</f>
        <v>2016</v>
      </c>
    </row>
    <row r="1560" spans="1:2" x14ac:dyDescent="0.2">
      <c r="A1560" s="6" t="s">
        <v>12</v>
      </c>
      <c r="B1560" s="16">
        <f>YEAR(Sales_data[[#This Row],[Order Date]])</f>
        <v>2016</v>
      </c>
    </row>
    <row r="1561" spans="1:2" x14ac:dyDescent="0.2">
      <c r="A1561" s="6" t="s">
        <v>13</v>
      </c>
      <c r="B1561" s="16">
        <f>YEAR(Sales_data[[#This Row],[Order Date]])</f>
        <v>2016</v>
      </c>
    </row>
    <row r="1562" spans="1:2" x14ac:dyDescent="0.2">
      <c r="A1562" s="6" t="s">
        <v>13</v>
      </c>
      <c r="B1562" s="16">
        <f>YEAR(Sales_data[[#This Row],[Order Date]])</f>
        <v>2016</v>
      </c>
    </row>
    <row r="1563" spans="1:2" x14ac:dyDescent="0.2">
      <c r="A1563" s="6" t="s">
        <v>19</v>
      </c>
      <c r="B1563" s="16">
        <f>YEAR(Sales_data[[#This Row],[Order Date]])</f>
        <v>2016</v>
      </c>
    </row>
    <row r="1564" spans="1:2" x14ac:dyDescent="0.2">
      <c r="A1564" s="6" t="s">
        <v>18</v>
      </c>
      <c r="B1564" s="16">
        <f>YEAR(Sales_data[[#This Row],[Order Date]])</f>
        <v>2016</v>
      </c>
    </row>
    <row r="1565" spans="1:2" x14ac:dyDescent="0.2">
      <c r="A1565" s="6" t="s">
        <v>14</v>
      </c>
      <c r="B1565" s="16">
        <f>YEAR(Sales_data[[#This Row],[Order Date]])</f>
        <v>2016</v>
      </c>
    </row>
    <row r="1566" spans="1:2" x14ac:dyDescent="0.2">
      <c r="A1566" s="6" t="s">
        <v>14</v>
      </c>
      <c r="B1566" s="16">
        <f>YEAR(Sales_data[[#This Row],[Order Date]])</f>
        <v>2016</v>
      </c>
    </row>
    <row r="1567" spans="1:2" x14ac:dyDescent="0.2">
      <c r="A1567" s="6" t="s">
        <v>19</v>
      </c>
      <c r="B1567" s="16">
        <f>YEAR(Sales_data[[#This Row],[Order Date]])</f>
        <v>2016</v>
      </c>
    </row>
    <row r="1568" spans="1:2" x14ac:dyDescent="0.2">
      <c r="A1568" s="6" t="s">
        <v>18</v>
      </c>
      <c r="B1568" s="16">
        <f>YEAR(Sales_data[[#This Row],[Order Date]])</f>
        <v>2016</v>
      </c>
    </row>
    <row r="1569" spans="1:2" x14ac:dyDescent="0.2">
      <c r="A1569" s="6" t="s">
        <v>19</v>
      </c>
      <c r="B1569" s="16">
        <f>YEAR(Sales_data[[#This Row],[Order Date]])</f>
        <v>2016</v>
      </c>
    </row>
    <row r="1570" spans="1:2" x14ac:dyDescent="0.2">
      <c r="A1570" s="6" t="s">
        <v>19</v>
      </c>
      <c r="B1570" s="16">
        <f>YEAR(Sales_data[[#This Row],[Order Date]])</f>
        <v>2016</v>
      </c>
    </row>
    <row r="1571" spans="1:2" x14ac:dyDescent="0.2">
      <c r="A1571" s="6" t="s">
        <v>20</v>
      </c>
      <c r="B1571" s="16">
        <f>YEAR(Sales_data[[#This Row],[Order Date]])</f>
        <v>2016</v>
      </c>
    </row>
    <row r="1572" spans="1:2" x14ac:dyDescent="0.2">
      <c r="A1572" s="6" t="s">
        <v>10</v>
      </c>
      <c r="B1572" s="16">
        <f>YEAR(Sales_data[[#This Row],[Order Date]])</f>
        <v>2016</v>
      </c>
    </row>
    <row r="1573" spans="1:2" x14ac:dyDescent="0.2">
      <c r="A1573" s="6" t="s">
        <v>19</v>
      </c>
      <c r="B1573" s="16">
        <f>YEAR(Sales_data[[#This Row],[Order Date]])</f>
        <v>2016</v>
      </c>
    </row>
    <row r="1574" spans="1:2" x14ac:dyDescent="0.2">
      <c r="A1574" s="6" t="s">
        <v>14</v>
      </c>
      <c r="B1574" s="16">
        <f>YEAR(Sales_data[[#This Row],[Order Date]])</f>
        <v>2016</v>
      </c>
    </row>
    <row r="1575" spans="1:2" x14ac:dyDescent="0.2">
      <c r="A1575" s="6" t="s">
        <v>15</v>
      </c>
      <c r="B1575" s="16">
        <f>YEAR(Sales_data[[#This Row],[Order Date]])</f>
        <v>2016</v>
      </c>
    </row>
    <row r="1576" spans="1:2" x14ac:dyDescent="0.2">
      <c r="A1576" s="6" t="s">
        <v>20</v>
      </c>
      <c r="B1576" s="16">
        <f>YEAR(Sales_data[[#This Row],[Order Date]])</f>
        <v>2016</v>
      </c>
    </row>
    <row r="1577" spans="1:2" x14ac:dyDescent="0.2">
      <c r="A1577" s="6" t="s">
        <v>20</v>
      </c>
      <c r="B1577" s="16">
        <f>YEAR(Sales_data[[#This Row],[Order Date]])</f>
        <v>2016</v>
      </c>
    </row>
    <row r="1578" spans="1:2" x14ac:dyDescent="0.2">
      <c r="A1578" s="6" t="s">
        <v>21</v>
      </c>
      <c r="B1578" s="16">
        <f>YEAR(Sales_data[[#This Row],[Order Date]])</f>
        <v>2016</v>
      </c>
    </row>
    <row r="1579" spans="1:2" x14ac:dyDescent="0.2">
      <c r="A1579" s="6" t="s">
        <v>18</v>
      </c>
      <c r="B1579" s="16">
        <f>YEAR(Sales_data[[#This Row],[Order Date]])</f>
        <v>2016</v>
      </c>
    </row>
    <row r="1580" spans="1:2" x14ac:dyDescent="0.2">
      <c r="A1580" s="6" t="s">
        <v>16</v>
      </c>
      <c r="B1580" s="16">
        <f>YEAR(Sales_data[[#This Row],[Order Date]])</f>
        <v>2016</v>
      </c>
    </row>
    <row r="1581" spans="1:2" x14ac:dyDescent="0.2">
      <c r="A1581" s="6" t="s">
        <v>17</v>
      </c>
      <c r="B1581" s="16">
        <f>YEAR(Sales_data[[#This Row],[Order Date]])</f>
        <v>2016</v>
      </c>
    </row>
    <row r="1582" spans="1:2" x14ac:dyDescent="0.2">
      <c r="A1582" s="6" t="s">
        <v>11</v>
      </c>
      <c r="B1582" s="16">
        <f>YEAR(Sales_data[[#This Row],[Order Date]])</f>
        <v>2016</v>
      </c>
    </row>
    <row r="1583" spans="1:2" x14ac:dyDescent="0.2">
      <c r="A1583" s="6" t="s">
        <v>17</v>
      </c>
      <c r="B1583" s="16">
        <f>YEAR(Sales_data[[#This Row],[Order Date]])</f>
        <v>2016</v>
      </c>
    </row>
    <row r="1584" spans="1:2" x14ac:dyDescent="0.2">
      <c r="A1584" s="6" t="s">
        <v>17</v>
      </c>
      <c r="B1584" s="16">
        <f>YEAR(Sales_data[[#This Row],[Order Date]])</f>
        <v>2016</v>
      </c>
    </row>
    <row r="1585" spans="1:2" x14ac:dyDescent="0.2">
      <c r="A1585" s="6" t="s">
        <v>17</v>
      </c>
      <c r="B1585" s="16">
        <f>YEAR(Sales_data[[#This Row],[Order Date]])</f>
        <v>2016</v>
      </c>
    </row>
    <row r="1586" spans="1:2" x14ac:dyDescent="0.2">
      <c r="A1586" s="6" t="s">
        <v>19</v>
      </c>
      <c r="B1586" s="16">
        <f>YEAR(Sales_data[[#This Row],[Order Date]])</f>
        <v>2016</v>
      </c>
    </row>
    <row r="1587" spans="1:2" x14ac:dyDescent="0.2">
      <c r="A1587" s="6" t="s">
        <v>14</v>
      </c>
      <c r="B1587" s="16">
        <f>YEAR(Sales_data[[#This Row],[Order Date]])</f>
        <v>2016</v>
      </c>
    </row>
    <row r="1588" spans="1:2" x14ac:dyDescent="0.2">
      <c r="A1588" s="6" t="s">
        <v>10</v>
      </c>
      <c r="B1588" s="16">
        <f>YEAR(Sales_data[[#This Row],[Order Date]])</f>
        <v>2016</v>
      </c>
    </row>
    <row r="1589" spans="1:2" x14ac:dyDescent="0.2">
      <c r="A1589" s="6" t="s">
        <v>10</v>
      </c>
      <c r="B1589" s="16">
        <f>YEAR(Sales_data[[#This Row],[Order Date]])</f>
        <v>2016</v>
      </c>
    </row>
    <row r="1590" spans="1:2" x14ac:dyDescent="0.2">
      <c r="A1590" s="6" t="s">
        <v>18</v>
      </c>
      <c r="B1590" s="16">
        <f>YEAR(Sales_data[[#This Row],[Order Date]])</f>
        <v>2016</v>
      </c>
    </row>
    <row r="1591" spans="1:2" x14ac:dyDescent="0.2">
      <c r="A1591" s="6" t="s">
        <v>18</v>
      </c>
      <c r="B1591" s="16">
        <f>YEAR(Sales_data[[#This Row],[Order Date]])</f>
        <v>2016</v>
      </c>
    </row>
    <row r="1592" spans="1:2" x14ac:dyDescent="0.2">
      <c r="A1592" s="6" t="s">
        <v>19</v>
      </c>
      <c r="B1592" s="16">
        <f>YEAR(Sales_data[[#This Row],[Order Date]])</f>
        <v>2016</v>
      </c>
    </row>
    <row r="1593" spans="1:2" x14ac:dyDescent="0.2">
      <c r="A1593" s="6" t="s">
        <v>17</v>
      </c>
      <c r="B1593" s="16">
        <f>YEAR(Sales_data[[#This Row],[Order Date]])</f>
        <v>2016</v>
      </c>
    </row>
    <row r="1594" spans="1:2" x14ac:dyDescent="0.2">
      <c r="A1594" s="6" t="s">
        <v>9</v>
      </c>
      <c r="B1594" s="16">
        <f>YEAR(Sales_data[[#This Row],[Order Date]])</f>
        <v>2016</v>
      </c>
    </row>
    <row r="1595" spans="1:2" x14ac:dyDescent="0.2">
      <c r="A1595" s="6" t="s">
        <v>15</v>
      </c>
      <c r="B1595" s="16">
        <f>YEAR(Sales_data[[#This Row],[Order Date]])</f>
        <v>2016</v>
      </c>
    </row>
    <row r="1596" spans="1:2" x14ac:dyDescent="0.2">
      <c r="A1596" s="6" t="s">
        <v>17</v>
      </c>
      <c r="B1596" s="16">
        <f>YEAR(Sales_data[[#This Row],[Order Date]])</f>
        <v>2016</v>
      </c>
    </row>
    <row r="1597" spans="1:2" x14ac:dyDescent="0.2">
      <c r="A1597" s="6" t="s">
        <v>9</v>
      </c>
      <c r="B1597" s="16">
        <f>YEAR(Sales_data[[#This Row],[Order Date]])</f>
        <v>2016</v>
      </c>
    </row>
    <row r="1598" spans="1:2" x14ac:dyDescent="0.2">
      <c r="A1598" s="6" t="s">
        <v>12</v>
      </c>
      <c r="B1598" s="16">
        <f>YEAR(Sales_data[[#This Row],[Order Date]])</f>
        <v>2016</v>
      </c>
    </row>
    <row r="1599" spans="1:2" x14ac:dyDescent="0.2">
      <c r="A1599" s="6" t="s">
        <v>17</v>
      </c>
      <c r="B1599" s="16">
        <f>YEAR(Sales_data[[#This Row],[Order Date]])</f>
        <v>2016</v>
      </c>
    </row>
    <row r="1600" spans="1:2" x14ac:dyDescent="0.2">
      <c r="A1600" s="6" t="s">
        <v>19</v>
      </c>
      <c r="B1600" s="16">
        <f>YEAR(Sales_data[[#This Row],[Order Date]])</f>
        <v>2016</v>
      </c>
    </row>
    <row r="1601" spans="1:2" x14ac:dyDescent="0.2">
      <c r="A1601" s="6" t="s">
        <v>10</v>
      </c>
      <c r="B1601" s="16">
        <f>YEAR(Sales_data[[#This Row],[Order Date]])</f>
        <v>2016</v>
      </c>
    </row>
    <row r="1602" spans="1:2" x14ac:dyDescent="0.2">
      <c r="A1602" s="6" t="s">
        <v>14</v>
      </c>
      <c r="B1602" s="16">
        <f>YEAR(Sales_data[[#This Row],[Order Date]])</f>
        <v>2016</v>
      </c>
    </row>
    <row r="1603" spans="1:2" x14ac:dyDescent="0.2">
      <c r="A1603" s="6" t="s">
        <v>20</v>
      </c>
      <c r="B1603" s="16">
        <f>YEAR(Sales_data[[#This Row],[Order Date]])</f>
        <v>2016</v>
      </c>
    </row>
    <row r="1604" spans="1:2" x14ac:dyDescent="0.2">
      <c r="A1604" s="6" t="s">
        <v>14</v>
      </c>
      <c r="B1604" s="16">
        <f>YEAR(Sales_data[[#This Row],[Order Date]])</f>
        <v>2016</v>
      </c>
    </row>
    <row r="1605" spans="1:2" x14ac:dyDescent="0.2">
      <c r="A1605" s="6" t="s">
        <v>20</v>
      </c>
      <c r="B1605" s="16">
        <f>YEAR(Sales_data[[#This Row],[Order Date]])</f>
        <v>2016</v>
      </c>
    </row>
    <row r="1606" spans="1:2" x14ac:dyDescent="0.2">
      <c r="A1606" s="6" t="s">
        <v>21</v>
      </c>
      <c r="B1606" s="16">
        <f>YEAR(Sales_data[[#This Row],[Order Date]])</f>
        <v>2016</v>
      </c>
    </row>
    <row r="1607" spans="1:2" x14ac:dyDescent="0.2">
      <c r="A1607" s="6" t="s">
        <v>21</v>
      </c>
      <c r="B1607" s="16">
        <f>YEAR(Sales_data[[#This Row],[Order Date]])</f>
        <v>2016</v>
      </c>
    </row>
    <row r="1608" spans="1:2" x14ac:dyDescent="0.2">
      <c r="A1608" s="6" t="s">
        <v>21</v>
      </c>
      <c r="B1608" s="16">
        <f>YEAR(Sales_data[[#This Row],[Order Date]])</f>
        <v>2016</v>
      </c>
    </row>
    <row r="1609" spans="1:2" x14ac:dyDescent="0.2">
      <c r="A1609" s="6" t="s">
        <v>17</v>
      </c>
      <c r="B1609" s="16">
        <f>YEAR(Sales_data[[#This Row],[Order Date]])</f>
        <v>2016</v>
      </c>
    </row>
    <row r="1610" spans="1:2" x14ac:dyDescent="0.2">
      <c r="A1610" s="6" t="s">
        <v>17</v>
      </c>
      <c r="B1610" s="16">
        <f>YEAR(Sales_data[[#This Row],[Order Date]])</f>
        <v>2016</v>
      </c>
    </row>
    <row r="1611" spans="1:2" x14ac:dyDescent="0.2">
      <c r="A1611" s="6" t="s">
        <v>19</v>
      </c>
      <c r="B1611" s="16">
        <f>YEAR(Sales_data[[#This Row],[Order Date]])</f>
        <v>2016</v>
      </c>
    </row>
    <row r="1612" spans="1:2" x14ac:dyDescent="0.2">
      <c r="A1612" s="6" t="s">
        <v>18</v>
      </c>
      <c r="B1612" s="16">
        <f>YEAR(Sales_data[[#This Row],[Order Date]])</f>
        <v>2016</v>
      </c>
    </row>
    <row r="1613" spans="1:2" x14ac:dyDescent="0.2">
      <c r="A1613" s="6" t="s">
        <v>18</v>
      </c>
      <c r="B1613" s="16">
        <f>YEAR(Sales_data[[#This Row],[Order Date]])</f>
        <v>2016</v>
      </c>
    </row>
    <row r="1614" spans="1:2" x14ac:dyDescent="0.2">
      <c r="A1614" s="6" t="s">
        <v>19</v>
      </c>
      <c r="B1614" s="16">
        <f>YEAR(Sales_data[[#This Row],[Order Date]])</f>
        <v>2016</v>
      </c>
    </row>
    <row r="1615" spans="1:2" x14ac:dyDescent="0.2">
      <c r="A1615" s="6" t="s">
        <v>10</v>
      </c>
      <c r="B1615" s="16">
        <f>YEAR(Sales_data[[#This Row],[Order Date]])</f>
        <v>2016</v>
      </c>
    </row>
    <row r="1616" spans="1:2" x14ac:dyDescent="0.2">
      <c r="A1616" s="6" t="s">
        <v>10</v>
      </c>
      <c r="B1616" s="16">
        <f>YEAR(Sales_data[[#This Row],[Order Date]])</f>
        <v>2016</v>
      </c>
    </row>
    <row r="1617" spans="1:2" x14ac:dyDescent="0.2">
      <c r="A1617" s="6" t="s">
        <v>9</v>
      </c>
      <c r="B1617" s="16">
        <f>YEAR(Sales_data[[#This Row],[Order Date]])</f>
        <v>2016</v>
      </c>
    </row>
    <row r="1618" spans="1:2" x14ac:dyDescent="0.2">
      <c r="A1618" s="6" t="s">
        <v>17</v>
      </c>
      <c r="B1618" s="16">
        <f>YEAR(Sales_data[[#This Row],[Order Date]])</f>
        <v>2016</v>
      </c>
    </row>
    <row r="1619" spans="1:2" x14ac:dyDescent="0.2">
      <c r="A1619" s="6" t="s">
        <v>16</v>
      </c>
      <c r="B1619" s="16">
        <f>YEAR(Sales_data[[#This Row],[Order Date]])</f>
        <v>2016</v>
      </c>
    </row>
    <row r="1620" spans="1:2" x14ac:dyDescent="0.2">
      <c r="A1620" s="6" t="s">
        <v>19</v>
      </c>
      <c r="B1620" s="16">
        <f>YEAR(Sales_data[[#This Row],[Order Date]])</f>
        <v>2017</v>
      </c>
    </row>
    <row r="1621" spans="1:2" x14ac:dyDescent="0.2">
      <c r="A1621" s="6" t="s">
        <v>14</v>
      </c>
      <c r="B1621" s="16">
        <f>YEAR(Sales_data[[#This Row],[Order Date]])</f>
        <v>2017</v>
      </c>
    </row>
    <row r="1622" spans="1:2" x14ac:dyDescent="0.2">
      <c r="A1622" s="6" t="s">
        <v>12</v>
      </c>
      <c r="B1622" s="16">
        <f>YEAR(Sales_data[[#This Row],[Order Date]])</f>
        <v>2017</v>
      </c>
    </row>
    <row r="1623" spans="1:2" x14ac:dyDescent="0.2">
      <c r="A1623" s="6" t="s">
        <v>21</v>
      </c>
      <c r="B1623" s="16">
        <f>YEAR(Sales_data[[#This Row],[Order Date]])</f>
        <v>2017</v>
      </c>
    </row>
    <row r="1624" spans="1:2" x14ac:dyDescent="0.2">
      <c r="A1624" s="6" t="s">
        <v>11</v>
      </c>
      <c r="B1624" s="16">
        <f>YEAR(Sales_data[[#This Row],[Order Date]])</f>
        <v>2017</v>
      </c>
    </row>
    <row r="1625" spans="1:2" x14ac:dyDescent="0.2">
      <c r="A1625" s="6" t="s">
        <v>10</v>
      </c>
      <c r="B1625" s="16">
        <f>YEAR(Sales_data[[#This Row],[Order Date]])</f>
        <v>2017</v>
      </c>
    </row>
    <row r="1626" spans="1:2" x14ac:dyDescent="0.2">
      <c r="A1626" s="6" t="s">
        <v>14</v>
      </c>
      <c r="B1626" s="16">
        <f>YEAR(Sales_data[[#This Row],[Order Date]])</f>
        <v>2017</v>
      </c>
    </row>
    <row r="1627" spans="1:2" x14ac:dyDescent="0.2">
      <c r="A1627" s="6" t="s">
        <v>10</v>
      </c>
      <c r="B1627" s="16">
        <f>YEAR(Sales_data[[#This Row],[Order Date]])</f>
        <v>2017</v>
      </c>
    </row>
    <row r="1628" spans="1:2" x14ac:dyDescent="0.2">
      <c r="A1628" s="6" t="s">
        <v>10</v>
      </c>
      <c r="B1628" s="16">
        <f>YEAR(Sales_data[[#This Row],[Order Date]])</f>
        <v>2017</v>
      </c>
    </row>
    <row r="1629" spans="1:2" x14ac:dyDescent="0.2">
      <c r="A1629" s="6" t="s">
        <v>9</v>
      </c>
      <c r="B1629" s="16">
        <f>YEAR(Sales_data[[#This Row],[Order Date]])</f>
        <v>2017</v>
      </c>
    </row>
    <row r="1630" spans="1:2" x14ac:dyDescent="0.2">
      <c r="A1630" s="6" t="s">
        <v>17</v>
      </c>
      <c r="B1630" s="16">
        <f>YEAR(Sales_data[[#This Row],[Order Date]])</f>
        <v>2017</v>
      </c>
    </row>
    <row r="1631" spans="1:2" x14ac:dyDescent="0.2">
      <c r="A1631" s="6" t="s">
        <v>20</v>
      </c>
      <c r="B1631" s="16">
        <f>YEAR(Sales_data[[#This Row],[Order Date]])</f>
        <v>2017</v>
      </c>
    </row>
    <row r="1632" spans="1:2" x14ac:dyDescent="0.2">
      <c r="A1632" s="6" t="s">
        <v>11</v>
      </c>
      <c r="B1632" s="16">
        <f>YEAR(Sales_data[[#This Row],[Order Date]])</f>
        <v>2017</v>
      </c>
    </row>
    <row r="1633" spans="1:2" x14ac:dyDescent="0.2">
      <c r="A1633" s="6" t="s">
        <v>12</v>
      </c>
      <c r="B1633" s="16">
        <f>YEAR(Sales_data[[#This Row],[Order Date]])</f>
        <v>2017</v>
      </c>
    </row>
    <row r="1634" spans="1:2" x14ac:dyDescent="0.2">
      <c r="A1634" s="6" t="s">
        <v>14</v>
      </c>
      <c r="B1634" s="16">
        <f>YEAR(Sales_data[[#This Row],[Order Date]])</f>
        <v>2017</v>
      </c>
    </row>
    <row r="1635" spans="1:2" x14ac:dyDescent="0.2">
      <c r="A1635" s="6" t="s">
        <v>15</v>
      </c>
      <c r="B1635" s="16">
        <f>YEAR(Sales_data[[#This Row],[Order Date]])</f>
        <v>2017</v>
      </c>
    </row>
    <row r="1636" spans="1:2" x14ac:dyDescent="0.2">
      <c r="A1636" s="6" t="s">
        <v>13</v>
      </c>
      <c r="B1636" s="16">
        <f>YEAR(Sales_data[[#This Row],[Order Date]])</f>
        <v>2017</v>
      </c>
    </row>
    <row r="1637" spans="1:2" x14ac:dyDescent="0.2">
      <c r="A1637" s="6" t="s">
        <v>10</v>
      </c>
      <c r="B1637" s="16">
        <f>YEAR(Sales_data[[#This Row],[Order Date]])</f>
        <v>2017</v>
      </c>
    </row>
    <row r="1638" spans="1:2" x14ac:dyDescent="0.2">
      <c r="A1638" s="6" t="s">
        <v>19</v>
      </c>
      <c r="B1638" s="16">
        <f>YEAR(Sales_data[[#This Row],[Order Date]])</f>
        <v>2017</v>
      </c>
    </row>
    <row r="1639" spans="1:2" x14ac:dyDescent="0.2">
      <c r="A1639" s="6" t="s">
        <v>14</v>
      </c>
      <c r="B1639" s="16">
        <f>YEAR(Sales_data[[#This Row],[Order Date]])</f>
        <v>2017</v>
      </c>
    </row>
    <row r="1640" spans="1:2" x14ac:dyDescent="0.2">
      <c r="A1640" s="6" t="s">
        <v>13</v>
      </c>
      <c r="B1640" s="16">
        <f>YEAR(Sales_data[[#This Row],[Order Date]])</f>
        <v>2017</v>
      </c>
    </row>
    <row r="1641" spans="1:2" x14ac:dyDescent="0.2">
      <c r="A1641" s="6" t="s">
        <v>11</v>
      </c>
      <c r="B1641" s="16">
        <f>YEAR(Sales_data[[#This Row],[Order Date]])</f>
        <v>2017</v>
      </c>
    </row>
    <row r="1642" spans="1:2" x14ac:dyDescent="0.2">
      <c r="A1642" s="6" t="s">
        <v>14</v>
      </c>
      <c r="B1642" s="16">
        <f>YEAR(Sales_data[[#This Row],[Order Date]])</f>
        <v>2017</v>
      </c>
    </row>
    <row r="1643" spans="1:2" x14ac:dyDescent="0.2">
      <c r="A1643" s="6" t="s">
        <v>18</v>
      </c>
      <c r="B1643" s="16">
        <f>YEAR(Sales_data[[#This Row],[Order Date]])</f>
        <v>2017</v>
      </c>
    </row>
    <row r="1644" spans="1:2" x14ac:dyDescent="0.2">
      <c r="A1644" s="6" t="s">
        <v>20</v>
      </c>
      <c r="B1644" s="16">
        <f>YEAR(Sales_data[[#This Row],[Order Date]])</f>
        <v>2017</v>
      </c>
    </row>
    <row r="1645" spans="1:2" x14ac:dyDescent="0.2">
      <c r="A1645" s="6" t="s">
        <v>20</v>
      </c>
      <c r="B1645" s="16">
        <f>YEAR(Sales_data[[#This Row],[Order Date]])</f>
        <v>2017</v>
      </c>
    </row>
    <row r="1646" spans="1:2" x14ac:dyDescent="0.2">
      <c r="A1646" s="6" t="s">
        <v>12</v>
      </c>
      <c r="B1646" s="16">
        <f>YEAR(Sales_data[[#This Row],[Order Date]])</f>
        <v>2017</v>
      </c>
    </row>
    <row r="1647" spans="1:2" x14ac:dyDescent="0.2">
      <c r="A1647" s="6" t="s">
        <v>9</v>
      </c>
      <c r="B1647" s="16">
        <f>YEAR(Sales_data[[#This Row],[Order Date]])</f>
        <v>2017</v>
      </c>
    </row>
    <row r="1648" spans="1:2" x14ac:dyDescent="0.2">
      <c r="A1648" s="6" t="s">
        <v>13</v>
      </c>
      <c r="B1648" s="16">
        <f>YEAR(Sales_data[[#This Row],[Order Date]])</f>
        <v>2017</v>
      </c>
    </row>
    <row r="1649" spans="1:2" x14ac:dyDescent="0.2">
      <c r="A1649" s="6" t="s">
        <v>14</v>
      </c>
      <c r="B1649" s="16">
        <f>YEAR(Sales_data[[#This Row],[Order Date]])</f>
        <v>2017</v>
      </c>
    </row>
    <row r="1650" spans="1:2" x14ac:dyDescent="0.2">
      <c r="A1650" s="6" t="s">
        <v>12</v>
      </c>
      <c r="B1650" s="16">
        <f>YEAR(Sales_data[[#This Row],[Order Date]])</f>
        <v>2017</v>
      </c>
    </row>
    <row r="1651" spans="1:2" x14ac:dyDescent="0.2">
      <c r="A1651" s="6" t="s">
        <v>21</v>
      </c>
      <c r="B1651" s="16">
        <f>YEAR(Sales_data[[#This Row],[Order Date]])</f>
        <v>2017</v>
      </c>
    </row>
    <row r="1652" spans="1:2" x14ac:dyDescent="0.2">
      <c r="A1652" s="6" t="s">
        <v>9</v>
      </c>
      <c r="B1652" s="16">
        <f>YEAR(Sales_data[[#This Row],[Order Date]])</f>
        <v>2017</v>
      </c>
    </row>
    <row r="1653" spans="1:2" x14ac:dyDescent="0.2">
      <c r="A1653" s="6" t="s">
        <v>18</v>
      </c>
      <c r="B1653" s="16">
        <f>YEAR(Sales_data[[#This Row],[Order Date]])</f>
        <v>2017</v>
      </c>
    </row>
    <row r="1654" spans="1:2" x14ac:dyDescent="0.2">
      <c r="A1654" s="6" t="s">
        <v>14</v>
      </c>
      <c r="B1654" s="16">
        <f>YEAR(Sales_data[[#This Row],[Order Date]])</f>
        <v>2017</v>
      </c>
    </row>
    <row r="1655" spans="1:2" x14ac:dyDescent="0.2">
      <c r="A1655" s="6" t="s">
        <v>11</v>
      </c>
      <c r="B1655" s="16">
        <f>YEAR(Sales_data[[#This Row],[Order Date]])</f>
        <v>2017</v>
      </c>
    </row>
    <row r="1656" spans="1:2" x14ac:dyDescent="0.2">
      <c r="A1656" s="6" t="s">
        <v>19</v>
      </c>
      <c r="B1656" s="16">
        <f>YEAR(Sales_data[[#This Row],[Order Date]])</f>
        <v>2017</v>
      </c>
    </row>
    <row r="1657" spans="1:2" x14ac:dyDescent="0.2">
      <c r="A1657" s="6" t="s">
        <v>18</v>
      </c>
      <c r="B1657" s="16">
        <f>YEAR(Sales_data[[#This Row],[Order Date]])</f>
        <v>2017</v>
      </c>
    </row>
    <row r="1658" spans="1:2" x14ac:dyDescent="0.2">
      <c r="A1658" s="6" t="s">
        <v>21</v>
      </c>
      <c r="B1658" s="16">
        <f>YEAR(Sales_data[[#This Row],[Order Date]])</f>
        <v>2017</v>
      </c>
    </row>
    <row r="1659" spans="1:2" x14ac:dyDescent="0.2">
      <c r="A1659" s="6" t="s">
        <v>21</v>
      </c>
      <c r="B1659" s="16">
        <f>YEAR(Sales_data[[#This Row],[Order Date]])</f>
        <v>2017</v>
      </c>
    </row>
    <row r="1660" spans="1:2" x14ac:dyDescent="0.2">
      <c r="A1660" s="6" t="s">
        <v>12</v>
      </c>
      <c r="B1660" s="16">
        <f>YEAR(Sales_data[[#This Row],[Order Date]])</f>
        <v>2017</v>
      </c>
    </row>
    <row r="1661" spans="1:2" x14ac:dyDescent="0.2">
      <c r="A1661" s="6" t="s">
        <v>16</v>
      </c>
      <c r="B1661" s="16">
        <f>YEAR(Sales_data[[#This Row],[Order Date]])</f>
        <v>2017</v>
      </c>
    </row>
    <row r="1662" spans="1:2" x14ac:dyDescent="0.2">
      <c r="A1662" s="6" t="s">
        <v>11</v>
      </c>
      <c r="B1662" s="16">
        <f>YEAR(Sales_data[[#This Row],[Order Date]])</f>
        <v>2017</v>
      </c>
    </row>
    <row r="1663" spans="1:2" x14ac:dyDescent="0.2">
      <c r="A1663" s="6" t="s">
        <v>16</v>
      </c>
      <c r="B1663" s="16">
        <f>YEAR(Sales_data[[#This Row],[Order Date]])</f>
        <v>2017</v>
      </c>
    </row>
    <row r="1664" spans="1:2" x14ac:dyDescent="0.2">
      <c r="A1664" s="6" t="s">
        <v>21</v>
      </c>
      <c r="B1664" s="16">
        <f>YEAR(Sales_data[[#This Row],[Order Date]])</f>
        <v>2017</v>
      </c>
    </row>
    <row r="1665" spans="1:2" x14ac:dyDescent="0.2">
      <c r="A1665" s="6" t="s">
        <v>13</v>
      </c>
      <c r="B1665" s="16">
        <f>YEAR(Sales_data[[#This Row],[Order Date]])</f>
        <v>2017</v>
      </c>
    </row>
    <row r="1666" spans="1:2" x14ac:dyDescent="0.2">
      <c r="A1666" s="6" t="s">
        <v>11</v>
      </c>
      <c r="B1666" s="16">
        <f>YEAR(Sales_data[[#This Row],[Order Date]])</f>
        <v>2017</v>
      </c>
    </row>
    <row r="1667" spans="1:2" x14ac:dyDescent="0.2">
      <c r="A1667" s="6" t="s">
        <v>19</v>
      </c>
      <c r="B1667" s="16">
        <f>YEAR(Sales_data[[#This Row],[Order Date]])</f>
        <v>2017</v>
      </c>
    </row>
    <row r="1668" spans="1:2" x14ac:dyDescent="0.2">
      <c r="A1668" s="6" t="s">
        <v>15</v>
      </c>
      <c r="B1668" s="16">
        <f>YEAR(Sales_data[[#This Row],[Order Date]])</f>
        <v>2017</v>
      </c>
    </row>
    <row r="1669" spans="1:2" x14ac:dyDescent="0.2">
      <c r="A1669" s="6" t="s">
        <v>9</v>
      </c>
      <c r="B1669" s="16">
        <f>YEAR(Sales_data[[#This Row],[Order Date]])</f>
        <v>2017</v>
      </c>
    </row>
    <row r="1670" spans="1:2" x14ac:dyDescent="0.2">
      <c r="A1670" s="6" t="s">
        <v>16</v>
      </c>
      <c r="B1670" s="16">
        <f>YEAR(Sales_data[[#This Row],[Order Date]])</f>
        <v>2017</v>
      </c>
    </row>
    <row r="1671" spans="1:2" x14ac:dyDescent="0.2">
      <c r="A1671" s="6" t="s">
        <v>11</v>
      </c>
      <c r="B1671" s="16">
        <f>YEAR(Sales_data[[#This Row],[Order Date]])</f>
        <v>2017</v>
      </c>
    </row>
    <row r="1672" spans="1:2" x14ac:dyDescent="0.2">
      <c r="A1672" s="6" t="s">
        <v>20</v>
      </c>
      <c r="B1672" s="16">
        <f>YEAR(Sales_data[[#This Row],[Order Date]])</f>
        <v>2017</v>
      </c>
    </row>
    <row r="1673" spans="1:2" x14ac:dyDescent="0.2">
      <c r="A1673" s="6" t="s">
        <v>18</v>
      </c>
      <c r="B1673" s="16">
        <f>YEAR(Sales_data[[#This Row],[Order Date]])</f>
        <v>2017</v>
      </c>
    </row>
    <row r="1674" spans="1:2" x14ac:dyDescent="0.2">
      <c r="A1674" s="6" t="s">
        <v>17</v>
      </c>
      <c r="B1674" s="16">
        <f>YEAR(Sales_data[[#This Row],[Order Date]])</f>
        <v>2017</v>
      </c>
    </row>
    <row r="1675" spans="1:2" x14ac:dyDescent="0.2">
      <c r="A1675" s="6" t="s">
        <v>11</v>
      </c>
      <c r="B1675" s="16">
        <f>YEAR(Sales_data[[#This Row],[Order Date]])</f>
        <v>2017</v>
      </c>
    </row>
    <row r="1676" spans="1:2" x14ac:dyDescent="0.2">
      <c r="A1676" s="6" t="s">
        <v>19</v>
      </c>
      <c r="B1676" s="16">
        <f>YEAR(Sales_data[[#This Row],[Order Date]])</f>
        <v>2017</v>
      </c>
    </row>
    <row r="1677" spans="1:2" x14ac:dyDescent="0.2">
      <c r="A1677" s="6" t="s">
        <v>17</v>
      </c>
      <c r="B1677" s="16">
        <f>YEAR(Sales_data[[#This Row],[Order Date]])</f>
        <v>2017</v>
      </c>
    </row>
    <row r="1678" spans="1:2" x14ac:dyDescent="0.2">
      <c r="A1678" s="6" t="s">
        <v>17</v>
      </c>
      <c r="B1678" s="16">
        <f>YEAR(Sales_data[[#This Row],[Order Date]])</f>
        <v>2017</v>
      </c>
    </row>
    <row r="1679" spans="1:2" x14ac:dyDescent="0.2">
      <c r="A1679" s="6" t="s">
        <v>12</v>
      </c>
      <c r="B1679" s="16">
        <f>YEAR(Sales_data[[#This Row],[Order Date]])</f>
        <v>2017</v>
      </c>
    </row>
    <row r="1680" spans="1:2" x14ac:dyDescent="0.2">
      <c r="A1680" s="6" t="s">
        <v>14</v>
      </c>
      <c r="B1680" s="16">
        <f>YEAR(Sales_data[[#This Row],[Order Date]])</f>
        <v>2017</v>
      </c>
    </row>
    <row r="1681" spans="1:2" x14ac:dyDescent="0.2">
      <c r="A1681" s="6" t="s">
        <v>14</v>
      </c>
      <c r="B1681" s="16">
        <f>YEAR(Sales_data[[#This Row],[Order Date]])</f>
        <v>2017</v>
      </c>
    </row>
    <row r="1682" spans="1:2" x14ac:dyDescent="0.2">
      <c r="A1682" s="6" t="s">
        <v>14</v>
      </c>
      <c r="B1682" s="16">
        <f>YEAR(Sales_data[[#This Row],[Order Date]])</f>
        <v>2017</v>
      </c>
    </row>
    <row r="1683" spans="1:2" x14ac:dyDescent="0.2">
      <c r="A1683" s="6" t="s">
        <v>16</v>
      </c>
      <c r="B1683" s="16">
        <f>YEAR(Sales_data[[#This Row],[Order Date]])</f>
        <v>2017</v>
      </c>
    </row>
    <row r="1684" spans="1:2" x14ac:dyDescent="0.2">
      <c r="A1684" s="6" t="s">
        <v>13</v>
      </c>
      <c r="B1684" s="16">
        <f>YEAR(Sales_data[[#This Row],[Order Date]])</f>
        <v>2017</v>
      </c>
    </row>
    <row r="1685" spans="1:2" x14ac:dyDescent="0.2">
      <c r="A1685" s="6" t="s">
        <v>12</v>
      </c>
      <c r="B1685" s="16">
        <f>YEAR(Sales_data[[#This Row],[Order Date]])</f>
        <v>2017</v>
      </c>
    </row>
    <row r="1686" spans="1:2" x14ac:dyDescent="0.2">
      <c r="A1686" s="6" t="s">
        <v>21</v>
      </c>
      <c r="B1686" s="16">
        <f>YEAR(Sales_data[[#This Row],[Order Date]])</f>
        <v>2017</v>
      </c>
    </row>
    <row r="1687" spans="1:2" x14ac:dyDescent="0.2">
      <c r="A1687" s="6" t="s">
        <v>14</v>
      </c>
      <c r="B1687" s="16">
        <f>YEAR(Sales_data[[#This Row],[Order Date]])</f>
        <v>2017</v>
      </c>
    </row>
    <row r="1688" spans="1:2" x14ac:dyDescent="0.2">
      <c r="A1688" s="6" t="s">
        <v>18</v>
      </c>
      <c r="B1688" s="16">
        <f>YEAR(Sales_data[[#This Row],[Order Date]])</f>
        <v>2017</v>
      </c>
    </row>
    <row r="1689" spans="1:2" x14ac:dyDescent="0.2">
      <c r="A1689" s="6" t="s">
        <v>18</v>
      </c>
      <c r="B1689" s="16">
        <f>YEAR(Sales_data[[#This Row],[Order Date]])</f>
        <v>2017</v>
      </c>
    </row>
    <row r="1690" spans="1:2" x14ac:dyDescent="0.2">
      <c r="A1690" s="6" t="s">
        <v>10</v>
      </c>
      <c r="B1690" s="16">
        <f>YEAR(Sales_data[[#This Row],[Order Date]])</f>
        <v>2017</v>
      </c>
    </row>
    <row r="1691" spans="1:2" x14ac:dyDescent="0.2">
      <c r="A1691" s="6" t="s">
        <v>13</v>
      </c>
      <c r="B1691" s="16">
        <f>YEAR(Sales_data[[#This Row],[Order Date]])</f>
        <v>2017</v>
      </c>
    </row>
    <row r="1692" spans="1:2" x14ac:dyDescent="0.2">
      <c r="A1692" s="6" t="s">
        <v>10</v>
      </c>
      <c r="B1692" s="16">
        <f>YEAR(Sales_data[[#This Row],[Order Date]])</f>
        <v>2017</v>
      </c>
    </row>
    <row r="1693" spans="1:2" x14ac:dyDescent="0.2">
      <c r="A1693" s="6" t="s">
        <v>14</v>
      </c>
      <c r="B1693" s="16">
        <f>YEAR(Sales_data[[#This Row],[Order Date]])</f>
        <v>2017</v>
      </c>
    </row>
    <row r="1694" spans="1:2" x14ac:dyDescent="0.2">
      <c r="A1694" s="6" t="s">
        <v>14</v>
      </c>
      <c r="B1694" s="16">
        <f>YEAR(Sales_data[[#This Row],[Order Date]])</f>
        <v>2017</v>
      </c>
    </row>
    <row r="1695" spans="1:2" x14ac:dyDescent="0.2">
      <c r="A1695" s="6" t="s">
        <v>15</v>
      </c>
      <c r="B1695" s="16">
        <f>YEAR(Sales_data[[#This Row],[Order Date]])</f>
        <v>2017</v>
      </c>
    </row>
    <row r="1696" spans="1:2" x14ac:dyDescent="0.2">
      <c r="A1696" s="6" t="s">
        <v>18</v>
      </c>
      <c r="B1696" s="16">
        <f>YEAR(Sales_data[[#This Row],[Order Date]])</f>
        <v>2017</v>
      </c>
    </row>
    <row r="1697" spans="1:2" x14ac:dyDescent="0.2">
      <c r="A1697" s="6" t="s">
        <v>13</v>
      </c>
      <c r="B1697" s="16">
        <f>YEAR(Sales_data[[#This Row],[Order Date]])</f>
        <v>2017</v>
      </c>
    </row>
    <row r="1698" spans="1:2" x14ac:dyDescent="0.2">
      <c r="A1698" s="6" t="s">
        <v>9</v>
      </c>
      <c r="B1698" s="16">
        <f>YEAR(Sales_data[[#This Row],[Order Date]])</f>
        <v>2017</v>
      </c>
    </row>
    <row r="1699" spans="1:2" x14ac:dyDescent="0.2">
      <c r="A1699" s="6" t="s">
        <v>17</v>
      </c>
      <c r="B1699" s="16">
        <f>YEAR(Sales_data[[#This Row],[Order Date]])</f>
        <v>2017</v>
      </c>
    </row>
    <row r="1700" spans="1:2" x14ac:dyDescent="0.2">
      <c r="A1700" s="6" t="s">
        <v>15</v>
      </c>
      <c r="B1700" s="16">
        <f>YEAR(Sales_data[[#This Row],[Order Date]])</f>
        <v>2017</v>
      </c>
    </row>
    <row r="1701" spans="1:2" x14ac:dyDescent="0.2">
      <c r="A1701" s="6" t="s">
        <v>14</v>
      </c>
      <c r="B1701" s="16">
        <f>YEAR(Sales_data[[#This Row],[Order Date]])</f>
        <v>2017</v>
      </c>
    </row>
    <row r="1702" spans="1:2" x14ac:dyDescent="0.2">
      <c r="A1702" s="6" t="s">
        <v>18</v>
      </c>
      <c r="B1702" s="16">
        <f>YEAR(Sales_data[[#This Row],[Order Date]])</f>
        <v>2017</v>
      </c>
    </row>
    <row r="1703" spans="1:2" x14ac:dyDescent="0.2">
      <c r="A1703" s="6" t="s">
        <v>18</v>
      </c>
      <c r="B1703" s="16">
        <f>YEAR(Sales_data[[#This Row],[Order Date]])</f>
        <v>2017</v>
      </c>
    </row>
    <row r="1704" spans="1:2" x14ac:dyDescent="0.2">
      <c r="A1704" s="6" t="s">
        <v>9</v>
      </c>
      <c r="B1704" s="16">
        <f>YEAR(Sales_data[[#This Row],[Order Date]])</f>
        <v>2017</v>
      </c>
    </row>
    <row r="1705" spans="1:2" x14ac:dyDescent="0.2">
      <c r="A1705" s="6" t="s">
        <v>13</v>
      </c>
      <c r="B1705" s="16">
        <f>YEAR(Sales_data[[#This Row],[Order Date]])</f>
        <v>2017</v>
      </c>
    </row>
    <row r="1706" spans="1:2" x14ac:dyDescent="0.2">
      <c r="A1706" s="6" t="s">
        <v>12</v>
      </c>
      <c r="B1706" s="16">
        <f>YEAR(Sales_data[[#This Row],[Order Date]])</f>
        <v>2017</v>
      </c>
    </row>
    <row r="1707" spans="1:2" x14ac:dyDescent="0.2">
      <c r="A1707" s="6" t="s">
        <v>12</v>
      </c>
      <c r="B1707" s="16">
        <f>YEAR(Sales_data[[#This Row],[Order Date]])</f>
        <v>2017</v>
      </c>
    </row>
    <row r="1708" spans="1:2" x14ac:dyDescent="0.2">
      <c r="A1708" s="6" t="s">
        <v>11</v>
      </c>
      <c r="B1708" s="16">
        <f>YEAR(Sales_data[[#This Row],[Order Date]])</f>
        <v>2017</v>
      </c>
    </row>
    <row r="1709" spans="1:2" x14ac:dyDescent="0.2">
      <c r="A1709" s="6" t="s">
        <v>18</v>
      </c>
      <c r="B1709" s="16">
        <f>YEAR(Sales_data[[#This Row],[Order Date]])</f>
        <v>2017</v>
      </c>
    </row>
    <row r="1710" spans="1:2" x14ac:dyDescent="0.2">
      <c r="A1710" s="6" t="s">
        <v>20</v>
      </c>
      <c r="B1710" s="16">
        <f>YEAR(Sales_data[[#This Row],[Order Date]])</f>
        <v>2017</v>
      </c>
    </row>
    <row r="1711" spans="1:2" x14ac:dyDescent="0.2">
      <c r="A1711" s="6" t="s">
        <v>12</v>
      </c>
      <c r="B1711" s="16">
        <f>YEAR(Sales_data[[#This Row],[Order Date]])</f>
        <v>2017</v>
      </c>
    </row>
    <row r="1712" spans="1:2" x14ac:dyDescent="0.2">
      <c r="A1712" s="6" t="s">
        <v>14</v>
      </c>
      <c r="B1712" s="16">
        <f>YEAR(Sales_data[[#This Row],[Order Date]])</f>
        <v>2017</v>
      </c>
    </row>
    <row r="1713" spans="1:2" x14ac:dyDescent="0.2">
      <c r="A1713" s="6" t="s">
        <v>9</v>
      </c>
      <c r="B1713" s="16">
        <f>YEAR(Sales_data[[#This Row],[Order Date]])</f>
        <v>2017</v>
      </c>
    </row>
    <row r="1714" spans="1:2" x14ac:dyDescent="0.2">
      <c r="A1714" s="6" t="s">
        <v>15</v>
      </c>
      <c r="B1714" s="16">
        <f>YEAR(Sales_data[[#This Row],[Order Date]])</f>
        <v>2017</v>
      </c>
    </row>
    <row r="1715" spans="1:2" x14ac:dyDescent="0.2">
      <c r="A1715" s="6" t="s">
        <v>17</v>
      </c>
      <c r="B1715" s="16">
        <f>YEAR(Sales_data[[#This Row],[Order Date]])</f>
        <v>2017</v>
      </c>
    </row>
    <row r="1716" spans="1:2" x14ac:dyDescent="0.2">
      <c r="A1716" s="6" t="s">
        <v>13</v>
      </c>
      <c r="B1716" s="16">
        <f>YEAR(Sales_data[[#This Row],[Order Date]])</f>
        <v>2017</v>
      </c>
    </row>
    <row r="1717" spans="1:2" x14ac:dyDescent="0.2">
      <c r="A1717" s="6" t="s">
        <v>20</v>
      </c>
      <c r="B1717" s="16">
        <f>YEAR(Sales_data[[#This Row],[Order Date]])</f>
        <v>2017</v>
      </c>
    </row>
    <row r="1718" spans="1:2" x14ac:dyDescent="0.2">
      <c r="A1718" s="6" t="s">
        <v>18</v>
      </c>
      <c r="B1718" s="16">
        <f>YEAR(Sales_data[[#This Row],[Order Date]])</f>
        <v>2017</v>
      </c>
    </row>
    <row r="1719" spans="1:2" x14ac:dyDescent="0.2">
      <c r="A1719" s="6" t="s">
        <v>15</v>
      </c>
      <c r="B1719" s="16">
        <f>YEAR(Sales_data[[#This Row],[Order Date]])</f>
        <v>2017</v>
      </c>
    </row>
    <row r="1720" spans="1:2" x14ac:dyDescent="0.2">
      <c r="A1720" s="6" t="s">
        <v>17</v>
      </c>
      <c r="B1720" s="16">
        <f>YEAR(Sales_data[[#This Row],[Order Date]])</f>
        <v>2017</v>
      </c>
    </row>
    <row r="1721" spans="1:2" x14ac:dyDescent="0.2">
      <c r="A1721" s="6" t="s">
        <v>15</v>
      </c>
      <c r="B1721" s="16">
        <f>YEAR(Sales_data[[#This Row],[Order Date]])</f>
        <v>2017</v>
      </c>
    </row>
    <row r="1722" spans="1:2" x14ac:dyDescent="0.2">
      <c r="A1722" s="6" t="s">
        <v>15</v>
      </c>
      <c r="B1722" s="16">
        <f>YEAR(Sales_data[[#This Row],[Order Date]])</f>
        <v>2017</v>
      </c>
    </row>
    <row r="1723" spans="1:2" x14ac:dyDescent="0.2">
      <c r="A1723" s="6" t="s">
        <v>17</v>
      </c>
      <c r="B1723" s="16">
        <f>YEAR(Sales_data[[#This Row],[Order Date]])</f>
        <v>2017</v>
      </c>
    </row>
    <row r="1724" spans="1:2" x14ac:dyDescent="0.2">
      <c r="A1724" s="6" t="s">
        <v>14</v>
      </c>
      <c r="B1724" s="16">
        <f>YEAR(Sales_data[[#This Row],[Order Date]])</f>
        <v>2017</v>
      </c>
    </row>
    <row r="1725" spans="1:2" x14ac:dyDescent="0.2">
      <c r="A1725" s="6" t="s">
        <v>20</v>
      </c>
      <c r="B1725" s="16">
        <f>YEAR(Sales_data[[#This Row],[Order Date]])</f>
        <v>2017</v>
      </c>
    </row>
    <row r="1726" spans="1:2" x14ac:dyDescent="0.2">
      <c r="A1726" s="6" t="s">
        <v>16</v>
      </c>
      <c r="B1726" s="16">
        <f>YEAR(Sales_data[[#This Row],[Order Date]])</f>
        <v>2017</v>
      </c>
    </row>
    <row r="1727" spans="1:2" x14ac:dyDescent="0.2">
      <c r="A1727" s="6" t="s">
        <v>19</v>
      </c>
      <c r="B1727" s="16">
        <f>YEAR(Sales_data[[#This Row],[Order Date]])</f>
        <v>2017</v>
      </c>
    </row>
    <row r="1728" spans="1:2" x14ac:dyDescent="0.2">
      <c r="A1728" s="6" t="s">
        <v>17</v>
      </c>
      <c r="B1728" s="16">
        <f>YEAR(Sales_data[[#This Row],[Order Date]])</f>
        <v>2017</v>
      </c>
    </row>
    <row r="1729" spans="1:2" x14ac:dyDescent="0.2">
      <c r="A1729" s="6" t="s">
        <v>11</v>
      </c>
      <c r="B1729" s="16">
        <f>YEAR(Sales_data[[#This Row],[Order Date]])</f>
        <v>2017</v>
      </c>
    </row>
    <row r="1730" spans="1:2" x14ac:dyDescent="0.2">
      <c r="A1730" s="6" t="s">
        <v>21</v>
      </c>
      <c r="B1730" s="16">
        <f>YEAR(Sales_data[[#This Row],[Order Date]])</f>
        <v>2017</v>
      </c>
    </row>
    <row r="1731" spans="1:2" x14ac:dyDescent="0.2">
      <c r="A1731" s="6" t="s">
        <v>9</v>
      </c>
      <c r="B1731" s="16">
        <f>YEAR(Sales_data[[#This Row],[Order Date]])</f>
        <v>2017</v>
      </c>
    </row>
    <row r="1732" spans="1:2" x14ac:dyDescent="0.2">
      <c r="A1732" s="6" t="s">
        <v>12</v>
      </c>
      <c r="B1732" s="16">
        <f>YEAR(Sales_data[[#This Row],[Order Date]])</f>
        <v>2017</v>
      </c>
    </row>
    <row r="1733" spans="1:2" x14ac:dyDescent="0.2">
      <c r="A1733" s="6" t="s">
        <v>9</v>
      </c>
      <c r="B1733" s="16">
        <f>YEAR(Sales_data[[#This Row],[Order Date]])</f>
        <v>2017</v>
      </c>
    </row>
    <row r="1734" spans="1:2" x14ac:dyDescent="0.2">
      <c r="A1734" s="6" t="s">
        <v>12</v>
      </c>
      <c r="B1734" s="16">
        <f>YEAR(Sales_data[[#This Row],[Order Date]])</f>
        <v>2017</v>
      </c>
    </row>
    <row r="1735" spans="1:2" x14ac:dyDescent="0.2">
      <c r="A1735" s="6" t="s">
        <v>16</v>
      </c>
      <c r="B1735" s="16">
        <f>YEAR(Sales_data[[#This Row],[Order Date]])</f>
        <v>2017</v>
      </c>
    </row>
    <row r="1736" spans="1:2" x14ac:dyDescent="0.2">
      <c r="A1736" s="6" t="s">
        <v>19</v>
      </c>
      <c r="B1736" s="16">
        <f>YEAR(Sales_data[[#This Row],[Order Date]])</f>
        <v>2017</v>
      </c>
    </row>
    <row r="1737" spans="1:2" x14ac:dyDescent="0.2">
      <c r="A1737" s="6" t="s">
        <v>14</v>
      </c>
      <c r="B1737" s="16">
        <f>YEAR(Sales_data[[#This Row],[Order Date]])</f>
        <v>2017</v>
      </c>
    </row>
    <row r="1738" spans="1:2" x14ac:dyDescent="0.2">
      <c r="A1738" s="6" t="s">
        <v>11</v>
      </c>
      <c r="B1738" s="16">
        <f>YEAR(Sales_data[[#This Row],[Order Date]])</f>
        <v>2017</v>
      </c>
    </row>
    <row r="1739" spans="1:2" x14ac:dyDescent="0.2">
      <c r="A1739" s="6" t="s">
        <v>17</v>
      </c>
      <c r="B1739" s="16">
        <f>YEAR(Sales_data[[#This Row],[Order Date]])</f>
        <v>2017</v>
      </c>
    </row>
    <row r="1740" spans="1:2" x14ac:dyDescent="0.2">
      <c r="A1740" s="6" t="s">
        <v>15</v>
      </c>
      <c r="B1740" s="16">
        <f>YEAR(Sales_data[[#This Row],[Order Date]])</f>
        <v>2017</v>
      </c>
    </row>
    <row r="1741" spans="1:2" x14ac:dyDescent="0.2">
      <c r="A1741" s="6" t="s">
        <v>19</v>
      </c>
      <c r="B1741" s="16">
        <f>YEAR(Sales_data[[#This Row],[Order Date]])</f>
        <v>2017</v>
      </c>
    </row>
    <row r="1742" spans="1:2" x14ac:dyDescent="0.2">
      <c r="A1742" s="6" t="s">
        <v>21</v>
      </c>
      <c r="B1742" s="16">
        <f>YEAR(Sales_data[[#This Row],[Order Date]])</f>
        <v>2017</v>
      </c>
    </row>
    <row r="1743" spans="1:2" x14ac:dyDescent="0.2">
      <c r="A1743" s="6" t="s">
        <v>16</v>
      </c>
      <c r="B1743" s="16">
        <f>YEAR(Sales_data[[#This Row],[Order Date]])</f>
        <v>2017</v>
      </c>
    </row>
    <row r="1744" spans="1:2" x14ac:dyDescent="0.2">
      <c r="A1744" s="6" t="s">
        <v>11</v>
      </c>
      <c r="B1744" s="16">
        <f>YEAR(Sales_data[[#This Row],[Order Date]])</f>
        <v>2017</v>
      </c>
    </row>
    <row r="1745" spans="1:2" x14ac:dyDescent="0.2">
      <c r="A1745" s="6" t="s">
        <v>21</v>
      </c>
      <c r="B1745" s="16">
        <f>YEAR(Sales_data[[#This Row],[Order Date]])</f>
        <v>2017</v>
      </c>
    </row>
    <row r="1746" spans="1:2" x14ac:dyDescent="0.2">
      <c r="A1746" s="6" t="s">
        <v>17</v>
      </c>
      <c r="B1746" s="16">
        <f>YEAR(Sales_data[[#This Row],[Order Date]])</f>
        <v>2017</v>
      </c>
    </row>
    <row r="1747" spans="1:2" x14ac:dyDescent="0.2">
      <c r="A1747" s="6" t="s">
        <v>14</v>
      </c>
      <c r="B1747" s="16">
        <f>YEAR(Sales_data[[#This Row],[Order Date]])</f>
        <v>2017</v>
      </c>
    </row>
    <row r="1748" spans="1:2" x14ac:dyDescent="0.2">
      <c r="A1748" s="6" t="s">
        <v>14</v>
      </c>
      <c r="B1748" s="16">
        <f>YEAR(Sales_data[[#This Row],[Order Date]])</f>
        <v>2017</v>
      </c>
    </row>
    <row r="1749" spans="1:2" x14ac:dyDescent="0.2">
      <c r="A1749" s="6" t="s">
        <v>10</v>
      </c>
      <c r="B1749" s="16">
        <f>YEAR(Sales_data[[#This Row],[Order Date]])</f>
        <v>2017</v>
      </c>
    </row>
    <row r="1750" spans="1:2" x14ac:dyDescent="0.2">
      <c r="A1750" s="6" t="s">
        <v>20</v>
      </c>
      <c r="B1750" s="16">
        <f>YEAR(Sales_data[[#This Row],[Order Date]])</f>
        <v>2017</v>
      </c>
    </row>
    <row r="1751" spans="1:2" x14ac:dyDescent="0.2">
      <c r="A1751" s="6" t="s">
        <v>19</v>
      </c>
      <c r="B1751" s="16">
        <f>YEAR(Sales_data[[#This Row],[Order Date]])</f>
        <v>2017</v>
      </c>
    </row>
    <row r="1752" spans="1:2" x14ac:dyDescent="0.2">
      <c r="A1752" s="6" t="s">
        <v>10</v>
      </c>
      <c r="B1752" s="16">
        <f>YEAR(Sales_data[[#This Row],[Order Date]])</f>
        <v>2017</v>
      </c>
    </row>
    <row r="1753" spans="1:2" x14ac:dyDescent="0.2">
      <c r="A1753" s="6" t="s">
        <v>12</v>
      </c>
      <c r="B1753" s="16">
        <f>YEAR(Sales_data[[#This Row],[Order Date]])</f>
        <v>2017</v>
      </c>
    </row>
    <row r="1754" spans="1:2" x14ac:dyDescent="0.2">
      <c r="A1754" s="6" t="s">
        <v>9</v>
      </c>
      <c r="B1754" s="16">
        <f>YEAR(Sales_data[[#This Row],[Order Date]])</f>
        <v>2017</v>
      </c>
    </row>
    <row r="1755" spans="1:2" x14ac:dyDescent="0.2">
      <c r="A1755" s="6" t="s">
        <v>13</v>
      </c>
      <c r="B1755" s="16">
        <f>YEAR(Sales_data[[#This Row],[Order Date]])</f>
        <v>2017</v>
      </c>
    </row>
    <row r="1756" spans="1:2" x14ac:dyDescent="0.2">
      <c r="A1756" s="6" t="s">
        <v>13</v>
      </c>
      <c r="B1756" s="16">
        <f>YEAR(Sales_data[[#This Row],[Order Date]])</f>
        <v>2017</v>
      </c>
    </row>
    <row r="1757" spans="1:2" x14ac:dyDescent="0.2">
      <c r="A1757" s="6" t="s">
        <v>19</v>
      </c>
      <c r="B1757" s="16">
        <f>YEAR(Sales_data[[#This Row],[Order Date]])</f>
        <v>2017</v>
      </c>
    </row>
    <row r="1758" spans="1:2" x14ac:dyDescent="0.2">
      <c r="A1758" s="6" t="s">
        <v>10</v>
      </c>
      <c r="B1758" s="16">
        <f>YEAR(Sales_data[[#This Row],[Order Date]])</f>
        <v>2017</v>
      </c>
    </row>
    <row r="1759" spans="1:2" x14ac:dyDescent="0.2">
      <c r="A1759" s="6" t="s">
        <v>14</v>
      </c>
      <c r="B1759" s="16">
        <f>YEAR(Sales_data[[#This Row],[Order Date]])</f>
        <v>2017</v>
      </c>
    </row>
    <row r="1760" spans="1:2" x14ac:dyDescent="0.2">
      <c r="A1760" s="6" t="s">
        <v>15</v>
      </c>
      <c r="B1760" s="16">
        <f>YEAR(Sales_data[[#This Row],[Order Date]])</f>
        <v>2017</v>
      </c>
    </row>
    <row r="1761" spans="1:2" x14ac:dyDescent="0.2">
      <c r="A1761" s="6" t="s">
        <v>21</v>
      </c>
      <c r="B1761" s="16">
        <f>YEAR(Sales_data[[#This Row],[Order Date]])</f>
        <v>2017</v>
      </c>
    </row>
    <row r="1762" spans="1:2" x14ac:dyDescent="0.2">
      <c r="A1762" s="6" t="s">
        <v>20</v>
      </c>
      <c r="B1762" s="16">
        <f>YEAR(Sales_data[[#This Row],[Order Date]])</f>
        <v>2017</v>
      </c>
    </row>
    <row r="1763" spans="1:2" x14ac:dyDescent="0.2">
      <c r="A1763" s="6" t="s">
        <v>12</v>
      </c>
      <c r="B1763" s="16">
        <f>YEAR(Sales_data[[#This Row],[Order Date]])</f>
        <v>2017</v>
      </c>
    </row>
    <row r="1764" spans="1:2" x14ac:dyDescent="0.2">
      <c r="A1764" s="6" t="s">
        <v>19</v>
      </c>
      <c r="B1764" s="16">
        <f>YEAR(Sales_data[[#This Row],[Order Date]])</f>
        <v>2017</v>
      </c>
    </row>
    <row r="1765" spans="1:2" x14ac:dyDescent="0.2">
      <c r="A1765" s="6" t="s">
        <v>19</v>
      </c>
      <c r="B1765" s="16">
        <f>YEAR(Sales_data[[#This Row],[Order Date]])</f>
        <v>2017</v>
      </c>
    </row>
    <row r="1766" spans="1:2" x14ac:dyDescent="0.2">
      <c r="A1766" s="6" t="s">
        <v>13</v>
      </c>
      <c r="B1766" s="16">
        <f>YEAR(Sales_data[[#This Row],[Order Date]])</f>
        <v>2017</v>
      </c>
    </row>
    <row r="1767" spans="1:2" x14ac:dyDescent="0.2">
      <c r="A1767" s="6" t="s">
        <v>18</v>
      </c>
      <c r="B1767" s="16">
        <f>YEAR(Sales_data[[#This Row],[Order Date]])</f>
        <v>2017</v>
      </c>
    </row>
    <row r="1768" spans="1:2" x14ac:dyDescent="0.2">
      <c r="A1768" s="6" t="s">
        <v>15</v>
      </c>
      <c r="B1768" s="16">
        <f>YEAR(Sales_data[[#This Row],[Order Date]])</f>
        <v>2017</v>
      </c>
    </row>
    <row r="1769" spans="1:2" x14ac:dyDescent="0.2">
      <c r="A1769" s="6" t="s">
        <v>9</v>
      </c>
      <c r="B1769" s="16">
        <f>YEAR(Sales_data[[#This Row],[Order Date]])</f>
        <v>2017</v>
      </c>
    </row>
    <row r="1770" spans="1:2" x14ac:dyDescent="0.2">
      <c r="A1770" s="6" t="s">
        <v>16</v>
      </c>
      <c r="B1770" s="16">
        <f>YEAR(Sales_data[[#This Row],[Order Date]])</f>
        <v>2017</v>
      </c>
    </row>
    <row r="1771" spans="1:2" x14ac:dyDescent="0.2">
      <c r="A1771" s="6" t="s">
        <v>12</v>
      </c>
      <c r="B1771" s="16">
        <f>YEAR(Sales_data[[#This Row],[Order Date]])</f>
        <v>2017</v>
      </c>
    </row>
    <row r="1772" spans="1:2" x14ac:dyDescent="0.2">
      <c r="A1772" s="6" t="s">
        <v>10</v>
      </c>
      <c r="B1772" s="16">
        <f>YEAR(Sales_data[[#This Row],[Order Date]])</f>
        <v>2017</v>
      </c>
    </row>
    <row r="1773" spans="1:2" x14ac:dyDescent="0.2">
      <c r="A1773" s="6" t="s">
        <v>9</v>
      </c>
      <c r="B1773" s="16">
        <f>YEAR(Sales_data[[#This Row],[Order Date]])</f>
        <v>2017</v>
      </c>
    </row>
    <row r="1774" spans="1:2" x14ac:dyDescent="0.2">
      <c r="A1774" s="6" t="s">
        <v>21</v>
      </c>
      <c r="B1774" s="16">
        <f>YEAR(Sales_data[[#This Row],[Order Date]])</f>
        <v>2017</v>
      </c>
    </row>
    <row r="1775" spans="1:2" x14ac:dyDescent="0.2">
      <c r="A1775" s="6" t="s">
        <v>19</v>
      </c>
      <c r="B1775" s="16">
        <f>YEAR(Sales_data[[#This Row],[Order Date]])</f>
        <v>2017</v>
      </c>
    </row>
    <row r="1776" spans="1:2" x14ac:dyDescent="0.2">
      <c r="A1776" s="6" t="s">
        <v>13</v>
      </c>
      <c r="B1776" s="16">
        <f>YEAR(Sales_data[[#This Row],[Order Date]])</f>
        <v>2017</v>
      </c>
    </row>
    <row r="1777" spans="1:2" x14ac:dyDescent="0.2">
      <c r="A1777" s="6" t="s">
        <v>19</v>
      </c>
      <c r="B1777" s="16">
        <f>YEAR(Sales_data[[#This Row],[Order Date]])</f>
        <v>2017</v>
      </c>
    </row>
    <row r="1778" spans="1:2" x14ac:dyDescent="0.2">
      <c r="A1778" s="6" t="s">
        <v>13</v>
      </c>
      <c r="B1778" s="16">
        <f>YEAR(Sales_data[[#This Row],[Order Date]])</f>
        <v>2017</v>
      </c>
    </row>
    <row r="1779" spans="1:2" x14ac:dyDescent="0.2">
      <c r="A1779" s="6" t="s">
        <v>19</v>
      </c>
      <c r="B1779" s="16">
        <f>YEAR(Sales_data[[#This Row],[Order Date]])</f>
        <v>2017</v>
      </c>
    </row>
    <row r="1780" spans="1:2" x14ac:dyDescent="0.2">
      <c r="A1780" s="6" t="s">
        <v>14</v>
      </c>
      <c r="B1780" s="16">
        <f>YEAR(Sales_data[[#This Row],[Order Date]])</f>
        <v>2017</v>
      </c>
    </row>
    <row r="1781" spans="1:2" x14ac:dyDescent="0.2">
      <c r="A1781" s="6" t="s">
        <v>12</v>
      </c>
      <c r="B1781" s="16">
        <f>YEAR(Sales_data[[#This Row],[Order Date]])</f>
        <v>2017</v>
      </c>
    </row>
    <row r="1782" spans="1:2" x14ac:dyDescent="0.2">
      <c r="A1782" s="6" t="s">
        <v>14</v>
      </c>
      <c r="B1782" s="16">
        <f>YEAR(Sales_data[[#This Row],[Order Date]])</f>
        <v>2017</v>
      </c>
    </row>
    <row r="1783" spans="1:2" x14ac:dyDescent="0.2">
      <c r="A1783" s="6" t="s">
        <v>12</v>
      </c>
      <c r="B1783" s="16">
        <f>YEAR(Sales_data[[#This Row],[Order Date]])</f>
        <v>2017</v>
      </c>
    </row>
    <row r="1784" spans="1:2" x14ac:dyDescent="0.2">
      <c r="A1784" s="6" t="s">
        <v>16</v>
      </c>
      <c r="B1784" s="16">
        <f>YEAR(Sales_data[[#This Row],[Order Date]])</f>
        <v>2017</v>
      </c>
    </row>
    <row r="1785" spans="1:2" x14ac:dyDescent="0.2">
      <c r="A1785" s="6" t="s">
        <v>11</v>
      </c>
      <c r="B1785" s="16">
        <f>YEAR(Sales_data[[#This Row],[Order Date]])</f>
        <v>2017</v>
      </c>
    </row>
    <row r="1786" spans="1:2" x14ac:dyDescent="0.2">
      <c r="A1786" s="6" t="s">
        <v>15</v>
      </c>
      <c r="B1786" s="16">
        <f>YEAR(Sales_data[[#This Row],[Order Date]])</f>
        <v>2017</v>
      </c>
    </row>
    <row r="1787" spans="1:2" x14ac:dyDescent="0.2">
      <c r="A1787" s="6" t="s">
        <v>21</v>
      </c>
      <c r="B1787" s="16">
        <f>YEAR(Sales_data[[#This Row],[Order Date]])</f>
        <v>2017</v>
      </c>
    </row>
    <row r="1788" spans="1:2" x14ac:dyDescent="0.2">
      <c r="A1788" s="6" t="s">
        <v>14</v>
      </c>
      <c r="B1788" s="16">
        <f>YEAR(Sales_data[[#This Row],[Order Date]])</f>
        <v>2017</v>
      </c>
    </row>
    <row r="1789" spans="1:2" x14ac:dyDescent="0.2">
      <c r="A1789" s="6" t="s">
        <v>13</v>
      </c>
      <c r="B1789" s="16">
        <f>YEAR(Sales_data[[#This Row],[Order Date]])</f>
        <v>2017</v>
      </c>
    </row>
    <row r="1790" spans="1:2" x14ac:dyDescent="0.2">
      <c r="A1790" s="6" t="s">
        <v>12</v>
      </c>
      <c r="B1790" s="16">
        <f>YEAR(Sales_data[[#This Row],[Order Date]])</f>
        <v>2017</v>
      </c>
    </row>
    <row r="1791" spans="1:2" x14ac:dyDescent="0.2">
      <c r="A1791" s="6" t="s">
        <v>14</v>
      </c>
      <c r="B1791" s="16">
        <f>YEAR(Sales_data[[#This Row],[Order Date]])</f>
        <v>2017</v>
      </c>
    </row>
    <row r="1792" spans="1:2" x14ac:dyDescent="0.2">
      <c r="A1792" s="6" t="s">
        <v>20</v>
      </c>
      <c r="B1792" s="16">
        <f>YEAR(Sales_data[[#This Row],[Order Date]])</f>
        <v>2017</v>
      </c>
    </row>
    <row r="1793" spans="1:2" x14ac:dyDescent="0.2">
      <c r="A1793" s="6" t="s">
        <v>19</v>
      </c>
      <c r="B1793" s="16">
        <f>YEAR(Sales_data[[#This Row],[Order Date]])</f>
        <v>2017</v>
      </c>
    </row>
    <row r="1794" spans="1:2" x14ac:dyDescent="0.2">
      <c r="A1794" s="6" t="s">
        <v>21</v>
      </c>
      <c r="B1794" s="16">
        <f>YEAR(Sales_data[[#This Row],[Order Date]])</f>
        <v>2017</v>
      </c>
    </row>
    <row r="1795" spans="1:2" x14ac:dyDescent="0.2">
      <c r="A1795" s="6" t="s">
        <v>18</v>
      </c>
      <c r="B1795" s="16">
        <f>YEAR(Sales_data[[#This Row],[Order Date]])</f>
        <v>2017</v>
      </c>
    </row>
    <row r="1796" spans="1:2" x14ac:dyDescent="0.2">
      <c r="A1796" s="6" t="s">
        <v>14</v>
      </c>
      <c r="B1796" s="16">
        <f>YEAR(Sales_data[[#This Row],[Order Date]])</f>
        <v>2017</v>
      </c>
    </row>
    <row r="1797" spans="1:2" x14ac:dyDescent="0.2">
      <c r="A1797" s="6" t="s">
        <v>21</v>
      </c>
      <c r="B1797" s="16">
        <f>YEAR(Sales_data[[#This Row],[Order Date]])</f>
        <v>2017</v>
      </c>
    </row>
    <row r="1798" spans="1:2" x14ac:dyDescent="0.2">
      <c r="A1798" s="6" t="s">
        <v>10</v>
      </c>
      <c r="B1798" s="16">
        <f>YEAR(Sales_data[[#This Row],[Order Date]])</f>
        <v>2017</v>
      </c>
    </row>
    <row r="1799" spans="1:2" x14ac:dyDescent="0.2">
      <c r="A1799" s="6" t="s">
        <v>10</v>
      </c>
      <c r="B1799" s="16">
        <f>YEAR(Sales_data[[#This Row],[Order Date]])</f>
        <v>2017</v>
      </c>
    </row>
    <row r="1800" spans="1:2" x14ac:dyDescent="0.2">
      <c r="A1800" s="6" t="s">
        <v>14</v>
      </c>
      <c r="B1800" s="16">
        <f>YEAR(Sales_data[[#This Row],[Order Date]])</f>
        <v>2017</v>
      </c>
    </row>
    <row r="1801" spans="1:2" x14ac:dyDescent="0.2">
      <c r="A1801" s="6" t="s">
        <v>10</v>
      </c>
      <c r="B1801" s="16">
        <f>YEAR(Sales_data[[#This Row],[Order Date]])</f>
        <v>2017</v>
      </c>
    </row>
    <row r="1802" spans="1:2" x14ac:dyDescent="0.2">
      <c r="A1802" s="6" t="s">
        <v>19</v>
      </c>
      <c r="B1802" s="16">
        <f>YEAR(Sales_data[[#This Row],[Order Date]])</f>
        <v>2017</v>
      </c>
    </row>
    <row r="1803" spans="1:2" x14ac:dyDescent="0.2">
      <c r="A1803" s="6" t="s">
        <v>21</v>
      </c>
      <c r="B1803" s="16">
        <f>YEAR(Sales_data[[#This Row],[Order Date]])</f>
        <v>2017</v>
      </c>
    </row>
    <row r="1804" spans="1:2" x14ac:dyDescent="0.2">
      <c r="A1804" s="6" t="s">
        <v>10</v>
      </c>
      <c r="B1804" s="16">
        <f>YEAR(Sales_data[[#This Row],[Order Date]])</f>
        <v>2017</v>
      </c>
    </row>
    <row r="1805" spans="1:2" x14ac:dyDescent="0.2">
      <c r="A1805" s="6" t="s">
        <v>16</v>
      </c>
      <c r="B1805" s="16">
        <f>YEAR(Sales_data[[#This Row],[Order Date]])</f>
        <v>2017</v>
      </c>
    </row>
    <row r="1806" spans="1:2" x14ac:dyDescent="0.2">
      <c r="A1806" s="6" t="s">
        <v>13</v>
      </c>
      <c r="B1806" s="16">
        <f>YEAR(Sales_data[[#This Row],[Order Date]])</f>
        <v>2017</v>
      </c>
    </row>
    <row r="1807" spans="1:2" x14ac:dyDescent="0.2">
      <c r="A1807" s="6" t="s">
        <v>15</v>
      </c>
      <c r="B1807" s="16">
        <f>YEAR(Sales_data[[#This Row],[Order Date]])</f>
        <v>2017</v>
      </c>
    </row>
    <row r="1808" spans="1:2" x14ac:dyDescent="0.2">
      <c r="A1808" s="6" t="s">
        <v>15</v>
      </c>
      <c r="B1808" s="16">
        <f>YEAR(Sales_data[[#This Row],[Order Date]])</f>
        <v>2017</v>
      </c>
    </row>
    <row r="1809" spans="1:2" x14ac:dyDescent="0.2">
      <c r="A1809" s="6" t="s">
        <v>10</v>
      </c>
      <c r="B1809" s="16">
        <f>YEAR(Sales_data[[#This Row],[Order Date]])</f>
        <v>2017</v>
      </c>
    </row>
    <row r="1810" spans="1:2" x14ac:dyDescent="0.2">
      <c r="A1810" s="6" t="s">
        <v>10</v>
      </c>
      <c r="B1810" s="16">
        <f>YEAR(Sales_data[[#This Row],[Order Date]])</f>
        <v>2017</v>
      </c>
    </row>
    <row r="1811" spans="1:2" x14ac:dyDescent="0.2">
      <c r="A1811" s="6" t="s">
        <v>15</v>
      </c>
      <c r="B1811" s="16">
        <f>YEAR(Sales_data[[#This Row],[Order Date]])</f>
        <v>2017</v>
      </c>
    </row>
    <row r="1812" spans="1:2" x14ac:dyDescent="0.2">
      <c r="A1812" s="6" t="s">
        <v>9</v>
      </c>
      <c r="B1812" s="16">
        <f>YEAR(Sales_data[[#This Row],[Order Date]])</f>
        <v>2017</v>
      </c>
    </row>
    <row r="1813" spans="1:2" x14ac:dyDescent="0.2">
      <c r="A1813" s="6" t="s">
        <v>18</v>
      </c>
      <c r="B1813" s="16">
        <f>YEAR(Sales_data[[#This Row],[Order Date]])</f>
        <v>2017</v>
      </c>
    </row>
    <row r="1814" spans="1:2" x14ac:dyDescent="0.2">
      <c r="A1814" s="6" t="s">
        <v>15</v>
      </c>
      <c r="B1814" s="16">
        <f>YEAR(Sales_data[[#This Row],[Order Date]])</f>
        <v>2017</v>
      </c>
    </row>
    <row r="1815" spans="1:2" x14ac:dyDescent="0.2">
      <c r="A1815" s="6" t="s">
        <v>20</v>
      </c>
      <c r="B1815" s="16">
        <f>YEAR(Sales_data[[#This Row],[Order Date]])</f>
        <v>2017</v>
      </c>
    </row>
    <row r="1816" spans="1:2" x14ac:dyDescent="0.2">
      <c r="A1816" s="6" t="s">
        <v>9</v>
      </c>
      <c r="B1816" s="16">
        <f>YEAR(Sales_data[[#This Row],[Order Date]])</f>
        <v>2017</v>
      </c>
    </row>
    <row r="1817" spans="1:2" x14ac:dyDescent="0.2">
      <c r="A1817" s="6" t="s">
        <v>20</v>
      </c>
      <c r="B1817" s="16">
        <f>YEAR(Sales_data[[#This Row],[Order Date]])</f>
        <v>2017</v>
      </c>
    </row>
    <row r="1818" spans="1:2" x14ac:dyDescent="0.2">
      <c r="A1818" s="6" t="s">
        <v>21</v>
      </c>
      <c r="B1818" s="16">
        <f>YEAR(Sales_data[[#This Row],[Order Date]])</f>
        <v>2017</v>
      </c>
    </row>
    <row r="1819" spans="1:2" x14ac:dyDescent="0.2">
      <c r="A1819" s="6" t="s">
        <v>9</v>
      </c>
      <c r="B1819" s="16">
        <f>YEAR(Sales_data[[#This Row],[Order Date]])</f>
        <v>2017</v>
      </c>
    </row>
    <row r="1820" spans="1:2" x14ac:dyDescent="0.2">
      <c r="A1820" s="6" t="s">
        <v>15</v>
      </c>
      <c r="B1820" s="16">
        <f>YEAR(Sales_data[[#This Row],[Order Date]])</f>
        <v>2017</v>
      </c>
    </row>
    <row r="1821" spans="1:2" x14ac:dyDescent="0.2">
      <c r="A1821" s="6" t="s">
        <v>21</v>
      </c>
      <c r="B1821" s="16">
        <f>YEAR(Sales_data[[#This Row],[Order Date]])</f>
        <v>2017</v>
      </c>
    </row>
    <row r="1822" spans="1:2" x14ac:dyDescent="0.2">
      <c r="A1822" s="6" t="s">
        <v>10</v>
      </c>
      <c r="B1822" s="16">
        <f>YEAR(Sales_data[[#This Row],[Order Date]])</f>
        <v>2017</v>
      </c>
    </row>
    <row r="1823" spans="1:2" x14ac:dyDescent="0.2">
      <c r="A1823" s="6" t="s">
        <v>14</v>
      </c>
      <c r="B1823" s="16">
        <f>YEAR(Sales_data[[#This Row],[Order Date]])</f>
        <v>2017</v>
      </c>
    </row>
    <row r="1824" spans="1:2" x14ac:dyDescent="0.2">
      <c r="A1824" s="6" t="s">
        <v>18</v>
      </c>
      <c r="B1824" s="16">
        <f>YEAR(Sales_data[[#This Row],[Order Date]])</f>
        <v>2017</v>
      </c>
    </row>
    <row r="1825" spans="1:2" x14ac:dyDescent="0.2">
      <c r="A1825" s="6" t="s">
        <v>20</v>
      </c>
      <c r="B1825" s="16">
        <f>YEAR(Sales_data[[#This Row],[Order Date]])</f>
        <v>2017</v>
      </c>
    </row>
    <row r="1826" spans="1:2" x14ac:dyDescent="0.2">
      <c r="A1826" s="6" t="s">
        <v>16</v>
      </c>
      <c r="B1826" s="16">
        <f>YEAR(Sales_data[[#This Row],[Order Date]])</f>
        <v>2017</v>
      </c>
    </row>
    <row r="1827" spans="1:2" x14ac:dyDescent="0.2">
      <c r="A1827" s="6" t="s">
        <v>14</v>
      </c>
      <c r="B1827" s="16">
        <f>YEAR(Sales_data[[#This Row],[Order Date]])</f>
        <v>2017</v>
      </c>
    </row>
    <row r="1828" spans="1:2" x14ac:dyDescent="0.2">
      <c r="A1828" s="6" t="s">
        <v>13</v>
      </c>
      <c r="B1828" s="16">
        <f>YEAR(Sales_data[[#This Row],[Order Date]])</f>
        <v>2017</v>
      </c>
    </row>
    <row r="1829" spans="1:2" x14ac:dyDescent="0.2">
      <c r="A1829" s="6" t="s">
        <v>19</v>
      </c>
      <c r="B1829" s="16">
        <f>YEAR(Sales_data[[#This Row],[Order Date]])</f>
        <v>2017</v>
      </c>
    </row>
    <row r="1830" spans="1:2" x14ac:dyDescent="0.2">
      <c r="A1830" s="6" t="s">
        <v>12</v>
      </c>
      <c r="B1830" s="16">
        <f>YEAR(Sales_data[[#This Row],[Order Date]])</f>
        <v>2017</v>
      </c>
    </row>
    <row r="1831" spans="1:2" x14ac:dyDescent="0.2">
      <c r="A1831" s="6" t="s">
        <v>20</v>
      </c>
      <c r="B1831" s="16">
        <f>YEAR(Sales_data[[#This Row],[Order Date]])</f>
        <v>2017</v>
      </c>
    </row>
    <row r="1832" spans="1:2" x14ac:dyDescent="0.2">
      <c r="A1832" s="6" t="s">
        <v>16</v>
      </c>
      <c r="B1832" s="16">
        <f>YEAR(Sales_data[[#This Row],[Order Date]])</f>
        <v>2017</v>
      </c>
    </row>
    <row r="1833" spans="1:2" x14ac:dyDescent="0.2">
      <c r="A1833" s="6" t="s">
        <v>20</v>
      </c>
      <c r="B1833" s="16">
        <f>YEAR(Sales_data[[#This Row],[Order Date]])</f>
        <v>2017</v>
      </c>
    </row>
    <row r="1834" spans="1:2" x14ac:dyDescent="0.2">
      <c r="A1834" s="6" t="s">
        <v>20</v>
      </c>
      <c r="B1834" s="16">
        <f>YEAR(Sales_data[[#This Row],[Order Date]])</f>
        <v>2017</v>
      </c>
    </row>
    <row r="1835" spans="1:2" x14ac:dyDescent="0.2">
      <c r="A1835" s="6" t="s">
        <v>17</v>
      </c>
      <c r="B1835" s="16">
        <f>YEAR(Sales_data[[#This Row],[Order Date]])</f>
        <v>2017</v>
      </c>
    </row>
    <row r="1836" spans="1:2" x14ac:dyDescent="0.2">
      <c r="A1836" s="6" t="s">
        <v>15</v>
      </c>
      <c r="B1836" s="16">
        <f>YEAR(Sales_data[[#This Row],[Order Date]])</f>
        <v>2017</v>
      </c>
    </row>
    <row r="1837" spans="1:2" x14ac:dyDescent="0.2">
      <c r="A1837" s="6" t="s">
        <v>10</v>
      </c>
      <c r="B1837" s="16">
        <f>YEAR(Sales_data[[#This Row],[Order Date]])</f>
        <v>2017</v>
      </c>
    </row>
    <row r="1838" spans="1:2" x14ac:dyDescent="0.2">
      <c r="A1838" s="6" t="s">
        <v>17</v>
      </c>
      <c r="B1838" s="16">
        <f>YEAR(Sales_data[[#This Row],[Order Date]])</f>
        <v>2017</v>
      </c>
    </row>
    <row r="1839" spans="1:2" x14ac:dyDescent="0.2">
      <c r="A1839" s="6" t="s">
        <v>9</v>
      </c>
      <c r="B1839" s="16">
        <f>YEAR(Sales_data[[#This Row],[Order Date]])</f>
        <v>2017</v>
      </c>
    </row>
    <row r="1840" spans="1:2" x14ac:dyDescent="0.2">
      <c r="A1840" s="6" t="s">
        <v>15</v>
      </c>
      <c r="B1840" s="16">
        <f>YEAR(Sales_data[[#This Row],[Order Date]])</f>
        <v>2017</v>
      </c>
    </row>
    <row r="1841" spans="1:2" x14ac:dyDescent="0.2">
      <c r="A1841" s="6" t="s">
        <v>11</v>
      </c>
      <c r="B1841" s="16">
        <f>YEAR(Sales_data[[#This Row],[Order Date]])</f>
        <v>2017</v>
      </c>
    </row>
    <row r="1842" spans="1:2" x14ac:dyDescent="0.2">
      <c r="A1842" s="6" t="s">
        <v>20</v>
      </c>
      <c r="B1842" s="16">
        <f>YEAR(Sales_data[[#This Row],[Order Date]])</f>
        <v>2017</v>
      </c>
    </row>
    <row r="1843" spans="1:2" x14ac:dyDescent="0.2">
      <c r="A1843" s="6" t="s">
        <v>14</v>
      </c>
      <c r="B1843" s="16">
        <f>YEAR(Sales_data[[#This Row],[Order Date]])</f>
        <v>2017</v>
      </c>
    </row>
    <row r="1844" spans="1:2" x14ac:dyDescent="0.2">
      <c r="A1844" s="6" t="s">
        <v>21</v>
      </c>
      <c r="B1844" s="16">
        <f>YEAR(Sales_data[[#This Row],[Order Date]])</f>
        <v>2017</v>
      </c>
    </row>
    <row r="1845" spans="1:2" x14ac:dyDescent="0.2">
      <c r="A1845" s="6" t="s">
        <v>15</v>
      </c>
      <c r="B1845" s="16">
        <f>YEAR(Sales_data[[#This Row],[Order Date]])</f>
        <v>2017</v>
      </c>
    </row>
    <row r="1846" spans="1:2" x14ac:dyDescent="0.2">
      <c r="A1846" s="6" t="s">
        <v>18</v>
      </c>
      <c r="B1846" s="16">
        <f>YEAR(Sales_data[[#This Row],[Order Date]])</f>
        <v>2017</v>
      </c>
    </row>
    <row r="1847" spans="1:2" x14ac:dyDescent="0.2">
      <c r="A1847" s="6" t="s">
        <v>19</v>
      </c>
      <c r="B1847" s="16">
        <f>YEAR(Sales_data[[#This Row],[Order Date]])</f>
        <v>2017</v>
      </c>
    </row>
    <row r="1848" spans="1:2" x14ac:dyDescent="0.2">
      <c r="A1848" s="6" t="s">
        <v>12</v>
      </c>
      <c r="B1848" s="16">
        <f>YEAR(Sales_data[[#This Row],[Order Date]])</f>
        <v>2017</v>
      </c>
    </row>
    <row r="1849" spans="1:2" x14ac:dyDescent="0.2">
      <c r="A1849" s="6" t="s">
        <v>19</v>
      </c>
      <c r="B1849" s="16">
        <f>YEAR(Sales_data[[#This Row],[Order Date]])</f>
        <v>2017</v>
      </c>
    </row>
    <row r="1850" spans="1:2" x14ac:dyDescent="0.2">
      <c r="A1850" s="6" t="s">
        <v>10</v>
      </c>
      <c r="B1850" s="16">
        <f>YEAR(Sales_data[[#This Row],[Order Date]])</f>
        <v>2017</v>
      </c>
    </row>
    <row r="1851" spans="1:2" x14ac:dyDescent="0.2">
      <c r="A1851" s="6" t="s">
        <v>12</v>
      </c>
      <c r="B1851" s="16">
        <f>YEAR(Sales_data[[#This Row],[Order Date]])</f>
        <v>2017</v>
      </c>
    </row>
    <row r="1852" spans="1:2" x14ac:dyDescent="0.2">
      <c r="A1852" s="6" t="s">
        <v>11</v>
      </c>
      <c r="B1852" s="16">
        <f>YEAR(Sales_data[[#This Row],[Order Date]])</f>
        <v>2017</v>
      </c>
    </row>
    <row r="1853" spans="1:2" x14ac:dyDescent="0.2">
      <c r="A1853" s="6" t="s">
        <v>12</v>
      </c>
      <c r="B1853" s="16">
        <f>YEAR(Sales_data[[#This Row],[Order Date]])</f>
        <v>2017</v>
      </c>
    </row>
    <row r="1854" spans="1:2" x14ac:dyDescent="0.2">
      <c r="A1854" s="6" t="s">
        <v>11</v>
      </c>
      <c r="B1854" s="16">
        <f>YEAR(Sales_data[[#This Row],[Order Date]])</f>
        <v>2017</v>
      </c>
    </row>
    <row r="1855" spans="1:2" x14ac:dyDescent="0.2">
      <c r="A1855" s="6" t="s">
        <v>11</v>
      </c>
      <c r="B1855" s="16">
        <f>YEAR(Sales_data[[#This Row],[Order Date]])</f>
        <v>2017</v>
      </c>
    </row>
    <row r="1856" spans="1:2" x14ac:dyDescent="0.2">
      <c r="A1856" s="6" t="s">
        <v>14</v>
      </c>
      <c r="B1856" s="16">
        <f>YEAR(Sales_data[[#This Row],[Order Date]])</f>
        <v>2017</v>
      </c>
    </row>
    <row r="1857" spans="1:2" x14ac:dyDescent="0.2">
      <c r="A1857" s="6" t="s">
        <v>15</v>
      </c>
      <c r="B1857" s="16">
        <f>YEAR(Sales_data[[#This Row],[Order Date]])</f>
        <v>2017</v>
      </c>
    </row>
    <row r="1858" spans="1:2" x14ac:dyDescent="0.2">
      <c r="A1858" s="6" t="s">
        <v>11</v>
      </c>
      <c r="B1858" s="16">
        <f>YEAR(Sales_data[[#This Row],[Order Date]])</f>
        <v>2017</v>
      </c>
    </row>
    <row r="1859" spans="1:2" x14ac:dyDescent="0.2">
      <c r="A1859" s="6" t="s">
        <v>13</v>
      </c>
      <c r="B1859" s="16">
        <f>YEAR(Sales_data[[#This Row],[Order Date]])</f>
        <v>2017</v>
      </c>
    </row>
    <row r="1860" spans="1:2" x14ac:dyDescent="0.2">
      <c r="A1860" s="6" t="s">
        <v>13</v>
      </c>
      <c r="B1860" s="16">
        <f>YEAR(Sales_data[[#This Row],[Order Date]])</f>
        <v>2017</v>
      </c>
    </row>
    <row r="1861" spans="1:2" x14ac:dyDescent="0.2">
      <c r="A1861" s="6" t="s">
        <v>15</v>
      </c>
      <c r="B1861" s="16">
        <f>YEAR(Sales_data[[#This Row],[Order Date]])</f>
        <v>2017</v>
      </c>
    </row>
    <row r="1862" spans="1:2" x14ac:dyDescent="0.2">
      <c r="A1862" s="6" t="s">
        <v>17</v>
      </c>
      <c r="B1862" s="16">
        <f>YEAR(Sales_data[[#This Row],[Order Date]])</f>
        <v>2017</v>
      </c>
    </row>
    <row r="1863" spans="1:2" x14ac:dyDescent="0.2">
      <c r="A1863" s="6" t="s">
        <v>21</v>
      </c>
      <c r="B1863" s="16">
        <f>YEAR(Sales_data[[#This Row],[Order Date]])</f>
        <v>2017</v>
      </c>
    </row>
    <row r="1864" spans="1:2" x14ac:dyDescent="0.2">
      <c r="A1864" s="6" t="s">
        <v>17</v>
      </c>
      <c r="B1864" s="16">
        <f>YEAR(Sales_data[[#This Row],[Order Date]])</f>
        <v>2017</v>
      </c>
    </row>
    <row r="1865" spans="1:2" x14ac:dyDescent="0.2">
      <c r="A1865" s="6" t="s">
        <v>14</v>
      </c>
      <c r="B1865" s="16">
        <f>YEAR(Sales_data[[#This Row],[Order Date]])</f>
        <v>2017</v>
      </c>
    </row>
    <row r="1866" spans="1:2" x14ac:dyDescent="0.2">
      <c r="A1866" s="6" t="s">
        <v>19</v>
      </c>
      <c r="B1866" s="16">
        <f>YEAR(Sales_data[[#This Row],[Order Date]])</f>
        <v>2017</v>
      </c>
    </row>
    <row r="1867" spans="1:2" x14ac:dyDescent="0.2">
      <c r="A1867" s="6" t="s">
        <v>14</v>
      </c>
      <c r="B1867" s="16">
        <f>YEAR(Sales_data[[#This Row],[Order Date]])</f>
        <v>2017</v>
      </c>
    </row>
    <row r="1868" spans="1:2" x14ac:dyDescent="0.2">
      <c r="A1868" s="6" t="s">
        <v>14</v>
      </c>
      <c r="B1868" s="16">
        <f>YEAR(Sales_data[[#This Row],[Order Date]])</f>
        <v>2017</v>
      </c>
    </row>
    <row r="1869" spans="1:2" x14ac:dyDescent="0.2">
      <c r="A1869" s="6" t="s">
        <v>14</v>
      </c>
      <c r="B1869" s="16">
        <f>YEAR(Sales_data[[#This Row],[Order Date]])</f>
        <v>2017</v>
      </c>
    </row>
    <row r="1870" spans="1:2" x14ac:dyDescent="0.2">
      <c r="A1870" s="6" t="s">
        <v>21</v>
      </c>
      <c r="B1870" s="16">
        <f>YEAR(Sales_data[[#This Row],[Order Date]])</f>
        <v>2017</v>
      </c>
    </row>
    <row r="1871" spans="1:2" x14ac:dyDescent="0.2">
      <c r="A1871" s="6" t="s">
        <v>14</v>
      </c>
      <c r="B1871" s="16">
        <f>YEAR(Sales_data[[#This Row],[Order Date]])</f>
        <v>2017</v>
      </c>
    </row>
    <row r="1872" spans="1:2" x14ac:dyDescent="0.2">
      <c r="A1872" s="6" t="s">
        <v>17</v>
      </c>
      <c r="B1872" s="16">
        <f>YEAR(Sales_data[[#This Row],[Order Date]])</f>
        <v>2017</v>
      </c>
    </row>
    <row r="1873" spans="1:2" x14ac:dyDescent="0.2">
      <c r="A1873" s="6" t="s">
        <v>9</v>
      </c>
      <c r="B1873" s="16">
        <f>YEAR(Sales_data[[#This Row],[Order Date]])</f>
        <v>2017</v>
      </c>
    </row>
    <row r="1874" spans="1:2" x14ac:dyDescent="0.2">
      <c r="A1874" s="6" t="s">
        <v>18</v>
      </c>
      <c r="B1874" s="16">
        <f>YEAR(Sales_data[[#This Row],[Order Date]])</f>
        <v>2017</v>
      </c>
    </row>
    <row r="1875" spans="1:2" x14ac:dyDescent="0.2">
      <c r="A1875" s="6" t="s">
        <v>13</v>
      </c>
      <c r="B1875" s="16">
        <f>YEAR(Sales_data[[#This Row],[Order Date]])</f>
        <v>2017</v>
      </c>
    </row>
    <row r="1876" spans="1:2" x14ac:dyDescent="0.2">
      <c r="A1876" s="6" t="s">
        <v>19</v>
      </c>
      <c r="B1876" s="16">
        <f>YEAR(Sales_data[[#This Row],[Order Date]])</f>
        <v>2017</v>
      </c>
    </row>
    <row r="1877" spans="1:2" x14ac:dyDescent="0.2">
      <c r="A1877" s="6" t="s">
        <v>17</v>
      </c>
      <c r="B1877" s="16">
        <f>YEAR(Sales_data[[#This Row],[Order Date]])</f>
        <v>2017</v>
      </c>
    </row>
    <row r="1878" spans="1:2" x14ac:dyDescent="0.2">
      <c r="A1878" s="6" t="s">
        <v>10</v>
      </c>
      <c r="B1878" s="16">
        <f>YEAR(Sales_data[[#This Row],[Order Date]])</f>
        <v>2017</v>
      </c>
    </row>
    <row r="1879" spans="1:2" x14ac:dyDescent="0.2">
      <c r="A1879" s="6" t="s">
        <v>14</v>
      </c>
      <c r="B1879" s="16">
        <f>YEAR(Sales_data[[#This Row],[Order Date]])</f>
        <v>2017</v>
      </c>
    </row>
    <row r="1880" spans="1:2" x14ac:dyDescent="0.2">
      <c r="A1880" s="6" t="s">
        <v>9</v>
      </c>
      <c r="B1880" s="16">
        <f>YEAR(Sales_data[[#This Row],[Order Date]])</f>
        <v>2017</v>
      </c>
    </row>
    <row r="1881" spans="1:2" x14ac:dyDescent="0.2">
      <c r="A1881" s="6" t="s">
        <v>11</v>
      </c>
      <c r="B1881" s="16">
        <f>YEAR(Sales_data[[#This Row],[Order Date]])</f>
        <v>2017</v>
      </c>
    </row>
    <row r="1882" spans="1:2" x14ac:dyDescent="0.2">
      <c r="A1882" s="6" t="s">
        <v>16</v>
      </c>
      <c r="B1882" s="16">
        <f>YEAR(Sales_data[[#This Row],[Order Date]])</f>
        <v>2017</v>
      </c>
    </row>
    <row r="1883" spans="1:2" x14ac:dyDescent="0.2">
      <c r="A1883" s="6" t="s">
        <v>16</v>
      </c>
      <c r="B1883" s="16">
        <f>YEAR(Sales_data[[#This Row],[Order Date]])</f>
        <v>2017</v>
      </c>
    </row>
    <row r="1884" spans="1:2" x14ac:dyDescent="0.2">
      <c r="A1884" s="6" t="s">
        <v>20</v>
      </c>
      <c r="B1884" s="16">
        <f>YEAR(Sales_data[[#This Row],[Order Date]])</f>
        <v>2017</v>
      </c>
    </row>
    <row r="1885" spans="1:2" x14ac:dyDescent="0.2">
      <c r="A1885" s="6" t="s">
        <v>15</v>
      </c>
      <c r="B1885" s="16">
        <f>YEAR(Sales_data[[#This Row],[Order Date]])</f>
        <v>2017</v>
      </c>
    </row>
    <row r="1886" spans="1:2" x14ac:dyDescent="0.2">
      <c r="A1886" s="6" t="s">
        <v>10</v>
      </c>
      <c r="B1886" s="16">
        <f>YEAR(Sales_data[[#This Row],[Order Date]])</f>
        <v>2017</v>
      </c>
    </row>
    <row r="1887" spans="1:2" x14ac:dyDescent="0.2">
      <c r="A1887" s="6" t="s">
        <v>15</v>
      </c>
      <c r="B1887" s="16">
        <f>YEAR(Sales_data[[#This Row],[Order Date]])</f>
        <v>2017</v>
      </c>
    </row>
    <row r="1888" spans="1:2" x14ac:dyDescent="0.2">
      <c r="A1888" s="6" t="s">
        <v>20</v>
      </c>
      <c r="B1888" s="16">
        <f>YEAR(Sales_data[[#This Row],[Order Date]])</f>
        <v>2017</v>
      </c>
    </row>
    <row r="1889" spans="1:2" x14ac:dyDescent="0.2">
      <c r="A1889" s="6" t="s">
        <v>21</v>
      </c>
      <c r="B1889" s="16">
        <f>YEAR(Sales_data[[#This Row],[Order Date]])</f>
        <v>2017</v>
      </c>
    </row>
    <row r="1890" spans="1:2" x14ac:dyDescent="0.2">
      <c r="A1890" s="6" t="s">
        <v>18</v>
      </c>
      <c r="B1890" s="16">
        <f>YEAR(Sales_data[[#This Row],[Order Date]])</f>
        <v>2017</v>
      </c>
    </row>
    <row r="1891" spans="1:2" x14ac:dyDescent="0.2">
      <c r="A1891" s="6" t="s">
        <v>19</v>
      </c>
      <c r="B1891" s="16">
        <f>YEAR(Sales_data[[#This Row],[Order Date]])</f>
        <v>2017</v>
      </c>
    </row>
    <row r="1892" spans="1:2" x14ac:dyDescent="0.2">
      <c r="A1892" s="6" t="s">
        <v>16</v>
      </c>
      <c r="B1892" s="16">
        <f>YEAR(Sales_data[[#This Row],[Order Date]])</f>
        <v>2017</v>
      </c>
    </row>
    <row r="1893" spans="1:2" x14ac:dyDescent="0.2">
      <c r="A1893" s="6" t="s">
        <v>12</v>
      </c>
      <c r="B1893" s="16">
        <f>YEAR(Sales_data[[#This Row],[Order Date]])</f>
        <v>2017</v>
      </c>
    </row>
    <row r="1894" spans="1:2" x14ac:dyDescent="0.2">
      <c r="A1894" s="6" t="s">
        <v>10</v>
      </c>
      <c r="B1894" s="16">
        <f>YEAR(Sales_data[[#This Row],[Order Date]])</f>
        <v>2017</v>
      </c>
    </row>
    <row r="1895" spans="1:2" x14ac:dyDescent="0.2">
      <c r="A1895" s="6" t="s">
        <v>17</v>
      </c>
      <c r="B1895" s="16">
        <f>YEAR(Sales_data[[#This Row],[Order Date]])</f>
        <v>2017</v>
      </c>
    </row>
    <row r="1896" spans="1:2" x14ac:dyDescent="0.2">
      <c r="A1896" s="6" t="s">
        <v>17</v>
      </c>
      <c r="B1896" s="16">
        <f>YEAR(Sales_data[[#This Row],[Order Date]])</f>
        <v>2017</v>
      </c>
    </row>
    <row r="1897" spans="1:2" x14ac:dyDescent="0.2">
      <c r="A1897" s="6" t="s">
        <v>10</v>
      </c>
      <c r="B1897" s="16">
        <f>YEAR(Sales_data[[#This Row],[Order Date]])</f>
        <v>2017</v>
      </c>
    </row>
    <row r="1898" spans="1:2" x14ac:dyDescent="0.2">
      <c r="A1898" s="6" t="s">
        <v>20</v>
      </c>
      <c r="B1898" s="16">
        <f>YEAR(Sales_data[[#This Row],[Order Date]])</f>
        <v>2017</v>
      </c>
    </row>
    <row r="1899" spans="1:2" x14ac:dyDescent="0.2">
      <c r="A1899" s="6" t="s">
        <v>15</v>
      </c>
      <c r="B1899" s="16">
        <f>YEAR(Sales_data[[#This Row],[Order Date]])</f>
        <v>2017</v>
      </c>
    </row>
    <row r="1900" spans="1:2" x14ac:dyDescent="0.2">
      <c r="A1900" s="6" t="s">
        <v>9</v>
      </c>
      <c r="B1900" s="16">
        <f>YEAR(Sales_data[[#This Row],[Order Date]])</f>
        <v>2017</v>
      </c>
    </row>
    <row r="1901" spans="1:2" x14ac:dyDescent="0.2">
      <c r="A1901" s="6" t="s">
        <v>19</v>
      </c>
      <c r="B1901" s="16">
        <f>YEAR(Sales_data[[#This Row],[Order Date]])</f>
        <v>2017</v>
      </c>
    </row>
    <row r="1902" spans="1:2" x14ac:dyDescent="0.2">
      <c r="A1902" s="6" t="s">
        <v>19</v>
      </c>
      <c r="B1902" s="16">
        <f>YEAR(Sales_data[[#This Row],[Order Date]])</f>
        <v>2017</v>
      </c>
    </row>
    <row r="1903" spans="1:2" x14ac:dyDescent="0.2">
      <c r="A1903" s="6" t="s">
        <v>10</v>
      </c>
      <c r="B1903" s="16">
        <f>YEAR(Sales_data[[#This Row],[Order Date]])</f>
        <v>2017</v>
      </c>
    </row>
    <row r="1904" spans="1:2" x14ac:dyDescent="0.2">
      <c r="A1904" s="6" t="s">
        <v>17</v>
      </c>
      <c r="B1904" s="16">
        <f>YEAR(Sales_data[[#This Row],[Order Date]])</f>
        <v>2017</v>
      </c>
    </row>
    <row r="1905" spans="1:2" x14ac:dyDescent="0.2">
      <c r="A1905" s="6" t="s">
        <v>13</v>
      </c>
      <c r="B1905" s="16">
        <f>YEAR(Sales_data[[#This Row],[Order Date]])</f>
        <v>2017</v>
      </c>
    </row>
    <row r="1906" spans="1:2" x14ac:dyDescent="0.2">
      <c r="A1906" s="6" t="s">
        <v>15</v>
      </c>
      <c r="B1906" s="16">
        <f>YEAR(Sales_data[[#This Row],[Order Date]])</f>
        <v>2017</v>
      </c>
    </row>
    <row r="1907" spans="1:2" x14ac:dyDescent="0.2">
      <c r="A1907" s="6" t="s">
        <v>14</v>
      </c>
      <c r="B1907" s="16">
        <f>YEAR(Sales_data[[#This Row],[Order Date]])</f>
        <v>2017</v>
      </c>
    </row>
    <row r="1908" spans="1:2" x14ac:dyDescent="0.2">
      <c r="A1908" s="6" t="s">
        <v>9</v>
      </c>
      <c r="B1908" s="16">
        <f>YEAR(Sales_data[[#This Row],[Order Date]])</f>
        <v>2017</v>
      </c>
    </row>
    <row r="1909" spans="1:2" x14ac:dyDescent="0.2">
      <c r="A1909" s="6" t="s">
        <v>10</v>
      </c>
      <c r="B1909" s="16">
        <f>YEAR(Sales_data[[#This Row],[Order Date]])</f>
        <v>2017</v>
      </c>
    </row>
    <row r="1910" spans="1:2" x14ac:dyDescent="0.2">
      <c r="A1910" s="6" t="s">
        <v>15</v>
      </c>
      <c r="B1910" s="16">
        <f>YEAR(Sales_data[[#This Row],[Order Date]])</f>
        <v>2017</v>
      </c>
    </row>
    <row r="1911" spans="1:2" x14ac:dyDescent="0.2">
      <c r="A1911" s="6" t="s">
        <v>18</v>
      </c>
      <c r="B1911" s="16">
        <f>YEAR(Sales_data[[#This Row],[Order Date]])</f>
        <v>2017</v>
      </c>
    </row>
    <row r="1912" spans="1:2" x14ac:dyDescent="0.2">
      <c r="A1912" s="6" t="s">
        <v>11</v>
      </c>
      <c r="B1912" s="16">
        <f>YEAR(Sales_data[[#This Row],[Order Date]])</f>
        <v>2017</v>
      </c>
    </row>
    <row r="1913" spans="1:2" x14ac:dyDescent="0.2">
      <c r="A1913" s="6" t="s">
        <v>13</v>
      </c>
      <c r="B1913" s="16">
        <f>YEAR(Sales_data[[#This Row],[Order Date]])</f>
        <v>2017</v>
      </c>
    </row>
    <row r="1914" spans="1:2" x14ac:dyDescent="0.2">
      <c r="A1914" s="6" t="s">
        <v>20</v>
      </c>
      <c r="B1914" s="16">
        <f>YEAR(Sales_data[[#This Row],[Order Date]])</f>
        <v>2017</v>
      </c>
    </row>
    <row r="1915" spans="1:2" x14ac:dyDescent="0.2">
      <c r="A1915" s="6" t="s">
        <v>18</v>
      </c>
      <c r="B1915" s="16">
        <f>YEAR(Sales_data[[#This Row],[Order Date]])</f>
        <v>2017</v>
      </c>
    </row>
    <row r="1916" spans="1:2" x14ac:dyDescent="0.2">
      <c r="A1916" s="6" t="s">
        <v>18</v>
      </c>
      <c r="B1916" s="16">
        <f>YEAR(Sales_data[[#This Row],[Order Date]])</f>
        <v>2017</v>
      </c>
    </row>
    <row r="1917" spans="1:2" x14ac:dyDescent="0.2">
      <c r="A1917" s="6" t="s">
        <v>21</v>
      </c>
      <c r="B1917" s="16">
        <f>YEAR(Sales_data[[#This Row],[Order Date]])</f>
        <v>2017</v>
      </c>
    </row>
    <row r="1918" spans="1:2" x14ac:dyDescent="0.2">
      <c r="A1918" s="6" t="s">
        <v>18</v>
      </c>
      <c r="B1918" s="16">
        <f>YEAR(Sales_data[[#This Row],[Order Date]])</f>
        <v>2017</v>
      </c>
    </row>
    <row r="1919" spans="1:2" x14ac:dyDescent="0.2">
      <c r="A1919" s="6" t="s">
        <v>20</v>
      </c>
      <c r="B1919" s="16">
        <f>YEAR(Sales_data[[#This Row],[Order Date]])</f>
        <v>2017</v>
      </c>
    </row>
    <row r="1920" spans="1:2" x14ac:dyDescent="0.2">
      <c r="A1920" s="6" t="s">
        <v>9</v>
      </c>
      <c r="B1920" s="16">
        <f>YEAR(Sales_data[[#This Row],[Order Date]])</f>
        <v>2017</v>
      </c>
    </row>
    <row r="1921" spans="1:2" x14ac:dyDescent="0.2">
      <c r="A1921" s="6" t="s">
        <v>16</v>
      </c>
      <c r="B1921" s="16">
        <f>YEAR(Sales_data[[#This Row],[Order Date]])</f>
        <v>2017</v>
      </c>
    </row>
    <row r="1922" spans="1:2" x14ac:dyDescent="0.2">
      <c r="A1922" s="6" t="s">
        <v>16</v>
      </c>
      <c r="B1922" s="16">
        <f>YEAR(Sales_data[[#This Row],[Order Date]])</f>
        <v>2017</v>
      </c>
    </row>
    <row r="1923" spans="1:2" x14ac:dyDescent="0.2">
      <c r="A1923" s="6" t="s">
        <v>12</v>
      </c>
      <c r="B1923" s="16">
        <f>YEAR(Sales_data[[#This Row],[Order Date]])</f>
        <v>2017</v>
      </c>
    </row>
    <row r="1924" spans="1:2" x14ac:dyDescent="0.2">
      <c r="A1924" s="6" t="s">
        <v>16</v>
      </c>
      <c r="B1924" s="16">
        <f>YEAR(Sales_data[[#This Row],[Order Date]])</f>
        <v>2017</v>
      </c>
    </row>
    <row r="1925" spans="1:2" x14ac:dyDescent="0.2">
      <c r="A1925" s="6" t="s">
        <v>19</v>
      </c>
      <c r="B1925" s="16">
        <f>YEAR(Sales_data[[#This Row],[Order Date]])</f>
        <v>2017</v>
      </c>
    </row>
    <row r="1926" spans="1:2" x14ac:dyDescent="0.2">
      <c r="A1926" s="6" t="s">
        <v>17</v>
      </c>
      <c r="B1926" s="16">
        <f>YEAR(Sales_data[[#This Row],[Order Date]])</f>
        <v>2017</v>
      </c>
    </row>
    <row r="1927" spans="1:2" x14ac:dyDescent="0.2">
      <c r="A1927" s="6" t="s">
        <v>12</v>
      </c>
      <c r="B1927" s="16">
        <f>YEAR(Sales_data[[#This Row],[Order Date]])</f>
        <v>2017</v>
      </c>
    </row>
    <row r="1928" spans="1:2" x14ac:dyDescent="0.2">
      <c r="A1928" s="6" t="s">
        <v>18</v>
      </c>
      <c r="B1928" s="16">
        <f>YEAR(Sales_data[[#This Row],[Order Date]])</f>
        <v>2017</v>
      </c>
    </row>
    <row r="1929" spans="1:2" x14ac:dyDescent="0.2">
      <c r="A1929" s="6" t="s">
        <v>20</v>
      </c>
      <c r="B1929" s="16">
        <f>YEAR(Sales_data[[#This Row],[Order Date]])</f>
        <v>2017</v>
      </c>
    </row>
    <row r="1930" spans="1:2" x14ac:dyDescent="0.2">
      <c r="A1930" s="6" t="s">
        <v>10</v>
      </c>
      <c r="B1930" s="16">
        <f>YEAR(Sales_data[[#This Row],[Order Date]])</f>
        <v>2017</v>
      </c>
    </row>
    <row r="1931" spans="1:2" x14ac:dyDescent="0.2">
      <c r="A1931" s="6" t="s">
        <v>16</v>
      </c>
      <c r="B1931" s="16">
        <f>YEAR(Sales_data[[#This Row],[Order Date]])</f>
        <v>2017</v>
      </c>
    </row>
    <row r="1932" spans="1:2" x14ac:dyDescent="0.2">
      <c r="A1932" s="6" t="s">
        <v>20</v>
      </c>
      <c r="B1932" s="16">
        <f>YEAR(Sales_data[[#This Row],[Order Date]])</f>
        <v>2017</v>
      </c>
    </row>
    <row r="1933" spans="1:2" x14ac:dyDescent="0.2">
      <c r="A1933" s="6" t="s">
        <v>19</v>
      </c>
      <c r="B1933" s="16">
        <f>YEAR(Sales_data[[#This Row],[Order Date]])</f>
        <v>2017</v>
      </c>
    </row>
    <row r="1934" spans="1:2" x14ac:dyDescent="0.2">
      <c r="A1934" s="6" t="s">
        <v>14</v>
      </c>
      <c r="B1934" s="16">
        <f>YEAR(Sales_data[[#This Row],[Order Date]])</f>
        <v>2017</v>
      </c>
    </row>
    <row r="1935" spans="1:2" x14ac:dyDescent="0.2">
      <c r="A1935" s="6" t="s">
        <v>13</v>
      </c>
      <c r="B1935" s="16">
        <f>YEAR(Sales_data[[#This Row],[Order Date]])</f>
        <v>2017</v>
      </c>
    </row>
    <row r="1936" spans="1:2" x14ac:dyDescent="0.2">
      <c r="A1936" s="6" t="s">
        <v>10</v>
      </c>
      <c r="B1936" s="16">
        <f>YEAR(Sales_data[[#This Row],[Order Date]])</f>
        <v>2017</v>
      </c>
    </row>
    <row r="1937" spans="1:2" x14ac:dyDescent="0.2">
      <c r="A1937" s="6" t="s">
        <v>13</v>
      </c>
      <c r="B1937" s="16">
        <f>YEAR(Sales_data[[#This Row],[Order Date]])</f>
        <v>2017</v>
      </c>
    </row>
    <row r="1938" spans="1:2" x14ac:dyDescent="0.2">
      <c r="A1938" s="6" t="s">
        <v>11</v>
      </c>
      <c r="B1938" s="16">
        <f>YEAR(Sales_data[[#This Row],[Order Date]])</f>
        <v>2017</v>
      </c>
    </row>
    <row r="1939" spans="1:2" x14ac:dyDescent="0.2">
      <c r="A1939" s="6" t="s">
        <v>11</v>
      </c>
      <c r="B1939" s="16">
        <f>YEAR(Sales_data[[#This Row],[Order Date]])</f>
        <v>2017</v>
      </c>
    </row>
    <row r="1940" spans="1:2" x14ac:dyDescent="0.2">
      <c r="A1940" s="6" t="s">
        <v>17</v>
      </c>
      <c r="B1940" s="16">
        <f>YEAR(Sales_data[[#This Row],[Order Date]])</f>
        <v>2017</v>
      </c>
    </row>
    <row r="1941" spans="1:2" x14ac:dyDescent="0.2">
      <c r="A1941" s="6" t="s">
        <v>10</v>
      </c>
      <c r="B1941" s="16">
        <f>YEAR(Sales_data[[#This Row],[Order Date]])</f>
        <v>2017</v>
      </c>
    </row>
    <row r="1942" spans="1:2" x14ac:dyDescent="0.2">
      <c r="A1942" s="6" t="s">
        <v>13</v>
      </c>
      <c r="B1942" s="16">
        <f>YEAR(Sales_data[[#This Row],[Order Date]])</f>
        <v>2017</v>
      </c>
    </row>
    <row r="1943" spans="1:2" x14ac:dyDescent="0.2">
      <c r="A1943" s="6" t="s">
        <v>9</v>
      </c>
      <c r="B1943" s="16">
        <f>YEAR(Sales_data[[#This Row],[Order Date]])</f>
        <v>2017</v>
      </c>
    </row>
    <row r="1944" spans="1:2" x14ac:dyDescent="0.2">
      <c r="A1944" s="6" t="s">
        <v>13</v>
      </c>
      <c r="B1944" s="16">
        <f>YEAR(Sales_data[[#This Row],[Order Date]])</f>
        <v>2017</v>
      </c>
    </row>
    <row r="1945" spans="1:2" x14ac:dyDescent="0.2">
      <c r="A1945" s="6" t="s">
        <v>19</v>
      </c>
      <c r="B1945" s="16">
        <f>YEAR(Sales_data[[#This Row],[Order Date]])</f>
        <v>2017</v>
      </c>
    </row>
    <row r="1946" spans="1:2" x14ac:dyDescent="0.2">
      <c r="A1946" s="6" t="s">
        <v>13</v>
      </c>
      <c r="B1946" s="16">
        <f>YEAR(Sales_data[[#This Row],[Order Date]])</f>
        <v>2017</v>
      </c>
    </row>
    <row r="1947" spans="1:2" x14ac:dyDescent="0.2">
      <c r="A1947" s="6" t="s">
        <v>15</v>
      </c>
      <c r="B1947" s="16">
        <f>YEAR(Sales_data[[#This Row],[Order Date]])</f>
        <v>2017</v>
      </c>
    </row>
    <row r="1948" spans="1:2" x14ac:dyDescent="0.2">
      <c r="A1948" s="6" t="s">
        <v>18</v>
      </c>
      <c r="B1948" s="16">
        <f>YEAR(Sales_data[[#This Row],[Order Date]])</f>
        <v>2017</v>
      </c>
    </row>
    <row r="1949" spans="1:2" x14ac:dyDescent="0.2">
      <c r="A1949" s="6" t="s">
        <v>21</v>
      </c>
      <c r="B1949" s="16">
        <f>YEAR(Sales_data[[#This Row],[Order Date]])</f>
        <v>2017</v>
      </c>
    </row>
    <row r="1950" spans="1:2" x14ac:dyDescent="0.2">
      <c r="A1950" s="6" t="s">
        <v>19</v>
      </c>
      <c r="B1950" s="16">
        <f>YEAR(Sales_data[[#This Row],[Order Date]])</f>
        <v>2017</v>
      </c>
    </row>
    <row r="1951" spans="1:2" x14ac:dyDescent="0.2">
      <c r="A1951" s="6" t="s">
        <v>18</v>
      </c>
      <c r="B1951" s="16">
        <f>YEAR(Sales_data[[#This Row],[Order Date]])</f>
        <v>2017</v>
      </c>
    </row>
    <row r="1952" spans="1:2" x14ac:dyDescent="0.2">
      <c r="A1952" s="6" t="s">
        <v>13</v>
      </c>
      <c r="B1952" s="16">
        <f>YEAR(Sales_data[[#This Row],[Order Date]])</f>
        <v>2017</v>
      </c>
    </row>
    <row r="1953" spans="1:2" x14ac:dyDescent="0.2">
      <c r="A1953" s="6" t="s">
        <v>14</v>
      </c>
      <c r="B1953" s="16">
        <f>YEAR(Sales_data[[#This Row],[Order Date]])</f>
        <v>2017</v>
      </c>
    </row>
    <row r="1954" spans="1:2" x14ac:dyDescent="0.2">
      <c r="A1954" s="6" t="s">
        <v>14</v>
      </c>
      <c r="B1954" s="16">
        <f>YEAR(Sales_data[[#This Row],[Order Date]])</f>
        <v>2017</v>
      </c>
    </row>
    <row r="1955" spans="1:2" x14ac:dyDescent="0.2">
      <c r="A1955" s="6" t="s">
        <v>14</v>
      </c>
      <c r="B1955" s="16">
        <f>YEAR(Sales_data[[#This Row],[Order Date]])</f>
        <v>2017</v>
      </c>
    </row>
    <row r="1956" spans="1:2" x14ac:dyDescent="0.2">
      <c r="A1956" s="6" t="s">
        <v>11</v>
      </c>
      <c r="B1956" s="16">
        <f>YEAR(Sales_data[[#This Row],[Order Date]])</f>
        <v>2017</v>
      </c>
    </row>
    <row r="1957" spans="1:2" x14ac:dyDescent="0.2">
      <c r="A1957" s="6" t="s">
        <v>11</v>
      </c>
      <c r="B1957" s="16">
        <f>YEAR(Sales_data[[#This Row],[Order Date]])</f>
        <v>2017</v>
      </c>
    </row>
    <row r="1958" spans="1:2" x14ac:dyDescent="0.2">
      <c r="A1958" s="6" t="s">
        <v>12</v>
      </c>
      <c r="B1958" s="16">
        <f>YEAR(Sales_data[[#This Row],[Order Date]])</f>
        <v>2017</v>
      </c>
    </row>
    <row r="1959" spans="1:2" x14ac:dyDescent="0.2">
      <c r="A1959" s="6" t="s">
        <v>15</v>
      </c>
      <c r="B1959" s="16">
        <f>YEAR(Sales_data[[#This Row],[Order Date]])</f>
        <v>2017</v>
      </c>
    </row>
    <row r="1960" spans="1:2" x14ac:dyDescent="0.2">
      <c r="A1960" s="6" t="s">
        <v>18</v>
      </c>
      <c r="B1960" s="16">
        <f>YEAR(Sales_data[[#This Row],[Order Date]])</f>
        <v>2017</v>
      </c>
    </row>
    <row r="1961" spans="1:2" x14ac:dyDescent="0.2">
      <c r="A1961" s="6" t="s">
        <v>21</v>
      </c>
      <c r="B1961" s="16">
        <f>YEAR(Sales_data[[#This Row],[Order Date]])</f>
        <v>2017</v>
      </c>
    </row>
    <row r="1962" spans="1:2" x14ac:dyDescent="0.2">
      <c r="A1962" s="6" t="s">
        <v>18</v>
      </c>
      <c r="B1962" s="16">
        <f>YEAR(Sales_data[[#This Row],[Order Date]])</f>
        <v>2017</v>
      </c>
    </row>
    <row r="1963" spans="1:2" x14ac:dyDescent="0.2">
      <c r="A1963" s="6" t="s">
        <v>15</v>
      </c>
      <c r="B1963" s="16">
        <f>YEAR(Sales_data[[#This Row],[Order Date]])</f>
        <v>2017</v>
      </c>
    </row>
    <row r="1964" spans="1:2" x14ac:dyDescent="0.2">
      <c r="A1964" s="6" t="s">
        <v>15</v>
      </c>
      <c r="B1964" s="16">
        <f>YEAR(Sales_data[[#This Row],[Order Date]])</f>
        <v>2017</v>
      </c>
    </row>
    <row r="1965" spans="1:2" x14ac:dyDescent="0.2">
      <c r="A1965" s="6" t="s">
        <v>18</v>
      </c>
      <c r="B1965" s="16">
        <f>YEAR(Sales_data[[#This Row],[Order Date]])</f>
        <v>2017</v>
      </c>
    </row>
    <row r="1966" spans="1:2" x14ac:dyDescent="0.2">
      <c r="A1966" s="6" t="s">
        <v>15</v>
      </c>
      <c r="B1966" s="16">
        <f>YEAR(Sales_data[[#This Row],[Order Date]])</f>
        <v>2017</v>
      </c>
    </row>
    <row r="1967" spans="1:2" x14ac:dyDescent="0.2">
      <c r="A1967" s="6" t="s">
        <v>21</v>
      </c>
      <c r="B1967" s="16">
        <f>YEAR(Sales_data[[#This Row],[Order Date]])</f>
        <v>2017</v>
      </c>
    </row>
    <row r="1968" spans="1:2" x14ac:dyDescent="0.2">
      <c r="A1968" s="6" t="s">
        <v>9</v>
      </c>
      <c r="B1968" s="16">
        <f>YEAR(Sales_data[[#This Row],[Order Date]])</f>
        <v>2017</v>
      </c>
    </row>
    <row r="1969" spans="1:2" x14ac:dyDescent="0.2">
      <c r="A1969" s="6" t="s">
        <v>20</v>
      </c>
      <c r="B1969" s="16">
        <f>YEAR(Sales_data[[#This Row],[Order Date]])</f>
        <v>2017</v>
      </c>
    </row>
    <row r="1970" spans="1:2" x14ac:dyDescent="0.2">
      <c r="A1970" s="6" t="s">
        <v>11</v>
      </c>
      <c r="B1970" s="16">
        <f>YEAR(Sales_data[[#This Row],[Order Date]])</f>
        <v>2017</v>
      </c>
    </row>
    <row r="1971" spans="1:2" x14ac:dyDescent="0.2">
      <c r="A1971" s="6" t="s">
        <v>20</v>
      </c>
      <c r="B1971" s="16">
        <f>YEAR(Sales_data[[#This Row],[Order Date]])</f>
        <v>2017</v>
      </c>
    </row>
    <row r="1972" spans="1:2" x14ac:dyDescent="0.2">
      <c r="A1972" s="6" t="s">
        <v>9</v>
      </c>
      <c r="B1972" s="16">
        <f>YEAR(Sales_data[[#This Row],[Order Date]])</f>
        <v>2017</v>
      </c>
    </row>
    <row r="1973" spans="1:2" x14ac:dyDescent="0.2">
      <c r="A1973" s="6" t="s">
        <v>10</v>
      </c>
      <c r="B1973" s="16">
        <f>YEAR(Sales_data[[#This Row],[Order Date]])</f>
        <v>2017</v>
      </c>
    </row>
    <row r="1974" spans="1:2" x14ac:dyDescent="0.2">
      <c r="A1974" s="6" t="s">
        <v>13</v>
      </c>
      <c r="B1974" s="16">
        <f>YEAR(Sales_data[[#This Row],[Order Date]])</f>
        <v>2017</v>
      </c>
    </row>
    <row r="1975" spans="1:2" x14ac:dyDescent="0.2">
      <c r="A1975" s="6" t="s">
        <v>10</v>
      </c>
      <c r="B1975" s="16">
        <f>YEAR(Sales_data[[#This Row],[Order Date]])</f>
        <v>2017</v>
      </c>
    </row>
    <row r="1976" spans="1:2" x14ac:dyDescent="0.2">
      <c r="A1976" s="6" t="s">
        <v>9</v>
      </c>
      <c r="B1976" s="16">
        <f>YEAR(Sales_data[[#This Row],[Order Date]])</f>
        <v>2017</v>
      </c>
    </row>
    <row r="1977" spans="1:2" x14ac:dyDescent="0.2">
      <c r="A1977" s="6" t="s">
        <v>21</v>
      </c>
      <c r="B1977" s="16">
        <f>YEAR(Sales_data[[#This Row],[Order Date]])</f>
        <v>2017</v>
      </c>
    </row>
    <row r="1978" spans="1:2" x14ac:dyDescent="0.2">
      <c r="A1978" s="6" t="s">
        <v>15</v>
      </c>
      <c r="B1978" s="16">
        <f>YEAR(Sales_data[[#This Row],[Order Date]])</f>
        <v>2017</v>
      </c>
    </row>
    <row r="1979" spans="1:2" x14ac:dyDescent="0.2">
      <c r="A1979" s="6" t="s">
        <v>16</v>
      </c>
      <c r="B1979" s="16">
        <f>YEAR(Sales_data[[#This Row],[Order Date]])</f>
        <v>2017</v>
      </c>
    </row>
    <row r="1980" spans="1:2" x14ac:dyDescent="0.2">
      <c r="A1980" s="6" t="s">
        <v>10</v>
      </c>
      <c r="B1980" s="16">
        <f>YEAR(Sales_data[[#This Row],[Order Date]])</f>
        <v>2017</v>
      </c>
    </row>
    <row r="1981" spans="1:2" x14ac:dyDescent="0.2">
      <c r="A1981" s="6" t="s">
        <v>9</v>
      </c>
      <c r="B1981" s="16">
        <f>YEAR(Sales_data[[#This Row],[Order Date]])</f>
        <v>2017</v>
      </c>
    </row>
    <row r="1982" spans="1:2" x14ac:dyDescent="0.2">
      <c r="A1982" s="6" t="s">
        <v>13</v>
      </c>
      <c r="B1982" s="16">
        <f>YEAR(Sales_data[[#This Row],[Order Date]])</f>
        <v>2017</v>
      </c>
    </row>
    <row r="1983" spans="1:2" x14ac:dyDescent="0.2">
      <c r="A1983" s="6" t="s">
        <v>9</v>
      </c>
      <c r="B1983" s="16">
        <f>YEAR(Sales_data[[#This Row],[Order Date]])</f>
        <v>2017</v>
      </c>
    </row>
    <row r="1984" spans="1:2" x14ac:dyDescent="0.2">
      <c r="A1984" s="6" t="s">
        <v>17</v>
      </c>
      <c r="B1984" s="16">
        <f>YEAR(Sales_data[[#This Row],[Order Date]])</f>
        <v>2017</v>
      </c>
    </row>
    <row r="1985" spans="1:2" x14ac:dyDescent="0.2">
      <c r="A1985" s="6" t="s">
        <v>18</v>
      </c>
      <c r="B1985" s="16">
        <f>YEAR(Sales_data[[#This Row],[Order Date]])</f>
        <v>2017</v>
      </c>
    </row>
    <row r="1986" spans="1:2" x14ac:dyDescent="0.2">
      <c r="A1986" s="6" t="s">
        <v>14</v>
      </c>
      <c r="B1986" s="16">
        <f>YEAR(Sales_data[[#This Row],[Order Date]])</f>
        <v>2017</v>
      </c>
    </row>
    <row r="1987" spans="1:2" x14ac:dyDescent="0.2">
      <c r="A1987" s="6" t="s">
        <v>14</v>
      </c>
      <c r="B1987" s="16">
        <f>YEAR(Sales_data[[#This Row],[Order Date]])</f>
        <v>2017</v>
      </c>
    </row>
    <row r="1988" spans="1:2" x14ac:dyDescent="0.2">
      <c r="A1988" s="6" t="s">
        <v>16</v>
      </c>
      <c r="B1988" s="16">
        <f>YEAR(Sales_data[[#This Row],[Order Date]])</f>
        <v>2017</v>
      </c>
    </row>
    <row r="1989" spans="1:2" x14ac:dyDescent="0.2">
      <c r="A1989" s="6" t="s">
        <v>18</v>
      </c>
      <c r="B1989" s="16">
        <f>YEAR(Sales_data[[#This Row],[Order Date]])</f>
        <v>2017</v>
      </c>
    </row>
    <row r="1990" spans="1:2" x14ac:dyDescent="0.2">
      <c r="A1990" s="6" t="s">
        <v>14</v>
      </c>
      <c r="B1990" s="16">
        <f>YEAR(Sales_data[[#This Row],[Order Date]])</f>
        <v>2017</v>
      </c>
    </row>
    <row r="1991" spans="1:2" x14ac:dyDescent="0.2">
      <c r="A1991" s="6" t="s">
        <v>11</v>
      </c>
      <c r="B1991" s="16">
        <f>YEAR(Sales_data[[#This Row],[Order Date]])</f>
        <v>2017</v>
      </c>
    </row>
    <row r="1992" spans="1:2" x14ac:dyDescent="0.2">
      <c r="A1992" s="6" t="s">
        <v>13</v>
      </c>
      <c r="B1992" s="16">
        <f>YEAR(Sales_data[[#This Row],[Order Date]])</f>
        <v>2017</v>
      </c>
    </row>
    <row r="1993" spans="1:2" x14ac:dyDescent="0.2">
      <c r="A1993" s="6" t="s">
        <v>14</v>
      </c>
      <c r="B1993" s="16">
        <f>YEAR(Sales_data[[#This Row],[Order Date]])</f>
        <v>2017</v>
      </c>
    </row>
    <row r="1994" spans="1:2" x14ac:dyDescent="0.2">
      <c r="A1994" s="6" t="s">
        <v>21</v>
      </c>
      <c r="B1994" s="16">
        <f>YEAR(Sales_data[[#This Row],[Order Date]])</f>
        <v>2017</v>
      </c>
    </row>
    <row r="1995" spans="1:2" x14ac:dyDescent="0.2">
      <c r="A1995" s="6" t="s">
        <v>10</v>
      </c>
      <c r="B1995" s="16">
        <f>YEAR(Sales_data[[#This Row],[Order Date]])</f>
        <v>2017</v>
      </c>
    </row>
    <row r="1996" spans="1:2" x14ac:dyDescent="0.2">
      <c r="A1996" s="6" t="s">
        <v>16</v>
      </c>
      <c r="B1996" s="16">
        <f>YEAR(Sales_data[[#This Row],[Order Date]])</f>
        <v>2017</v>
      </c>
    </row>
    <row r="1997" spans="1:2" x14ac:dyDescent="0.2">
      <c r="A1997" s="6" t="s">
        <v>14</v>
      </c>
      <c r="B1997" s="16">
        <f>YEAR(Sales_data[[#This Row],[Order Date]])</f>
        <v>2017</v>
      </c>
    </row>
    <row r="1998" spans="1:2" x14ac:dyDescent="0.2">
      <c r="A1998" s="6" t="s">
        <v>9</v>
      </c>
      <c r="B1998" s="16">
        <f>YEAR(Sales_data[[#This Row],[Order Date]])</f>
        <v>2017</v>
      </c>
    </row>
    <row r="1999" spans="1:2" x14ac:dyDescent="0.2">
      <c r="A1999" s="6" t="s">
        <v>19</v>
      </c>
      <c r="B1999" s="16">
        <f>YEAR(Sales_data[[#This Row],[Order Date]])</f>
        <v>2017</v>
      </c>
    </row>
    <row r="2000" spans="1:2" x14ac:dyDescent="0.2">
      <c r="A2000" s="6" t="s">
        <v>14</v>
      </c>
      <c r="B2000" s="16">
        <f>YEAR(Sales_data[[#This Row],[Order Date]])</f>
        <v>2017</v>
      </c>
    </row>
    <row r="2001" spans="1:2" x14ac:dyDescent="0.2">
      <c r="A2001" s="6" t="s">
        <v>18</v>
      </c>
      <c r="B2001" s="16">
        <f>YEAR(Sales_data[[#This Row],[Order Date]])</f>
        <v>2017</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29A00-7086-4C54-8459-4D0B945DE30A}">
  <dimension ref="A1:L35"/>
  <sheetViews>
    <sheetView workbookViewId="0">
      <selection activeCell="A2" sqref="A2:B10"/>
    </sheetView>
  </sheetViews>
  <sheetFormatPr defaultRowHeight="14.25" x14ac:dyDescent="0.2"/>
  <cols>
    <col min="1" max="1" width="13" customWidth="1"/>
    <col min="2" max="2" width="12" customWidth="1"/>
    <col min="3" max="3" width="14.5" customWidth="1"/>
    <col min="4" max="4" width="11" customWidth="1"/>
    <col min="5" max="5" width="11.25" customWidth="1"/>
    <col min="8" max="8" width="13.875" customWidth="1"/>
    <col min="9" max="9" width="12" customWidth="1"/>
    <col min="11" max="11" width="17.75" customWidth="1"/>
    <col min="12" max="12" width="15" customWidth="1"/>
  </cols>
  <sheetData>
    <row r="1" spans="1:12" x14ac:dyDescent="0.2">
      <c r="A1" s="11" t="s">
        <v>56</v>
      </c>
      <c r="B1" t="s">
        <v>57</v>
      </c>
    </row>
    <row r="2" spans="1:12" x14ac:dyDescent="0.2">
      <c r="A2" s="3" t="s">
        <v>40</v>
      </c>
      <c r="B2" s="12">
        <v>241411.76000000013</v>
      </c>
      <c r="D2" s="13" t="str">
        <f>A2</f>
        <v>Tables</v>
      </c>
      <c r="E2" s="14">
        <f>B2</f>
        <v>241411.76000000013</v>
      </c>
      <c r="H2" s="11" t="s">
        <v>56</v>
      </c>
      <c r="I2" t="s">
        <v>59</v>
      </c>
    </row>
    <row r="3" spans="1:12" x14ac:dyDescent="0.2">
      <c r="A3" s="3" t="s">
        <v>42</v>
      </c>
      <c r="B3" s="12">
        <v>234961.19999999995</v>
      </c>
      <c r="D3" s="13" t="str">
        <f t="shared" ref="D3:D10" si="0">A3</f>
        <v>Appliances</v>
      </c>
      <c r="E3" s="14">
        <f t="shared" ref="E3:E10" si="1">B3</f>
        <v>234961.19999999995</v>
      </c>
      <c r="H3" s="3" t="s">
        <v>14</v>
      </c>
      <c r="I3" s="12">
        <v>21957.669999999991</v>
      </c>
      <c r="K3" t="str">
        <f>H3</f>
        <v>Sandra Flanagan</v>
      </c>
      <c r="L3" s="12">
        <f>I3</f>
        <v>21957.669999999991</v>
      </c>
    </row>
    <row r="4" spans="1:12" x14ac:dyDescent="0.2">
      <c r="A4" s="3" t="s">
        <v>36</v>
      </c>
      <c r="B4" s="12">
        <v>228070.16</v>
      </c>
      <c r="D4" s="13" t="str">
        <f t="shared" si="0"/>
        <v>Storage</v>
      </c>
      <c r="E4" s="14">
        <f t="shared" si="1"/>
        <v>228070.16</v>
      </c>
      <c r="H4" s="3" t="s">
        <v>17</v>
      </c>
      <c r="I4" s="12">
        <v>19243.330000000009</v>
      </c>
      <c r="K4" t="str">
        <f t="shared" ref="K4:K7" si="2">H4</f>
        <v>Emily Burns</v>
      </c>
      <c r="L4" s="12">
        <f t="shared" ref="L4:L7" si="3">I4</f>
        <v>19243.330000000009</v>
      </c>
    </row>
    <row r="5" spans="1:12" x14ac:dyDescent="0.2">
      <c r="A5" s="3" t="s">
        <v>38</v>
      </c>
      <c r="B5" s="12">
        <v>227530.65999999992</v>
      </c>
      <c r="D5" s="13" t="str">
        <f t="shared" si="0"/>
        <v>Phones</v>
      </c>
      <c r="E5" s="14">
        <f t="shared" si="1"/>
        <v>227530.65999999992</v>
      </c>
      <c r="H5" s="3" t="s">
        <v>18</v>
      </c>
      <c r="I5" s="12">
        <v>17994.649999999991</v>
      </c>
      <c r="K5" t="str">
        <f t="shared" si="2"/>
        <v>Claire Gute</v>
      </c>
      <c r="L5" s="12">
        <f t="shared" si="3"/>
        <v>17994.649999999991</v>
      </c>
    </row>
    <row r="6" spans="1:12" x14ac:dyDescent="0.2">
      <c r="A6" s="3" t="s">
        <v>35</v>
      </c>
      <c r="B6" s="12">
        <v>225555.87999999992</v>
      </c>
      <c r="D6" s="13" t="str">
        <f t="shared" si="0"/>
        <v>Paper</v>
      </c>
      <c r="E6" s="14">
        <f t="shared" si="1"/>
        <v>225555.87999999992</v>
      </c>
      <c r="H6" s="3" t="s">
        <v>20</v>
      </c>
      <c r="I6" s="12">
        <v>17502.429999999993</v>
      </c>
      <c r="K6" t="str">
        <f t="shared" si="2"/>
        <v>Brosina Hoffman</v>
      </c>
      <c r="L6" s="12">
        <f t="shared" si="3"/>
        <v>17502.429999999993</v>
      </c>
    </row>
    <row r="7" spans="1:12" x14ac:dyDescent="0.2">
      <c r="A7" s="3" t="s">
        <v>41</v>
      </c>
      <c r="B7" s="12">
        <v>222375.84999999989</v>
      </c>
      <c r="D7" s="13" t="str">
        <f t="shared" si="0"/>
        <v>Chairs</v>
      </c>
      <c r="E7" s="14">
        <f t="shared" si="1"/>
        <v>222375.84999999989</v>
      </c>
      <c r="H7" s="3" t="s">
        <v>11</v>
      </c>
      <c r="I7" s="12">
        <v>16645.780000000006</v>
      </c>
      <c r="K7" t="str">
        <f t="shared" si="2"/>
        <v>Andrew Allen</v>
      </c>
      <c r="L7" s="12">
        <f t="shared" si="3"/>
        <v>16645.780000000006</v>
      </c>
    </row>
    <row r="8" spans="1:12" x14ac:dyDescent="0.2">
      <c r="A8" s="3" t="s">
        <v>39</v>
      </c>
      <c r="B8" s="12">
        <v>214166.77000000002</v>
      </c>
      <c r="D8" s="13" t="str">
        <f t="shared" si="0"/>
        <v>Bookcases</v>
      </c>
      <c r="E8" s="14">
        <f t="shared" si="1"/>
        <v>214166.77000000002</v>
      </c>
      <c r="H8" s="3" t="s">
        <v>10</v>
      </c>
      <c r="I8" s="12">
        <v>16077.839999999993</v>
      </c>
    </row>
    <row r="9" spans="1:12" x14ac:dyDescent="0.2">
      <c r="A9" s="3" t="s">
        <v>37</v>
      </c>
      <c r="B9" s="12">
        <v>208786.63</v>
      </c>
      <c r="D9" s="13" t="str">
        <f t="shared" si="0"/>
        <v>Art</v>
      </c>
      <c r="E9" s="14">
        <f t="shared" si="1"/>
        <v>208786.63</v>
      </c>
      <c r="H9" s="3" t="s">
        <v>19</v>
      </c>
      <c r="I9" s="12">
        <v>14448.59</v>
      </c>
    </row>
    <row r="10" spans="1:12" x14ac:dyDescent="0.2">
      <c r="A10" s="3" t="s">
        <v>43</v>
      </c>
      <c r="B10" s="12">
        <v>203056.88000000018</v>
      </c>
      <c r="D10" s="13" t="str">
        <f t="shared" si="0"/>
        <v>Binders</v>
      </c>
      <c r="E10" s="14">
        <f t="shared" si="1"/>
        <v>203056.88000000018</v>
      </c>
      <c r="H10" s="3" t="s">
        <v>13</v>
      </c>
      <c r="I10" s="12">
        <v>13639.639999999994</v>
      </c>
    </row>
    <row r="11" spans="1:12" x14ac:dyDescent="0.2">
      <c r="H11" s="3" t="s">
        <v>15</v>
      </c>
      <c r="I11" s="12">
        <v>13414.520000000002</v>
      </c>
    </row>
    <row r="12" spans="1:12" x14ac:dyDescent="0.2">
      <c r="H12" s="3" t="s">
        <v>9</v>
      </c>
      <c r="I12" s="12">
        <v>12577.220000000008</v>
      </c>
    </row>
    <row r="13" spans="1:12" x14ac:dyDescent="0.2">
      <c r="H13" s="3" t="s">
        <v>16</v>
      </c>
      <c r="I13" s="12">
        <v>12575.039999999994</v>
      </c>
    </row>
    <row r="14" spans="1:12" x14ac:dyDescent="0.2">
      <c r="A14" s="11" t="s">
        <v>59</v>
      </c>
      <c r="B14" s="11" t="s">
        <v>58</v>
      </c>
      <c r="H14" s="3" t="s">
        <v>21</v>
      </c>
      <c r="I14" s="12">
        <v>12374.14</v>
      </c>
    </row>
    <row r="15" spans="1:12" x14ac:dyDescent="0.2">
      <c r="A15" s="11" t="s">
        <v>56</v>
      </c>
      <c r="B15" t="s">
        <v>32</v>
      </c>
      <c r="C15" t="s">
        <v>34</v>
      </c>
      <c r="D15" t="s">
        <v>33</v>
      </c>
      <c r="H15" s="3" t="s">
        <v>12</v>
      </c>
      <c r="I15" s="12">
        <v>11274.909999999996</v>
      </c>
    </row>
    <row r="16" spans="1:12" x14ac:dyDescent="0.2">
      <c r="A16" s="9">
        <v>2013</v>
      </c>
      <c r="B16" s="12">
        <v>15138.16</v>
      </c>
      <c r="C16" s="12">
        <v>13107.120000000003</v>
      </c>
      <c r="D16" s="12">
        <v>12212.6</v>
      </c>
    </row>
    <row r="17" spans="1:12" x14ac:dyDescent="0.2">
      <c r="A17" s="9">
        <v>2014</v>
      </c>
      <c r="B17" s="12">
        <v>10202.000000000002</v>
      </c>
      <c r="C17" s="12">
        <v>8604.06</v>
      </c>
      <c r="D17" s="12">
        <v>14426.99</v>
      </c>
    </row>
    <row r="18" spans="1:12" x14ac:dyDescent="0.2">
      <c r="A18" s="9">
        <v>2015</v>
      </c>
      <c r="B18" s="12">
        <v>10781.960000000003</v>
      </c>
      <c r="C18" s="12">
        <v>14349.320000000002</v>
      </c>
      <c r="D18" s="12">
        <v>15825.430000000002</v>
      </c>
      <c r="H18" s="11" t="s">
        <v>56</v>
      </c>
      <c r="I18" t="s">
        <v>57</v>
      </c>
    </row>
    <row r="19" spans="1:12" x14ac:dyDescent="0.2">
      <c r="A19" s="9">
        <v>2016</v>
      </c>
      <c r="B19" s="12">
        <v>13151.369999999997</v>
      </c>
      <c r="C19" s="12">
        <v>16657.989999999994</v>
      </c>
      <c r="D19" s="12">
        <v>15826.480000000005</v>
      </c>
      <c r="H19" s="3" t="s">
        <v>25</v>
      </c>
      <c r="I19" s="12">
        <v>229218.39999999991</v>
      </c>
      <c r="K19" t="str">
        <f>H19</f>
        <v>North Carolina</v>
      </c>
      <c r="L19" s="12">
        <f>I19</f>
        <v>229218.39999999991</v>
      </c>
    </row>
    <row r="20" spans="1:12" x14ac:dyDescent="0.2">
      <c r="A20" s="9">
        <v>2017</v>
      </c>
      <c r="B20" s="12">
        <v>16147.509999999998</v>
      </c>
      <c r="C20" s="12">
        <v>12980.9</v>
      </c>
      <c r="D20" s="12">
        <v>10313.870000000003</v>
      </c>
      <c r="H20" s="3" t="s">
        <v>30</v>
      </c>
      <c r="I20" s="12">
        <v>218411.20000000007</v>
      </c>
      <c r="K20" t="str">
        <f t="shared" ref="K20:K28" si="4">H20</f>
        <v>Kentucky</v>
      </c>
      <c r="L20" s="12">
        <f t="shared" ref="L20:L28" si="5">I20</f>
        <v>218411.20000000007</v>
      </c>
    </row>
    <row r="21" spans="1:12" x14ac:dyDescent="0.2">
      <c r="H21" s="3" t="s">
        <v>31</v>
      </c>
      <c r="I21" s="12">
        <v>213066.08999999997</v>
      </c>
      <c r="K21" t="str">
        <f t="shared" si="4"/>
        <v>California</v>
      </c>
      <c r="L21" s="12">
        <f t="shared" si="5"/>
        <v>213066.08999999997</v>
      </c>
    </row>
    <row r="22" spans="1:12" x14ac:dyDescent="0.2">
      <c r="H22" s="3" t="s">
        <v>23</v>
      </c>
      <c r="I22" s="12">
        <v>208179.06000000011</v>
      </c>
      <c r="K22" t="str">
        <f t="shared" si="4"/>
        <v>Florida</v>
      </c>
      <c r="L22" s="12">
        <f t="shared" si="5"/>
        <v>208179.06000000011</v>
      </c>
    </row>
    <row r="23" spans="1:12" x14ac:dyDescent="0.2">
      <c r="A23" s="11" t="s">
        <v>56</v>
      </c>
      <c r="B23" t="s">
        <v>57</v>
      </c>
      <c r="H23" s="3" t="s">
        <v>24</v>
      </c>
      <c r="I23" s="12">
        <v>206523.6099999999</v>
      </c>
      <c r="K23" t="str">
        <f t="shared" si="4"/>
        <v>Pennsylvania</v>
      </c>
      <c r="L23" s="12">
        <f t="shared" si="5"/>
        <v>206523.6099999999</v>
      </c>
    </row>
    <row r="24" spans="1:12" x14ac:dyDescent="0.2">
      <c r="A24" s="3" t="s">
        <v>61</v>
      </c>
      <c r="B24" s="12">
        <v>50461.359999999986</v>
      </c>
      <c r="H24" s="3" t="s">
        <v>28</v>
      </c>
      <c r="I24" s="12">
        <v>196366.86000000007</v>
      </c>
      <c r="K24" t="str">
        <f t="shared" si="4"/>
        <v>Utah</v>
      </c>
      <c r="L24" s="12">
        <f t="shared" si="5"/>
        <v>196366.86000000007</v>
      </c>
    </row>
    <row r="25" spans="1:12" x14ac:dyDescent="0.2">
      <c r="A25" s="3" t="s">
        <v>62</v>
      </c>
      <c r="B25" s="12">
        <v>30841.25</v>
      </c>
      <c r="H25" s="3" t="s">
        <v>26</v>
      </c>
      <c r="I25" s="12">
        <v>192666.92</v>
      </c>
      <c r="K25" t="str">
        <f t="shared" si="4"/>
        <v>Nebraska</v>
      </c>
      <c r="L25" s="12">
        <f t="shared" si="5"/>
        <v>192666.92</v>
      </c>
    </row>
    <row r="26" spans="1:12" x14ac:dyDescent="0.2">
      <c r="A26" s="3" t="s">
        <v>63</v>
      </c>
      <c r="B26" s="12">
        <v>34111.949999999997</v>
      </c>
      <c r="H26" s="3" t="s">
        <v>27</v>
      </c>
      <c r="I26" s="12">
        <v>183174.77000000008</v>
      </c>
      <c r="K26" t="str">
        <f t="shared" si="4"/>
        <v>Wisconsin</v>
      </c>
      <c r="L26" s="12">
        <f t="shared" si="5"/>
        <v>183174.77000000008</v>
      </c>
    </row>
    <row r="27" spans="1:12" x14ac:dyDescent="0.2">
      <c r="A27" s="3" t="s">
        <v>64</v>
      </c>
      <c r="B27" s="12">
        <v>32921.009999999995</v>
      </c>
      <c r="H27" s="3" t="s">
        <v>29</v>
      </c>
      <c r="I27" s="12">
        <v>180780.46999999994</v>
      </c>
      <c r="K27" t="str">
        <f t="shared" si="4"/>
        <v>Washington</v>
      </c>
      <c r="L27" s="12">
        <f t="shared" si="5"/>
        <v>180780.46999999994</v>
      </c>
    </row>
    <row r="28" spans="1:12" x14ac:dyDescent="0.2">
      <c r="A28" s="3" t="s">
        <v>65</v>
      </c>
      <c r="B28" s="12">
        <v>35153.99</v>
      </c>
      <c r="H28" s="3" t="s">
        <v>22</v>
      </c>
      <c r="I28" s="12">
        <v>177528.40999999992</v>
      </c>
      <c r="K28" t="str">
        <f t="shared" si="4"/>
        <v>Texas</v>
      </c>
      <c r="L28" s="12">
        <f t="shared" si="5"/>
        <v>177528.40999999992</v>
      </c>
    </row>
    <row r="29" spans="1:12" x14ac:dyDescent="0.2">
      <c r="A29" s="3" t="s">
        <v>66</v>
      </c>
      <c r="B29" s="12">
        <v>29684.28000000001</v>
      </c>
    </row>
    <row r="30" spans="1:12" x14ac:dyDescent="0.2">
      <c r="A30" s="3" t="s">
        <v>67</v>
      </c>
      <c r="B30" s="12">
        <v>23773.89</v>
      </c>
    </row>
    <row r="31" spans="1:12" x14ac:dyDescent="0.2">
      <c r="A31" s="3" t="s">
        <v>68</v>
      </c>
      <c r="B31" s="12">
        <v>38468.57</v>
      </c>
    </row>
    <row r="32" spans="1:12" x14ac:dyDescent="0.2">
      <c r="A32" s="3" t="s">
        <v>69</v>
      </c>
      <c r="B32" s="12">
        <v>32577.43</v>
      </c>
    </row>
    <row r="33" spans="1:2" x14ac:dyDescent="0.2">
      <c r="A33" s="3" t="s">
        <v>70</v>
      </c>
      <c r="B33" s="12">
        <v>20985.93</v>
      </c>
    </row>
    <row r="34" spans="1:2" x14ac:dyDescent="0.2">
      <c r="A34" s="3" t="s">
        <v>71</v>
      </c>
      <c r="B34" s="12">
        <v>26897.380000000005</v>
      </c>
    </row>
    <row r="35" spans="1:2" x14ac:dyDescent="0.2">
      <c r="A35" s="3" t="s">
        <v>72</v>
      </c>
      <c r="B35" s="12">
        <v>26134.219999999998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3F1DE-CCBB-42E8-8F10-4A91E97AFC84}">
  <sheetPr>
    <tabColor theme="7" tint="0.39997558519241921"/>
  </sheetPr>
  <dimension ref="A1"/>
  <sheetViews>
    <sheetView showGridLines="0" zoomScale="80" zoomScaleNormal="80" workbookViewId="0">
      <selection activeCell="AF5" sqref="AF5"/>
    </sheetView>
  </sheetViews>
  <sheetFormatPr defaultRowHeight="14.25" x14ac:dyDescent="0.2"/>
  <cols>
    <col min="1" max="16384" width="9"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Customer Year wise</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Rahil Ahmed</cp:lastModifiedBy>
  <dcterms:created xsi:type="dcterms:W3CDTF">2025-11-05T20:04:38Z</dcterms:created>
  <dcterms:modified xsi:type="dcterms:W3CDTF">2025-11-07T19:56:00Z</dcterms:modified>
</cp:coreProperties>
</file>